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bldgs\BDCL\"/>
    </mc:Choice>
  </mc:AlternateContent>
  <xr:revisionPtr revIDLastSave="0" documentId="8_{02DC8EE3-A00F-4E85-92AB-01C63B43FD7F}"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D167" i="10"/>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67" i="10"/>
  <c r="B167" i="10"/>
  <c r="AC166" i="10"/>
  <c r="D166" i="10"/>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166" i="10"/>
  <c r="B166" i="10"/>
  <c r="AC165" i="10"/>
  <c r="C165" i="10" s="1"/>
  <c r="F165" i="10"/>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D165" i="10"/>
  <c r="E165" i="10" s="1"/>
  <c r="B165" i="10"/>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C159" i="10" s="1"/>
  <c r="D159" i="10" s="1"/>
  <c r="E159" i="10" s="1"/>
  <c r="F159" i="10" s="1"/>
  <c r="G159" i="10" s="1"/>
  <c r="H159" i="10" s="1"/>
  <c r="I159" i="10" s="1"/>
  <c r="J159" i="10" s="1"/>
  <c r="K159" i="10"/>
  <c r="L159" i="10" s="1"/>
  <c r="M159" i="10" s="1"/>
  <c r="N159" i="10" s="1"/>
  <c r="O159" i="10" s="1"/>
  <c r="P159" i="10" s="1"/>
  <c r="Q159" i="10" s="1"/>
  <c r="R159" i="10" s="1"/>
  <c r="S159" i="10" s="1"/>
  <c r="T159" i="10" s="1"/>
  <c r="U159" i="10" s="1"/>
  <c r="V159" i="10" s="1"/>
  <c r="W159" i="10" s="1"/>
  <c r="X159" i="10" s="1"/>
  <c r="Y159" i="10" s="1"/>
  <c r="Z159" i="10" s="1"/>
  <c r="AA159" i="10" s="1"/>
  <c r="AB159" i="10" s="1"/>
  <c r="B159" i="10"/>
  <c r="I158" i="10"/>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D158" i="10"/>
  <c r="E158" i="10" s="1"/>
  <c r="F158" i="10" s="1"/>
  <c r="G158" i="10" s="1"/>
  <c r="H158" i="10" s="1"/>
  <c r="C158" i="10"/>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C156" i="10" s="1"/>
  <c r="D156" i="10" s="1"/>
  <c r="E156" i="10"/>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K153" i="10"/>
  <c r="L153" i="10" s="1"/>
  <c r="M153" i="10" s="1"/>
  <c r="N153" i="10" s="1"/>
  <c r="O153" i="10" s="1"/>
  <c r="P153" i="10" s="1"/>
  <c r="Q153" i="10" s="1"/>
  <c r="R153" i="10" s="1"/>
  <c r="S153" i="10" s="1"/>
  <c r="T153" i="10" s="1"/>
  <c r="U153" i="10" s="1"/>
  <c r="V153" i="10" s="1"/>
  <c r="W153" i="10" s="1"/>
  <c r="X153" i="10" s="1"/>
  <c r="Y153" i="10" s="1"/>
  <c r="Z153" i="10" s="1"/>
  <c r="AA153" i="10" s="1"/>
  <c r="AB153" i="10" s="1"/>
  <c r="H153" i="10"/>
  <c r="I153" i="10" s="1"/>
  <c r="J153" i="10" s="1"/>
  <c r="C153" i="10"/>
  <c r="D153" i="10" s="1"/>
  <c r="E153" i="10" s="1"/>
  <c r="F153" i="10" s="1"/>
  <c r="G153" i="10" s="1"/>
  <c r="B153" i="10"/>
  <c r="AC152" i="10"/>
  <c r="F152" i="10"/>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C152" i="10" s="1"/>
  <c r="D152" i="10" s="1"/>
  <c r="E152" i="10" s="1"/>
  <c r="AC151" i="10"/>
  <c r="C151" i="10" s="1"/>
  <c r="D151" i="10"/>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B150" i="10"/>
  <c r="AC149" i="10"/>
  <c r="D149" i="10"/>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C149" i="10"/>
  <c r="B149" i="10"/>
  <c r="AC148" i="10"/>
  <c r="B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AC147" i="10"/>
  <c r="C147" i="10" s="1"/>
  <c r="D147" i="10" s="1"/>
  <c r="E147" i="10"/>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B146" i="10"/>
  <c r="C146" i="10" s="1"/>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AC145" i="10"/>
  <c r="T145" i="10"/>
  <c r="U145" i="10" s="1"/>
  <c r="V145" i="10" s="1"/>
  <c r="W145" i="10" s="1"/>
  <c r="X145" i="10" s="1"/>
  <c r="Y145" i="10" s="1"/>
  <c r="Z145" i="10" s="1"/>
  <c r="AA145" i="10" s="1"/>
  <c r="AB145" i="10" s="1"/>
  <c r="B145" i="10"/>
  <c r="C145" i="10" s="1"/>
  <c r="D145" i="10" s="1"/>
  <c r="E145" i="10" s="1"/>
  <c r="F145" i="10" s="1"/>
  <c r="G145" i="10" s="1"/>
  <c r="H145" i="10" s="1"/>
  <c r="I145" i="10" s="1"/>
  <c r="J145" i="10" s="1"/>
  <c r="K145" i="10" s="1"/>
  <c r="L145" i="10" s="1"/>
  <c r="M145" i="10" s="1"/>
  <c r="N145" i="10" s="1"/>
  <c r="O145" i="10" s="1"/>
  <c r="P145" i="10" s="1"/>
  <c r="Q145" i="10" s="1"/>
  <c r="R145" i="10" s="1"/>
  <c r="S145" i="10" s="1"/>
  <c r="AC144" i="10"/>
  <c r="L144" i="10"/>
  <c r="M144" i="10" s="1"/>
  <c r="N144" i="10" s="1"/>
  <c r="O144" i="10" s="1"/>
  <c r="P144" i="10" s="1"/>
  <c r="Q144" i="10" s="1"/>
  <c r="R144" i="10" s="1"/>
  <c r="S144" i="10" s="1"/>
  <c r="T144" i="10" s="1"/>
  <c r="U144" i="10" s="1"/>
  <c r="V144" i="10" s="1"/>
  <c r="W144" i="10" s="1"/>
  <c r="X144" i="10" s="1"/>
  <c r="Y144" i="10" s="1"/>
  <c r="Z144" i="10" s="1"/>
  <c r="AA144" i="10" s="1"/>
  <c r="AB144" i="10" s="1"/>
  <c r="B144" i="10"/>
  <c r="C144" i="10" s="1"/>
  <c r="D144" i="10" s="1"/>
  <c r="E144" i="10" s="1"/>
  <c r="F144" i="10" s="1"/>
  <c r="G144" i="10" s="1"/>
  <c r="H144" i="10" s="1"/>
  <c r="I144" i="10" s="1"/>
  <c r="J144" i="10" s="1"/>
  <c r="K144" i="10" s="1"/>
  <c r="AC143" i="10"/>
  <c r="B143" i="10"/>
  <c r="AC142" i="10"/>
  <c r="H142" i="10"/>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E142" i="10"/>
  <c r="F142" i="10" s="1"/>
  <c r="G142" i="10" s="1"/>
  <c r="D142" i="10"/>
  <c r="C142" i="10"/>
  <c r="B142" i="10"/>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D140" i="10" s="1"/>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I137" i="10"/>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H137" i="10"/>
  <c r="G137" i="10"/>
  <c r="E137" i="10"/>
  <c r="F137" i="10" s="1"/>
  <c r="B137" i="10"/>
  <c r="C137" i="10" s="1"/>
  <c r="D137" i="10" s="1"/>
  <c r="AC136" i="10"/>
  <c r="B136" i="10"/>
  <c r="C136" i="10" s="1"/>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AC135" i="10"/>
  <c r="W135" i="10"/>
  <c r="X135" i="10" s="1"/>
  <c r="Y135" i="10" s="1"/>
  <c r="Z135" i="10" s="1"/>
  <c r="AA135" i="10" s="1"/>
  <c r="AB135" i="10" s="1"/>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W131" i="10"/>
  <c r="X131" i="10" s="1"/>
  <c r="Y131" i="10" s="1"/>
  <c r="Z131" i="10" s="1"/>
  <c r="AA131" i="10" s="1"/>
  <c r="AB131" i="10" s="1"/>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E129" i="10"/>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D129" i="10"/>
  <c r="C129" i="10"/>
  <c r="B129" i="10"/>
  <c r="AC128" i="10"/>
  <c r="F128" i="10"/>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C128" i="10"/>
  <c r="D128" i="10" s="1"/>
  <c r="E128" i="10" s="1"/>
  <c r="B128" i="10"/>
  <c r="AC127" i="10"/>
  <c r="I127" i="10"/>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D127" i="10" s="1"/>
  <c r="E127" i="10" s="1"/>
  <c r="F127" i="10" s="1"/>
  <c r="G127" i="10" s="1"/>
  <c r="H127" i="10" s="1"/>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B125" i="10"/>
  <c r="C125" i="10" s="1"/>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AC124" i="10"/>
  <c r="B124" i="10"/>
  <c r="AC123" i="10"/>
  <c r="C123" i="10" s="1"/>
  <c r="D123" i="10" s="1"/>
  <c r="E123" i="10"/>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AC122" i="10"/>
  <c r="D122" i="10"/>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C122" i="10" s="1"/>
  <c r="AC121" i="10"/>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s="1"/>
  <c r="D118" i="10" s="1"/>
  <c r="E118" i="10" s="1"/>
  <c r="F118" i="10" s="1"/>
  <c r="G118" i="10" s="1"/>
  <c r="H118" i="10"/>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B116" i="10"/>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B113" i="10"/>
  <c r="AC108" i="10"/>
  <c r="D108" i="10"/>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C108" i="10" s="1"/>
  <c r="AC107" i="10"/>
  <c r="B107" i="10"/>
  <c r="F106" i="10"/>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D106" i="10"/>
  <c r="E106" i="10" s="1"/>
  <c r="C106" i="10"/>
  <c r="AC105" i="10"/>
  <c r="Q105" i="10"/>
  <c r="R105" i="10" s="1"/>
  <c r="S105" i="10" s="1"/>
  <c r="T105" i="10" s="1"/>
  <c r="U105" i="10" s="1"/>
  <c r="V105" i="10" s="1"/>
  <c r="W105" i="10" s="1"/>
  <c r="X105" i="10" s="1"/>
  <c r="Y105" i="10" s="1"/>
  <c r="Z105" i="10" s="1"/>
  <c r="AA105" i="10" s="1"/>
  <c r="AB105" i="10" s="1"/>
  <c r="L105" i="10"/>
  <c r="M105" i="10" s="1"/>
  <c r="N105" i="10" s="1"/>
  <c r="O105" i="10" s="1"/>
  <c r="P105" i="10" s="1"/>
  <c r="B105" i="10"/>
  <c r="C105" i="10" s="1"/>
  <c r="D105" i="10" s="1"/>
  <c r="E105" i="10" s="1"/>
  <c r="F105" i="10" s="1"/>
  <c r="G105" i="10" s="1"/>
  <c r="H105" i="10" s="1"/>
  <c r="I105" i="10" s="1"/>
  <c r="J105" i="10" s="1"/>
  <c r="K105" i="10" s="1"/>
  <c r="AC104" i="10"/>
  <c r="B104" i="10"/>
  <c r="AC103" i="10"/>
  <c r="M103" i="10"/>
  <c r="N103" i="10" s="1"/>
  <c r="O103" i="10" s="1"/>
  <c r="P103" i="10" s="1"/>
  <c r="Q103" i="10" s="1"/>
  <c r="R103" i="10" s="1"/>
  <c r="S103" i="10" s="1"/>
  <c r="T103" i="10" s="1"/>
  <c r="U103" i="10" s="1"/>
  <c r="V103" i="10" s="1"/>
  <c r="W103" i="10" s="1"/>
  <c r="X103" i="10" s="1"/>
  <c r="Y103" i="10" s="1"/>
  <c r="Z103" i="10" s="1"/>
  <c r="AA103" i="10" s="1"/>
  <c r="AB103" i="10" s="1"/>
  <c r="D103" i="10"/>
  <c r="E103" i="10" s="1"/>
  <c r="F103" i="10" s="1"/>
  <c r="G103" i="10" s="1"/>
  <c r="H103" i="10" s="1"/>
  <c r="I103" i="10" s="1"/>
  <c r="J103" i="10" s="1"/>
  <c r="K103" i="10" s="1"/>
  <c r="L103" i="10" s="1"/>
  <c r="B103" i="10"/>
  <c r="C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s="1"/>
  <c r="D101" i="10" s="1"/>
  <c r="E101" i="10"/>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B100" i="10"/>
  <c r="AC99" i="10"/>
  <c r="C99" i="10"/>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W96" i="10"/>
  <c r="X96" i="10" s="1"/>
  <c r="Y96" i="10" s="1"/>
  <c r="Z96" i="10" s="1"/>
  <c r="AA96" i="10" s="1"/>
  <c r="AB96" i="10" s="1"/>
  <c r="P96" i="10"/>
  <c r="Q96" i="10" s="1"/>
  <c r="R96" i="10" s="1"/>
  <c r="S96" i="10" s="1"/>
  <c r="T96" i="10" s="1"/>
  <c r="U96" i="10" s="1"/>
  <c r="V96" i="10" s="1"/>
  <c r="B96" i="10"/>
  <c r="C96" i="10" s="1"/>
  <c r="D96" i="10" s="1"/>
  <c r="E96" i="10" s="1"/>
  <c r="F96" i="10" s="1"/>
  <c r="G96" i="10" s="1"/>
  <c r="H96" i="10" s="1"/>
  <c r="I96" i="10" s="1"/>
  <c r="J96" i="10" s="1"/>
  <c r="K96" i="10" s="1"/>
  <c r="L96" i="10" s="1"/>
  <c r="M96" i="10" s="1"/>
  <c r="N96" i="10" s="1"/>
  <c r="O96" i="10" s="1"/>
  <c r="AC95" i="10"/>
  <c r="D95" i="10"/>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C95" i="10"/>
  <c r="B95" i="10"/>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C86" i="10"/>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B86" i="10"/>
  <c r="AC85" i="10"/>
  <c r="B85" i="10"/>
  <c r="AC84" i="10"/>
  <c r="K84" i="10"/>
  <c r="L84" i="10" s="1"/>
  <c r="M84" i="10" s="1"/>
  <c r="N84" i="10" s="1"/>
  <c r="O84" i="10" s="1"/>
  <c r="P84" i="10" s="1"/>
  <c r="Q84" i="10" s="1"/>
  <c r="R84" i="10" s="1"/>
  <c r="S84" i="10" s="1"/>
  <c r="T84" i="10" s="1"/>
  <c r="U84" i="10" s="1"/>
  <c r="V84" i="10" s="1"/>
  <c r="W84" i="10" s="1"/>
  <c r="X84" i="10" s="1"/>
  <c r="Y84" i="10" s="1"/>
  <c r="Z84" i="10" s="1"/>
  <c r="AA84" i="10" s="1"/>
  <c r="AB84" i="10" s="1"/>
  <c r="E84" i="10"/>
  <c r="F84" i="10" s="1"/>
  <c r="G84" i="10" s="1"/>
  <c r="H84" i="10" s="1"/>
  <c r="I84" i="10" s="1"/>
  <c r="J84" i="10" s="1"/>
  <c r="B84" i="10"/>
  <c r="C84" i="10" s="1"/>
  <c r="D84" i="10" s="1"/>
  <c r="AC83" i="10"/>
  <c r="C83" i="10" s="1"/>
  <c r="D83" i="10" s="1"/>
  <c r="E83" i="10" s="1"/>
  <c r="F83" i="10" s="1"/>
  <c r="G83" i="10" s="1"/>
  <c r="H83" i="10" s="1"/>
  <c r="I83" i="10" s="1"/>
  <c r="J83" i="10" s="1"/>
  <c r="K83" i="10" s="1"/>
  <c r="L83" i="10"/>
  <c r="M83" i="10" s="1"/>
  <c r="N83" i="10" s="1"/>
  <c r="O83" i="10" s="1"/>
  <c r="P83" i="10" s="1"/>
  <c r="Q83" i="10" s="1"/>
  <c r="R83" i="10" s="1"/>
  <c r="S83" i="10" s="1"/>
  <c r="T83" i="10" s="1"/>
  <c r="U83" i="10" s="1"/>
  <c r="V83" i="10" s="1"/>
  <c r="W83" i="10" s="1"/>
  <c r="X83" i="10" s="1"/>
  <c r="Y83" i="10" s="1"/>
  <c r="Z83" i="10" s="1"/>
  <c r="AA83" i="10" s="1"/>
  <c r="AB83" i="10" s="1"/>
  <c r="B83" i="10"/>
  <c r="AC82" i="10"/>
  <c r="L82" i="10"/>
  <c r="M82" i="10" s="1"/>
  <c r="N82" i="10" s="1"/>
  <c r="O82" i="10" s="1"/>
  <c r="P82" i="10" s="1"/>
  <c r="Q82" i="10" s="1"/>
  <c r="R82" i="10" s="1"/>
  <c r="S82" i="10" s="1"/>
  <c r="T82" i="10" s="1"/>
  <c r="U82" i="10" s="1"/>
  <c r="V82" i="10" s="1"/>
  <c r="W82" i="10" s="1"/>
  <c r="X82" i="10" s="1"/>
  <c r="Y82" i="10" s="1"/>
  <c r="Z82" i="10" s="1"/>
  <c r="AA82" i="10" s="1"/>
  <c r="AB82" i="10" s="1"/>
  <c r="F82" i="10"/>
  <c r="G82" i="10" s="1"/>
  <c r="H82" i="10" s="1"/>
  <c r="I82" i="10" s="1"/>
  <c r="J82" i="10" s="1"/>
  <c r="K82" i="10" s="1"/>
  <c r="B82" i="10"/>
  <c r="C82" i="10" s="1"/>
  <c r="D82" i="10" s="1"/>
  <c r="E82" i="10" s="1"/>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K78" i="10"/>
  <c r="L78" i="10" s="1"/>
  <c r="M78" i="10" s="1"/>
  <c r="N78" i="10" s="1"/>
  <c r="O78" i="10" s="1"/>
  <c r="P78" i="10" s="1"/>
  <c r="Q78" i="10" s="1"/>
  <c r="R78" i="10" s="1"/>
  <c r="S78" i="10" s="1"/>
  <c r="T78" i="10" s="1"/>
  <c r="U78" i="10" s="1"/>
  <c r="V78" i="10" s="1"/>
  <c r="W78" i="10" s="1"/>
  <c r="X78" i="10" s="1"/>
  <c r="Y78" i="10" s="1"/>
  <c r="Z78" i="10" s="1"/>
  <c r="AA78" i="10" s="1"/>
  <c r="AB78" i="10" s="1"/>
  <c r="B78" i="10"/>
  <c r="C78" i="10" s="1"/>
  <c r="D78" i="10" s="1"/>
  <c r="E78" i="10" s="1"/>
  <c r="F78" i="10" s="1"/>
  <c r="G78" i="10" s="1"/>
  <c r="H78" i="10" s="1"/>
  <c r="I78" i="10" s="1"/>
  <c r="J78" i="10" s="1"/>
  <c r="AC77" i="10"/>
  <c r="C77" i="10" s="1"/>
  <c r="D77" i="10" s="1"/>
  <c r="E77" i="10"/>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AC73" i="10"/>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AC72" i="10"/>
  <c r="B72" i="10"/>
  <c r="AC71" i="10"/>
  <c r="H71" i="10"/>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C71" i="10" s="1"/>
  <c r="D71" i="10" s="1"/>
  <c r="E71" i="10" s="1"/>
  <c r="F71" i="10" s="1"/>
  <c r="G71" i="10" s="1"/>
  <c r="AC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B69" i="10"/>
  <c r="AC68" i="10"/>
  <c r="B68" i="10"/>
  <c r="AC67" i="10"/>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s="1"/>
  <c r="D65" i="10" s="1"/>
  <c r="E65" i="10" s="1"/>
  <c r="F65" i="10" s="1"/>
  <c r="G65" i="10" s="1"/>
  <c r="H65" i="10" s="1"/>
  <c r="I65" i="10" s="1"/>
  <c r="J65" i="10" s="1"/>
  <c r="K65" i="10"/>
  <c r="L65" i="10" s="1"/>
  <c r="M65" i="10" s="1"/>
  <c r="N65" i="10" s="1"/>
  <c r="O65" i="10" s="1"/>
  <c r="P65" i="10" s="1"/>
  <c r="Q65" i="10" s="1"/>
  <c r="R65" i="10" s="1"/>
  <c r="S65" i="10" s="1"/>
  <c r="T65" i="10" s="1"/>
  <c r="U65" i="10" s="1"/>
  <c r="V65" i="10" s="1"/>
  <c r="W65" i="10" s="1"/>
  <c r="X65" i="10" s="1"/>
  <c r="Y65" i="10" s="1"/>
  <c r="Z65" i="10" s="1"/>
  <c r="AA65" i="10" s="1"/>
  <c r="AB65" i="10" s="1"/>
  <c r="B65" i="10"/>
  <c r="AC64"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C63" i="10" s="1"/>
  <c r="E63" i="10"/>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D63" i="10"/>
  <c r="B63" i="10"/>
  <c r="AC62" i="10"/>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D61" i="10"/>
  <c r="C61" i="10"/>
  <c r="B61" i="10"/>
  <c r="AC56" i="10"/>
  <c r="B56" i="10"/>
  <c r="AC55" i="10"/>
  <c r="R55" i="10"/>
  <c r="S55" i="10" s="1"/>
  <c r="T55" i="10" s="1"/>
  <c r="U55" i="10" s="1"/>
  <c r="V55" i="10" s="1"/>
  <c r="W55" i="10" s="1"/>
  <c r="X55" i="10" s="1"/>
  <c r="Y55" i="10" s="1"/>
  <c r="Z55" i="10" s="1"/>
  <c r="AA55" i="10" s="1"/>
  <c r="AB55" i="10" s="1"/>
  <c r="B55" i="10"/>
  <c r="C55" i="10" s="1"/>
  <c r="D55" i="10" s="1"/>
  <c r="E55" i="10" s="1"/>
  <c r="F55" i="10" s="1"/>
  <c r="G55" i="10" s="1"/>
  <c r="H55" i="10" s="1"/>
  <c r="I55" i="10" s="1"/>
  <c r="J55" i="10" s="1"/>
  <c r="K55" i="10" s="1"/>
  <c r="L55" i="10" s="1"/>
  <c r="M55" i="10" s="1"/>
  <c r="N55" i="10" s="1"/>
  <c r="O55" i="10" s="1"/>
  <c r="P55" i="10" s="1"/>
  <c r="Q55" i="10" s="1"/>
  <c r="K54" i="10"/>
  <c r="L54" i="10" s="1"/>
  <c r="M54" i="10" s="1"/>
  <c r="N54" i="10" s="1"/>
  <c r="O54" i="10" s="1"/>
  <c r="P54" i="10" s="1"/>
  <c r="Q54" i="10" s="1"/>
  <c r="R54" i="10" s="1"/>
  <c r="S54" i="10" s="1"/>
  <c r="T54" i="10" s="1"/>
  <c r="U54" i="10" s="1"/>
  <c r="V54" i="10" s="1"/>
  <c r="W54" i="10" s="1"/>
  <c r="X54" i="10" s="1"/>
  <c r="Y54" i="10" s="1"/>
  <c r="Z54" i="10" s="1"/>
  <c r="AA54" i="10" s="1"/>
  <c r="AB54" i="10" s="1"/>
  <c r="C54" i="10"/>
  <c r="D54" i="10" s="1"/>
  <c r="E54" i="10" s="1"/>
  <c r="F54" i="10" s="1"/>
  <c r="G54" i="10" s="1"/>
  <c r="H54" i="10" s="1"/>
  <c r="I54" i="10" s="1"/>
  <c r="J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F50" i="10"/>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C50" i="10" s="1"/>
  <c r="D50" i="10" s="1"/>
  <c r="E50" i="10" s="1"/>
  <c r="AC49" i="10"/>
  <c r="N49" i="10"/>
  <c r="O49" i="10" s="1"/>
  <c r="P49" i="10" s="1"/>
  <c r="Q49" i="10" s="1"/>
  <c r="R49" i="10" s="1"/>
  <c r="S49" i="10" s="1"/>
  <c r="T49" i="10" s="1"/>
  <c r="U49" i="10" s="1"/>
  <c r="V49" i="10" s="1"/>
  <c r="W49" i="10" s="1"/>
  <c r="X49" i="10" s="1"/>
  <c r="Y49" i="10" s="1"/>
  <c r="Z49" i="10" s="1"/>
  <c r="AA49" i="10" s="1"/>
  <c r="AB49" i="10" s="1"/>
  <c r="I49" i="10"/>
  <c r="J49" i="10" s="1"/>
  <c r="K49" i="10" s="1"/>
  <c r="L49" i="10" s="1"/>
  <c r="M49" i="10" s="1"/>
  <c r="H49" i="10"/>
  <c r="D49" i="10"/>
  <c r="E49" i="10" s="1"/>
  <c r="F49" i="10" s="1"/>
  <c r="G49" i="10" s="1"/>
  <c r="C49" i="10"/>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C46" i="10" s="1"/>
  <c r="D46" i="10" s="1"/>
  <c r="E46" i="10" s="1"/>
  <c r="F46" i="10" s="1"/>
  <c r="G46" i="10" s="1"/>
  <c r="H46" i="10" s="1"/>
  <c r="I46" i="10" s="1"/>
  <c r="J46" i="10" s="1"/>
  <c r="K46" i="10" s="1"/>
  <c r="L46" i="10" s="1"/>
  <c r="M46" i="10" s="1"/>
  <c r="N46" i="10" s="1"/>
  <c r="O46" i="10" s="1"/>
  <c r="P46" i="10" s="1"/>
  <c r="Q46" i="10" s="1"/>
  <c r="R46" i="10" s="1"/>
  <c r="S46" i="10"/>
  <c r="T46" i="10" s="1"/>
  <c r="U46" i="10" s="1"/>
  <c r="V46" i="10" s="1"/>
  <c r="W46" i="10" s="1"/>
  <c r="X46" i="10" s="1"/>
  <c r="Y46" i="10" s="1"/>
  <c r="Z46" i="10" s="1"/>
  <c r="AA46" i="10" s="1"/>
  <c r="AB46" i="10" s="1"/>
  <c r="B46" i="10"/>
  <c r="AC45" i="10"/>
  <c r="O45" i="10"/>
  <c r="P45" i="10" s="1"/>
  <c r="Q45" i="10" s="1"/>
  <c r="R45" i="10" s="1"/>
  <c r="S45" i="10" s="1"/>
  <c r="T45" i="10" s="1"/>
  <c r="U45" i="10" s="1"/>
  <c r="V45" i="10" s="1"/>
  <c r="W45" i="10" s="1"/>
  <c r="X45" i="10" s="1"/>
  <c r="Y45" i="10" s="1"/>
  <c r="Z45" i="10" s="1"/>
  <c r="AA45" i="10" s="1"/>
  <c r="AB45" i="10" s="1"/>
  <c r="B45" i="10"/>
  <c r="C45" i="10" s="1"/>
  <c r="D45" i="10" s="1"/>
  <c r="E45" i="10" s="1"/>
  <c r="F45" i="10" s="1"/>
  <c r="G45" i="10" s="1"/>
  <c r="H45" i="10" s="1"/>
  <c r="I45" i="10" s="1"/>
  <c r="J45" i="10" s="1"/>
  <c r="K45" i="10" s="1"/>
  <c r="L45" i="10" s="1"/>
  <c r="M45" i="10" s="1"/>
  <c r="N45" i="10" s="1"/>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C43" i="10" s="1"/>
  <c r="D43" i="10" s="1"/>
  <c r="E43" i="10" s="1"/>
  <c r="F43" i="10" s="1"/>
  <c r="G43" i="10" s="1"/>
  <c r="H43" i="10" s="1"/>
  <c r="I43" i="10" s="1"/>
  <c r="J43" i="10" s="1"/>
  <c r="K43" i="10" s="1"/>
  <c r="L43" i="10" s="1"/>
  <c r="M43" i="10" s="1"/>
  <c r="N43" i="10" s="1"/>
  <c r="O43" i="10"/>
  <c r="P43" i="10" s="1"/>
  <c r="Q43" i="10" s="1"/>
  <c r="R43" i="10" s="1"/>
  <c r="S43" i="10" s="1"/>
  <c r="T43" i="10" s="1"/>
  <c r="U43" i="10" s="1"/>
  <c r="V43" i="10" s="1"/>
  <c r="W43" i="10" s="1"/>
  <c r="X43" i="10" s="1"/>
  <c r="Y43" i="10" s="1"/>
  <c r="Z43" i="10" s="1"/>
  <c r="AA43" i="10" s="1"/>
  <c r="AB43" i="10" s="1"/>
  <c r="B43" i="10"/>
  <c r="AC42" i="10"/>
  <c r="G42" i="10"/>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C42" i="10" s="1"/>
  <c r="D42" i="10" s="1"/>
  <c r="E42" i="10" s="1"/>
  <c r="F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I37" i="10"/>
  <c r="J37" i="10" s="1"/>
  <c r="K37" i="10" s="1"/>
  <c r="L37" i="10" s="1"/>
  <c r="M37" i="10" s="1"/>
  <c r="N37" i="10" s="1"/>
  <c r="O37" i="10" s="1"/>
  <c r="P37" i="10" s="1"/>
  <c r="Q37" i="10" s="1"/>
  <c r="R37" i="10" s="1"/>
  <c r="S37" i="10" s="1"/>
  <c r="T37" i="10" s="1"/>
  <c r="U37" i="10" s="1"/>
  <c r="V37" i="10" s="1"/>
  <c r="W37" i="10" s="1"/>
  <c r="X37" i="10" s="1"/>
  <c r="Y37" i="10" s="1"/>
  <c r="Z37" i="10" s="1"/>
  <c r="AA37" i="10" s="1"/>
  <c r="AB37" i="10" s="1"/>
  <c r="E37" i="10"/>
  <c r="F37" i="10" s="1"/>
  <c r="G37" i="10" s="1"/>
  <c r="H37" i="10" s="1"/>
  <c r="B37" i="10"/>
  <c r="C37" i="10" s="1"/>
  <c r="D37" i="10" s="1"/>
  <c r="AC36" i="10"/>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C35" i="10" s="1"/>
  <c r="D35" i="10" s="1"/>
  <c r="E35" i="10" s="1"/>
  <c r="K35" i="10"/>
  <c r="L35" i="10" s="1"/>
  <c r="M35" i="10" s="1"/>
  <c r="N35" i="10" s="1"/>
  <c r="O35" i="10" s="1"/>
  <c r="P35" i="10" s="1"/>
  <c r="Q35" i="10" s="1"/>
  <c r="R35" i="10" s="1"/>
  <c r="S35" i="10" s="1"/>
  <c r="T35" i="10" s="1"/>
  <c r="U35" i="10" s="1"/>
  <c r="V35" i="10" s="1"/>
  <c r="W35" i="10" s="1"/>
  <c r="X35" i="10" s="1"/>
  <c r="Y35" i="10" s="1"/>
  <c r="Z35" i="10" s="1"/>
  <c r="AA35" i="10" s="1"/>
  <c r="AB35" i="10" s="1"/>
  <c r="F35" i="10"/>
  <c r="G35" i="10" s="1"/>
  <c r="H35" i="10" s="1"/>
  <c r="I35" i="10" s="1"/>
  <c r="J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C29" i="10" s="1"/>
  <c r="D29" i="10" s="1"/>
  <c r="E29" i="10" s="1"/>
  <c r="F29" i="10" s="1"/>
  <c r="G29" i="10" s="1"/>
  <c r="H29" i="10" s="1"/>
  <c r="I29" i="10" s="1"/>
  <c r="J29" i="10" s="1"/>
  <c r="K29" i="10" s="1"/>
  <c r="L29" i="10" s="1"/>
  <c r="M29" i="10" s="1"/>
  <c r="N29" i="10" s="1"/>
  <c r="O29" i="10" s="1"/>
  <c r="P29" i="10" s="1"/>
  <c r="Q29" i="10" s="1"/>
  <c r="R29" i="10" s="1"/>
  <c r="S29" i="10"/>
  <c r="T29" i="10" s="1"/>
  <c r="U29" i="10" s="1"/>
  <c r="V29" i="10" s="1"/>
  <c r="W29" i="10" s="1"/>
  <c r="X29" i="10" s="1"/>
  <c r="Y29" i="10" s="1"/>
  <c r="Z29" i="10" s="1"/>
  <c r="AA29" i="10" s="1"/>
  <c r="AB29" i="10" s="1"/>
  <c r="B29" i="10"/>
  <c r="AC28" i="10"/>
  <c r="G28" i="10"/>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F28" i="10"/>
  <c r="B28" i="10"/>
  <c r="C28" i="10" s="1"/>
  <c r="D28" i="10" s="1"/>
  <c r="E28" i="10" s="1"/>
  <c r="AC27" i="10"/>
  <c r="K27" i="10"/>
  <c r="L27" i="10" s="1"/>
  <c r="M27" i="10" s="1"/>
  <c r="N27" i="10" s="1"/>
  <c r="O27" i="10" s="1"/>
  <c r="P27" i="10" s="1"/>
  <c r="Q27" i="10" s="1"/>
  <c r="R27" i="10" s="1"/>
  <c r="S27" i="10" s="1"/>
  <c r="T27" i="10" s="1"/>
  <c r="U27" i="10" s="1"/>
  <c r="V27" i="10" s="1"/>
  <c r="W27" i="10" s="1"/>
  <c r="X27" i="10" s="1"/>
  <c r="Y27" i="10" s="1"/>
  <c r="Z27" i="10" s="1"/>
  <c r="AA27" i="10" s="1"/>
  <c r="AB27" i="10" s="1"/>
  <c r="B27" i="10"/>
  <c r="C27" i="10" s="1"/>
  <c r="D27" i="10" s="1"/>
  <c r="E27" i="10" s="1"/>
  <c r="F27" i="10" s="1"/>
  <c r="G27" i="10" s="1"/>
  <c r="H27" i="10" s="1"/>
  <c r="I27" i="10" s="1"/>
  <c r="J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C24" i="10" s="1"/>
  <c r="D24" i="10"/>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C22" i="10" s="1"/>
  <c r="D22" i="10" s="1"/>
  <c r="E22" i="10" s="1"/>
  <c r="F22" i="10" s="1"/>
  <c r="G22" i="10"/>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Y17" i="10"/>
  <c r="Z17" i="10" s="1"/>
  <c r="AA17" i="10" s="1"/>
  <c r="AB17" i="10" s="1"/>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AC16" i="10"/>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s="1"/>
  <c r="D13" i="10" s="1"/>
  <c r="E13" i="10" s="1"/>
  <c r="F13" i="10" s="1"/>
  <c r="G13" i="10" s="1"/>
  <c r="H13" i="10" s="1"/>
  <c r="I13" i="10" s="1"/>
  <c r="J13" i="10"/>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C11" i="10" s="1"/>
  <c r="D11" i="10" s="1"/>
  <c r="E11" i="10"/>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4" i="10"/>
  <c r="C9" i="9"/>
  <c r="B9" i="9"/>
  <c r="A9" i="9"/>
  <c r="B2" i="9"/>
  <c r="AB5" i="9" s="1"/>
  <c r="B1" i="9"/>
  <c r="F54" i="7"/>
  <c r="E54" i="7"/>
  <c r="D54" i="7"/>
  <c r="C54" i="7"/>
  <c r="F53" i="7"/>
  <c r="E53" i="7"/>
  <c r="D53" i="7"/>
  <c r="H53" i="7" s="1"/>
  <c r="C53" i="7"/>
  <c r="H52" i="7"/>
  <c r="F52" i="7"/>
  <c r="E52" i="7"/>
  <c r="D52" i="7"/>
  <c r="G52" i="7" s="1"/>
  <c r="C52" i="7"/>
  <c r="H51" i="7"/>
  <c r="G51" i="7"/>
  <c r="F51" i="7"/>
  <c r="E51" i="7"/>
  <c r="D51" i="7"/>
  <c r="C51" i="7"/>
  <c r="F50" i="7"/>
  <c r="G50" i="7" s="1"/>
  <c r="E50" i="7"/>
  <c r="D50" i="7"/>
  <c r="C50" i="7"/>
  <c r="H49" i="7"/>
  <c r="F49" i="7"/>
  <c r="E49" i="7"/>
  <c r="D49" i="7"/>
  <c r="C49" i="7"/>
  <c r="F48" i="7"/>
  <c r="E48" i="7"/>
  <c r="D48" i="7"/>
  <c r="H48" i="7" s="1"/>
  <c r="C48" i="7"/>
  <c r="H47" i="7"/>
  <c r="F47" i="7"/>
  <c r="E47" i="7"/>
  <c r="D47" i="7"/>
  <c r="C47" i="7"/>
  <c r="G47" i="7" s="1"/>
  <c r="F46" i="7"/>
  <c r="E46" i="7"/>
  <c r="D46" i="7"/>
  <c r="C46" i="7"/>
  <c r="H46" i="7" s="1"/>
  <c r="F45" i="7"/>
  <c r="E45" i="7"/>
  <c r="D45" i="7"/>
  <c r="C45" i="7"/>
  <c r="F44" i="7"/>
  <c r="E44" i="7"/>
  <c r="D44" i="7"/>
  <c r="C44" i="7"/>
  <c r="F43" i="7"/>
  <c r="E43" i="7"/>
  <c r="D43" i="7"/>
  <c r="C43" i="7"/>
  <c r="F42" i="7"/>
  <c r="E42" i="7"/>
  <c r="D42" i="7"/>
  <c r="G42" i="7" s="1"/>
  <c r="C42" i="7"/>
  <c r="H42" i="7" s="1"/>
  <c r="F41" i="7"/>
  <c r="E41" i="7"/>
  <c r="D41" i="7"/>
  <c r="C41" i="7"/>
  <c r="F40" i="7"/>
  <c r="G40" i="7" s="1"/>
  <c r="E40" i="7"/>
  <c r="D40" i="7"/>
  <c r="C40" i="7"/>
  <c r="F39" i="7"/>
  <c r="G39" i="7" s="1"/>
  <c r="E39" i="7"/>
  <c r="D39" i="7"/>
  <c r="C39" i="7"/>
  <c r="F38" i="7"/>
  <c r="E38" i="7"/>
  <c r="D38" i="7"/>
  <c r="C38" i="7"/>
  <c r="F37" i="7"/>
  <c r="E37" i="7"/>
  <c r="D37" i="7"/>
  <c r="C37" i="7"/>
  <c r="F36" i="7"/>
  <c r="E36" i="7"/>
  <c r="D36" i="7"/>
  <c r="C36" i="7"/>
  <c r="H35" i="7"/>
  <c r="F35" i="7"/>
  <c r="G35" i="7" s="1"/>
  <c r="E35" i="7"/>
  <c r="D35" i="7"/>
  <c r="C35" i="7"/>
  <c r="F34" i="7"/>
  <c r="E34" i="7"/>
  <c r="D34" i="7"/>
  <c r="C34" i="7"/>
  <c r="H33" i="7"/>
  <c r="F33" i="7"/>
  <c r="E33" i="7"/>
  <c r="D33" i="7"/>
  <c r="C33" i="7"/>
  <c r="F32" i="7"/>
  <c r="E32" i="7"/>
  <c r="D32" i="7"/>
  <c r="C32" i="7"/>
  <c r="F31" i="7"/>
  <c r="E31" i="7"/>
  <c r="H31" i="7" s="1"/>
  <c r="D31" i="7"/>
  <c r="C31" i="7"/>
  <c r="F30" i="7"/>
  <c r="E30" i="7"/>
  <c r="D30" i="7"/>
  <c r="H30" i="7" s="1"/>
  <c r="C30" i="7"/>
  <c r="F29" i="7"/>
  <c r="E29" i="7"/>
  <c r="D29" i="7"/>
  <c r="C29" i="7"/>
  <c r="H28" i="7"/>
  <c r="F28" i="7"/>
  <c r="E28" i="7"/>
  <c r="D28" i="7"/>
  <c r="G28" i="7" s="1"/>
  <c r="C28" i="7"/>
  <c r="H27" i="7"/>
  <c r="G27" i="7"/>
  <c r="F27" i="7"/>
  <c r="E27" i="7"/>
  <c r="D27" i="7"/>
  <c r="C27" i="7"/>
  <c r="H26" i="7"/>
  <c r="F26" i="7"/>
  <c r="E26" i="7"/>
  <c r="D26" i="7"/>
  <c r="C26" i="7"/>
  <c r="G25" i="7"/>
  <c r="F25" i="7"/>
  <c r="E25" i="7"/>
  <c r="D25" i="7"/>
  <c r="C25" i="7"/>
  <c r="H25" i="7" s="1"/>
  <c r="H24" i="7"/>
  <c r="F24" i="7"/>
  <c r="E24" i="7"/>
  <c r="D24" i="7"/>
  <c r="G24" i="7" s="1"/>
  <c r="C24" i="7"/>
  <c r="F23" i="7"/>
  <c r="E23" i="7"/>
  <c r="D23" i="7"/>
  <c r="C23" i="7"/>
  <c r="F22" i="7"/>
  <c r="E22" i="7"/>
  <c r="D22" i="7"/>
  <c r="C22" i="7"/>
  <c r="F21" i="7"/>
  <c r="E21" i="7"/>
  <c r="D21" i="7"/>
  <c r="C21" i="7"/>
  <c r="H20" i="7"/>
  <c r="F20" i="7"/>
  <c r="E20" i="7"/>
  <c r="D20" i="7"/>
  <c r="C20" i="7"/>
  <c r="F19" i="7"/>
  <c r="E19" i="7"/>
  <c r="D19" i="7"/>
  <c r="C19" i="7"/>
  <c r="H18" i="7"/>
  <c r="F18" i="7"/>
  <c r="E18" i="7"/>
  <c r="D18" i="7"/>
  <c r="C18" i="7"/>
  <c r="F17" i="7"/>
  <c r="E17" i="7"/>
  <c r="D17" i="7"/>
  <c r="C17" i="7"/>
  <c r="G17" i="7" s="1"/>
  <c r="F16" i="7"/>
  <c r="G16" i="7" s="1"/>
  <c r="E16" i="7"/>
  <c r="D16" i="7"/>
  <c r="H16" i="7" s="1"/>
  <c r="C16" i="7"/>
  <c r="F15" i="7"/>
  <c r="E15" i="7"/>
  <c r="D15" i="7"/>
  <c r="C15" i="7"/>
  <c r="G15" i="7" s="1"/>
  <c r="F14" i="7"/>
  <c r="E14" i="7"/>
  <c r="D14" i="7"/>
  <c r="C14" i="7"/>
  <c r="H13" i="7"/>
  <c r="F13" i="7"/>
  <c r="E13" i="7"/>
  <c r="D13" i="7"/>
  <c r="C13" i="7"/>
  <c r="G13" i="7" s="1"/>
  <c r="H12" i="7"/>
  <c r="F12" i="7"/>
  <c r="G12" i="7" s="1"/>
  <c r="E12" i="7"/>
  <c r="D12" i="7"/>
  <c r="C12" i="7"/>
  <c r="F11" i="7"/>
  <c r="E11" i="7"/>
  <c r="D11" i="7"/>
  <c r="C11" i="7"/>
  <c r="F10" i="7"/>
  <c r="E10" i="7"/>
  <c r="D10" i="7"/>
  <c r="C10" i="7"/>
  <c r="H9" i="7"/>
  <c r="F9" i="7"/>
  <c r="G9" i="7" s="1"/>
  <c r="E9" i="7"/>
  <c r="D9" i="7"/>
  <c r="C9" i="7"/>
  <c r="F8" i="7"/>
  <c r="G8" i="7" s="1"/>
  <c r="E8" i="7"/>
  <c r="D8" i="7"/>
  <c r="C8" i="7"/>
  <c r="H7" i="7"/>
  <c r="G7" i="7"/>
  <c r="F7" i="7"/>
  <c r="E7" i="7"/>
  <c r="D7" i="7"/>
  <c r="C7" i="7"/>
  <c r="B2" i="1"/>
  <c r="B5" i="10" s="1"/>
  <c r="Y5" i="9" l="1"/>
  <c r="I5" i="9"/>
  <c r="L5" i="9"/>
  <c r="X5" i="9"/>
  <c r="O5" i="9"/>
  <c r="W5" i="9"/>
  <c r="AA5" i="9"/>
  <c r="H5" i="9"/>
  <c r="Z5" i="9"/>
  <c r="J5" i="9"/>
  <c r="K5" i="9"/>
  <c r="D5" i="9"/>
  <c r="G20" i="7"/>
  <c r="H40" i="7"/>
  <c r="G31" i="7"/>
  <c r="H36" i="7"/>
  <c r="G36" i="7"/>
  <c r="H22" i="7"/>
  <c r="G22" i="7"/>
  <c r="H45" i="7"/>
  <c r="G45" i="7"/>
  <c r="H21" i="7"/>
  <c r="G21" i="7"/>
  <c r="H8" i="7"/>
  <c r="H44" i="7"/>
  <c r="G44" i="7"/>
  <c r="G49" i="7"/>
  <c r="H29" i="7"/>
  <c r="G29" i="7"/>
  <c r="H14" i="7"/>
  <c r="G14" i="7"/>
  <c r="G18" i="7"/>
  <c r="G48" i="7"/>
  <c r="H39" i="7"/>
  <c r="G53" i="7"/>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G9" i="9"/>
  <c r="D9" i="9"/>
  <c r="H10" i="7"/>
  <c r="G10" i="7"/>
  <c r="H23" i="7"/>
  <c r="G23" i="7"/>
  <c r="H32" i="7"/>
  <c r="G32" i="7"/>
  <c r="H41" i="7"/>
  <c r="G41" i="7"/>
  <c r="G46" i="7"/>
  <c r="C69" i="10"/>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H19" i="7"/>
  <c r="G19" i="7"/>
  <c r="E61" i="10"/>
  <c r="H15" i="7"/>
  <c r="H37" i="7"/>
  <c r="G37" i="7"/>
  <c r="B5" i="9"/>
  <c r="B57" i="10"/>
  <c r="C9"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109" i="10"/>
  <c r="C31" i="10"/>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F5" i="9"/>
  <c r="H11" i="7"/>
  <c r="G33" i="7"/>
  <c r="G11" i="7"/>
  <c r="G5" i="9"/>
  <c r="U5" i="9"/>
  <c r="T5" i="9"/>
  <c r="S5" i="9"/>
  <c r="V5" i="9"/>
  <c r="Q5" i="9"/>
  <c r="R5" i="9"/>
  <c r="P5" i="9"/>
  <c r="N5" i="9"/>
  <c r="M5" i="9"/>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H17" i="7"/>
  <c r="G34" i="7"/>
  <c r="H38" i="7"/>
  <c r="G38" i="7"/>
  <c r="C5" i="9"/>
  <c r="H34" i="7"/>
  <c r="G26" i="7"/>
  <c r="G30" i="7"/>
  <c r="H43" i="7"/>
  <c r="G43" i="7"/>
  <c r="E5" i="9"/>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C91" i="10"/>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H50" i="7"/>
  <c r="H54" i="7"/>
  <c r="G54" i="7"/>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61" i="10"/>
  <c r="C113" i="10"/>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D9" i="10" l="1"/>
  <c r="C57" i="10"/>
  <c r="H9" i="9"/>
  <c r="I9" i="9"/>
  <c r="F9" i="9"/>
  <c r="E9" i="9"/>
  <c r="C161" i="10"/>
  <c r="C173" i="10" s="1"/>
  <c r="C2" i="13" s="1"/>
  <c r="D113" i="10"/>
  <c r="B172" i="10"/>
  <c r="B2" i="12" s="1"/>
  <c r="B171" i="10"/>
  <c r="B2" i="11" s="1"/>
  <c r="B173" i="10"/>
  <c r="B2" i="13" s="1"/>
  <c r="D109" i="10"/>
  <c r="D172" i="10" s="1"/>
  <c r="D2" i="12" s="1"/>
  <c r="C109" i="10"/>
  <c r="C172" i="10" s="1"/>
  <c r="C2" i="12" s="1"/>
  <c r="C171" i="10"/>
  <c r="C2" i="11" s="1"/>
  <c r="E109" i="10"/>
  <c r="E172" i="10" s="1"/>
  <c r="E2" i="12" s="1"/>
  <c r="F61" i="10"/>
  <c r="F109" i="10" l="1"/>
  <c r="F172" i="10" s="1"/>
  <c r="F2" i="12" s="1"/>
  <c r="G61" i="10"/>
  <c r="D161" i="10"/>
  <c r="D173" i="10" s="1"/>
  <c r="D2" i="13" s="1"/>
  <c r="E113" i="10"/>
  <c r="E9" i="10"/>
  <c r="D57" i="10"/>
  <c r="D171" i="10" s="1"/>
  <c r="D2" i="11" s="1"/>
  <c r="G109" i="10" l="1"/>
  <c r="G172" i="10" s="1"/>
  <c r="G2" i="12" s="1"/>
  <c r="H61" i="10"/>
  <c r="E57" i="10"/>
  <c r="E171" i="10" s="1"/>
  <c r="E2" i="11" s="1"/>
  <c r="F9" i="10"/>
  <c r="F113" i="10"/>
  <c r="E161" i="10"/>
  <c r="E173" i="10" s="1"/>
  <c r="E2" i="13" s="1"/>
  <c r="G113" i="10" l="1"/>
  <c r="F161" i="10"/>
  <c r="F173" i="10" s="1"/>
  <c r="F2" i="13" s="1"/>
  <c r="F57" i="10"/>
  <c r="F171" i="10" s="1"/>
  <c r="F2" i="11" s="1"/>
  <c r="G9" i="10"/>
  <c r="H109" i="10"/>
  <c r="H172" i="10" s="1"/>
  <c r="H2" i="12" s="1"/>
  <c r="I61" i="10"/>
  <c r="H9" i="10" l="1"/>
  <c r="G57" i="10"/>
  <c r="G171" i="10" s="1"/>
  <c r="G2" i="11" s="1"/>
  <c r="G161" i="10"/>
  <c r="G173" i="10" s="1"/>
  <c r="G2" i="13" s="1"/>
  <c r="H113" i="10"/>
  <c r="I109" i="10"/>
  <c r="I172" i="10" s="1"/>
  <c r="I2" i="12" s="1"/>
  <c r="J61" i="10"/>
  <c r="J109" i="10" l="1"/>
  <c r="J172" i="10" s="1"/>
  <c r="J2" i="12" s="1"/>
  <c r="K61" i="10"/>
  <c r="H161" i="10"/>
  <c r="H173" i="10" s="1"/>
  <c r="H2" i="13" s="1"/>
  <c r="I113" i="10"/>
  <c r="I9" i="10"/>
  <c r="H57" i="10"/>
  <c r="H171" i="10" s="1"/>
  <c r="H2" i="11" s="1"/>
  <c r="J113" i="10" l="1"/>
  <c r="I161" i="10"/>
  <c r="I173" i="10" s="1"/>
  <c r="I2" i="13" s="1"/>
  <c r="K109" i="10"/>
  <c r="K172" i="10" s="1"/>
  <c r="K2" i="12" s="1"/>
  <c r="L61" i="10"/>
  <c r="I57" i="10"/>
  <c r="I171" i="10" s="1"/>
  <c r="I2" i="11" s="1"/>
  <c r="J9" i="10"/>
  <c r="J161" i="10" l="1"/>
  <c r="J173" i="10" s="1"/>
  <c r="J2" i="13" s="1"/>
  <c r="K113" i="10"/>
  <c r="J57" i="10"/>
  <c r="J171" i="10" s="1"/>
  <c r="J2" i="11" s="1"/>
  <c r="K9" i="10"/>
  <c r="L109" i="10"/>
  <c r="L172" i="10" s="1"/>
  <c r="L2" i="12" s="1"/>
  <c r="M61" i="10"/>
  <c r="L113" i="10" l="1"/>
  <c r="K161" i="10"/>
  <c r="K173" i="10" s="1"/>
  <c r="K2" i="13" s="1"/>
  <c r="N61" i="10"/>
  <c r="M109" i="10"/>
  <c r="M172" i="10" s="1"/>
  <c r="M2" i="12" s="1"/>
  <c r="K57" i="10"/>
  <c r="K171" i="10" s="1"/>
  <c r="K2" i="11" s="1"/>
  <c r="L9" i="10"/>
  <c r="L57" i="10" l="1"/>
  <c r="L171" i="10" s="1"/>
  <c r="L2" i="11" s="1"/>
  <c r="M9" i="10"/>
  <c r="N109" i="10"/>
  <c r="N172" i="10" s="1"/>
  <c r="N2" i="12" s="1"/>
  <c r="O61" i="10"/>
  <c r="M113" i="10"/>
  <c r="L161" i="10"/>
  <c r="L173" i="10" s="1"/>
  <c r="L2" i="13" s="1"/>
  <c r="N113" i="10" l="1"/>
  <c r="M161" i="10"/>
  <c r="M173" i="10" s="1"/>
  <c r="M2" i="13" s="1"/>
  <c r="M57" i="10"/>
  <c r="M171" i="10" s="1"/>
  <c r="M2" i="11" s="1"/>
  <c r="N9" i="10"/>
  <c r="O109" i="10"/>
  <c r="O172" i="10" s="1"/>
  <c r="O2" i="12" s="1"/>
  <c r="P61" i="10"/>
  <c r="Q61" i="10" l="1"/>
  <c r="P109" i="10"/>
  <c r="P172" i="10" s="1"/>
  <c r="P2" i="12" s="1"/>
  <c r="N57" i="10"/>
  <c r="N171" i="10" s="1"/>
  <c r="N2" i="11" s="1"/>
  <c r="O9" i="10"/>
  <c r="O113" i="10"/>
  <c r="N161" i="10"/>
  <c r="N173" i="10" s="1"/>
  <c r="N2" i="13" s="1"/>
  <c r="O161" i="10" l="1"/>
  <c r="O173" i="10" s="1"/>
  <c r="O2" i="13" s="1"/>
  <c r="P113" i="10"/>
  <c r="O57" i="10"/>
  <c r="O171" i="10" s="1"/>
  <c r="O2" i="11" s="1"/>
  <c r="P9" i="10"/>
  <c r="R61" i="10"/>
  <c r="Q109" i="10"/>
  <c r="Q172" i="10" s="1"/>
  <c r="Q2" i="12" s="1"/>
  <c r="S61" i="10" l="1"/>
  <c r="R109" i="10"/>
  <c r="R172" i="10" s="1"/>
  <c r="R2" i="12" s="1"/>
  <c r="P57" i="10"/>
  <c r="P171" i="10" s="1"/>
  <c r="P2" i="11" s="1"/>
  <c r="Q9" i="10"/>
  <c r="P161" i="10"/>
  <c r="P173" i="10" s="1"/>
  <c r="P2" i="13" s="1"/>
  <c r="Q113" i="10"/>
  <c r="Q161" i="10" l="1"/>
  <c r="Q173" i="10" s="1"/>
  <c r="Q2" i="13" s="1"/>
  <c r="R113" i="10"/>
  <c r="Q57" i="10"/>
  <c r="Q171" i="10" s="1"/>
  <c r="Q2" i="11" s="1"/>
  <c r="R9" i="10"/>
  <c r="T61" i="10"/>
  <c r="S109" i="10"/>
  <c r="S172" i="10" s="1"/>
  <c r="S2" i="12" s="1"/>
  <c r="T109" i="10" l="1"/>
  <c r="T172" i="10" s="1"/>
  <c r="T2" i="12" s="1"/>
  <c r="U61" i="10"/>
  <c r="R57" i="10"/>
  <c r="R171" i="10" s="1"/>
  <c r="R2" i="11" s="1"/>
  <c r="S9" i="10"/>
  <c r="S113" i="10"/>
  <c r="R161" i="10"/>
  <c r="R173" i="10" s="1"/>
  <c r="R2" i="13" s="1"/>
  <c r="S161" i="10" l="1"/>
  <c r="S173" i="10" s="1"/>
  <c r="S2" i="13" s="1"/>
  <c r="T113" i="10"/>
  <c r="S57" i="10"/>
  <c r="S171" i="10" s="1"/>
  <c r="S2" i="11" s="1"/>
  <c r="T9" i="10"/>
  <c r="V61" i="10"/>
  <c r="U109" i="10"/>
  <c r="U172" i="10" s="1"/>
  <c r="U2" i="12" s="1"/>
  <c r="W61" i="10" l="1"/>
  <c r="V109" i="10"/>
  <c r="V172" i="10" s="1"/>
  <c r="V2" i="12" s="1"/>
  <c r="T57" i="10"/>
  <c r="T171" i="10" s="1"/>
  <c r="T2" i="11" s="1"/>
  <c r="U9" i="10"/>
  <c r="T161" i="10"/>
  <c r="T173" i="10" s="1"/>
  <c r="T2" i="13" s="1"/>
  <c r="U113" i="10"/>
  <c r="V113" i="10" l="1"/>
  <c r="U161" i="10"/>
  <c r="U173" i="10" s="1"/>
  <c r="U2" i="13" s="1"/>
  <c r="U57" i="10"/>
  <c r="U171" i="10" s="1"/>
  <c r="U2" i="11" s="1"/>
  <c r="V9" i="10"/>
  <c r="X61" i="10"/>
  <c r="W109" i="10"/>
  <c r="W172" i="10" s="1"/>
  <c r="W2" i="12" s="1"/>
  <c r="Y61" i="10" l="1"/>
  <c r="X109" i="10"/>
  <c r="X172" i="10" s="1"/>
  <c r="X2" i="12" s="1"/>
  <c r="V161" i="10"/>
  <c r="V173" i="10" s="1"/>
  <c r="V2" i="13" s="1"/>
  <c r="W113" i="10"/>
  <c r="V57" i="10"/>
  <c r="V171" i="10" s="1"/>
  <c r="V2" i="11" s="1"/>
  <c r="W9" i="10"/>
  <c r="Z61" i="10" l="1"/>
  <c r="Y109" i="10"/>
  <c r="Y172" i="10" s="1"/>
  <c r="Y2" i="12" s="1"/>
  <c r="W57" i="10"/>
  <c r="W171" i="10" s="1"/>
  <c r="W2" i="11" s="1"/>
  <c r="X9" i="10"/>
  <c r="W161" i="10"/>
  <c r="W173" i="10" s="1"/>
  <c r="W2" i="13" s="1"/>
  <c r="X113" i="10"/>
  <c r="X161" i="10" l="1"/>
  <c r="X173" i="10" s="1"/>
  <c r="X2" i="13" s="1"/>
  <c r="Y113" i="10"/>
  <c r="Y9" i="10"/>
  <c r="X57" i="10"/>
  <c r="X171" i="10" s="1"/>
  <c r="X2" i="11" s="1"/>
  <c r="Z109" i="10"/>
  <c r="Z172" i="10" s="1"/>
  <c r="Z2" i="12" s="1"/>
  <c r="AA61" i="10"/>
  <c r="AA109" i="10" l="1"/>
  <c r="AA172" i="10" s="1"/>
  <c r="AA2" i="12" s="1"/>
  <c r="AB61" i="10"/>
  <c r="AB109" i="10" s="1"/>
  <c r="AB172" i="10" s="1"/>
  <c r="AB2" i="12" s="1"/>
  <c r="Y161" i="10"/>
  <c r="Y173" i="10" s="1"/>
  <c r="Y2" i="13" s="1"/>
  <c r="Z113" i="10"/>
  <c r="Z9" i="10"/>
  <c r="Y57" i="10"/>
  <c r="Y171" i="10" s="1"/>
  <c r="Y2" i="11" s="1"/>
  <c r="AA9" i="10" l="1"/>
  <c r="Z57" i="10"/>
  <c r="Z171" i="10" s="1"/>
  <c r="Z2" i="11" s="1"/>
  <c r="Z161" i="10"/>
  <c r="Z173" i="10" s="1"/>
  <c r="Z2" i="13" s="1"/>
  <c r="AA113" i="10"/>
  <c r="AA57" i="10" l="1"/>
  <c r="AA171" i="10" s="1"/>
  <c r="AA2" i="11" s="1"/>
  <c r="AB9" i="10"/>
  <c r="AB57" i="10" s="1"/>
  <c r="AB171" i="10" s="1"/>
  <c r="AB2" i="11" s="1"/>
  <c r="AB113" i="10"/>
  <c r="AB161" i="10" s="1"/>
  <c r="AB173" i="10" s="1"/>
  <c r="AB2" i="13" s="1"/>
  <c r="AA161" i="10"/>
  <c r="AA173" i="10" s="1"/>
  <c r="AA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<sst xmlns="http://schemas.openxmlformats.org/spreadsheetml/2006/main" count="725" uniqueCount="267">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</sst>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110</v>
      </c>
      <c r="C1" s="11">
        <v>46266</v>
      </c>
      <c r="F1" s="1" t="s">
        <v>2</v>
      </c>
      <c r="G1" s="1" t="s">
        <v>3</v>
      </c>
    </row>
    <row r="2" spans="1:7" x14ac:dyDescent="0.45">
      <c r="A2" s="1" t="s">
        <v>4</v>
      </c>
      <c r="B2" t="str">
        <f>INDEX($G$2:$G$49,MATCH($B$1,$F$2:$F$49,0))</f>
        <v>VA</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Virginia</v>
      </c>
    </row>
    <row r="2" spans="1:28" x14ac:dyDescent="0.45">
      <c r="B2" t="str">
        <f>About!B2</f>
        <v>VA</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Virginia</v>
      </c>
    </row>
    <row r="5" spans="1:29" x14ac:dyDescent="0.45">
      <c r="A5" t="s">
        <v>246</v>
      </c>
      <c r="B5" t="str">
        <f>About!$B$2</f>
        <v>VA</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29460544.183473319</v>
      </c>
      <c r="C171">
        <f>IF('State Calculations'!C$5&lt;&gt;"",B171*(1+'State Calculations'!C$5),IFERROR(INDEX(C9:C56,MATCH($B$5,$A9:$A56,0))/C57*C165,0))</f>
        <v>35450985.822890043</v>
      </c>
      <c r="D171">
        <f>IF('State Calculations'!D$5&lt;&gt;"",C171*(1+'State Calculations'!D$5),IFERROR(INDEX(D9:D56,MATCH($B$5,$A9:$A56,0))/D57*D165,0))</f>
        <v>42513016.257312804</v>
      </c>
      <c r="E171">
        <f>IF('State Calculations'!E$5&lt;&gt;"",D171*(1+'State Calculations'!E$5),IFERROR(INDEX(E9:E56,MATCH($B$5,$A9:$A56,0))/E57*E165,0))</f>
        <v>50772045.840216316</v>
      </c>
      <c r="F171">
        <f>IF('State Calculations'!F$5&lt;&gt;"",E171*(1+'State Calculations'!F$5),IFERROR(INDEX(F9:F56,MATCH($B$5,$A9:$A56,0))/F57*F165,0))</f>
        <v>60323584.807258181</v>
      </c>
      <c r="G171">
        <f>IF('State Calculations'!G$5&lt;&gt;"",F171*(1+'State Calculations'!G$5),IFERROR(INDEX(G9:G56,MATCH($B$5,$A9:$A56,0))/G57*G165,0))</f>
        <v>71187364.878695562</v>
      </c>
      <c r="H171">
        <f>IF('State Calculations'!H$5&lt;&gt;"",G171*(1+'State Calculations'!H$5),IFERROR(INDEX(H9:H56,MATCH($B$5,$A9:$A56,0))/H57*H165,0))</f>
        <v>83219871.188738823</v>
      </c>
      <c r="I171">
        <f>IF('State Calculations'!I$5&lt;&gt;"",H171*(1+'State Calculations'!I$5),IFERROR(INDEX(I9:I56,MATCH($B$5,$A9:$A56,0))/I57*I165,0))</f>
        <v>86391982.975860402</v>
      </c>
      <c r="J171">
        <f>IF('State Calculations'!J$5&lt;&gt;"",I171*(1+'State Calculations'!J$5),IFERROR(INDEX(J9:J56,MATCH($B$5,$A9:$A56,0))/J57*J165,0))</f>
        <v>89550233.256309956</v>
      </c>
      <c r="K171">
        <f>IF('State Calculations'!K$5&lt;&gt;"",J171*(1+'State Calculations'!K$5),IFERROR(INDEX(K9:K56,MATCH($B$5,$A9:$A56,0))/K57*K165,0))</f>
        <v>92661402.48825717</v>
      </c>
      <c r="L171">
        <f>IF('State Calculations'!L$5&lt;&gt;"",K171*(1+'State Calculations'!L$5),IFERROR(INDEX(L9:L56,MATCH($B$5,$A9:$A56,0))/L57*L165,0))</f>
        <v>95684413.837489009</v>
      </c>
      <c r="M171">
        <f>IF('State Calculations'!M$5&lt;&gt;"",L171*(1+'State Calculations'!M$5),IFERROR(INDEX(M9:M56,MATCH($B$5,$A9:$A56,0))/M57*M165,0))</f>
        <v>98569158.179517567</v>
      </c>
      <c r="N171">
        <f>IF('State Calculations'!N$5&lt;&gt;"",M171*(1+'State Calculations'!N$5),IFERROR(INDEX(N9:N56,MATCH($B$5,$A9:$A56,0))/N57*N165,0))</f>
        <v>99240607.896905974</v>
      </c>
      <c r="O171">
        <f>IF('State Calculations'!O$5&lt;&gt;"",N171*(1+'State Calculations'!O$5),IFERROR(INDEX(O9:O56,MATCH($B$5,$A9:$A56,0))/O57*O165,0))</f>
        <v>99894943.106091231</v>
      </c>
      <c r="P171">
        <f>IF('State Calculations'!P$5&lt;&gt;"",O171*(1+'State Calculations'!P$5),IFERROR(INDEX(P9:P56,MATCH($B$5,$A9:$A56,0))/P57*P165,0))</f>
        <v>100530764.49721475</v>
      </c>
      <c r="Q171">
        <f>IF('State Calculations'!Q$5&lt;&gt;"",P171*(1+'State Calculations'!Q$5),IFERROR(INDEX(Q9:Q56,MATCH($B$5,$A9:$A56,0))/Q57*Q165,0))</f>
        <v>101146612.76907068</v>
      </c>
      <c r="R171">
        <f>IF('State Calculations'!R$5&lt;&gt;"",Q171*(1+'State Calculations'!R$5),IFERROR(INDEX(R9:R56,MATCH($B$5,$A9:$A56,0))/R57*R165,0))</f>
        <v>101740968.6065843</v>
      </c>
      <c r="S171">
        <f>IF('State Calculations'!S$5&lt;&gt;"",R171*(1+'State Calculations'!S$5),IFERROR(INDEX(S9:S56,MATCH($B$5,$A9:$A56,0))/S57*S165,0))</f>
        <v>101883717.60056977</v>
      </c>
      <c r="T171">
        <f>IF('State Calculations'!T$5&lt;&gt;"",S171*(1+'State Calculations'!T$5),IFERROR(INDEX(T9:T56,MATCH($B$5,$A9:$A56,0))/T57*T165,0))</f>
        <v>102024911.13709012</v>
      </c>
      <c r="U171">
        <f>IF('State Calculations'!U$5&lt;&gt;"",T171*(1+'State Calculations'!U$5),IFERROR(INDEX(U9:U56,MATCH($B$5,$A9:$A56,0))/U57*U165,0))</f>
        <v>102164521.93597122</v>
      </c>
      <c r="V171">
        <f>IF('State Calculations'!V$5&lt;&gt;"",U171*(1+'State Calculations'!V$5),IFERROR(INDEX(V9:V56,MATCH($B$5,$A9:$A56,0))/V57*V165,0))</f>
        <v>102302522.46781284</v>
      </c>
      <c r="W171">
        <f>IF('State Calculations'!W$5&lt;&gt;"",V171*(1+'State Calculations'!W$5),IFERROR(INDEX(W9:W56,MATCH($B$5,$A9:$A56,0))/W57*W165,0))</f>
        <v>102438884.95545948</v>
      </c>
      <c r="X171">
        <f>IF('State Calculations'!X$5&lt;&gt;"",W171*(1+'State Calculations'!X$5),IFERROR(INDEX(X9:X56,MATCH($B$5,$A9:$A56,0))/X57*X165,0))</f>
        <v>102472552.62816678</v>
      </c>
      <c r="Y171">
        <f>IF('State Calculations'!Y$5&lt;&gt;"",X171*(1+'State Calculations'!Y$5),IFERROR(INDEX(Y9:Y56,MATCH($B$5,$A9:$A56,0))/Y57*Y165,0))</f>
        <v>102506114.19113806</v>
      </c>
      <c r="Z171">
        <f>IF('State Calculations'!Z$5&lt;&gt;"",Y171*(1+'State Calculations'!Z$5),IFERROR(INDEX(Z9:Z56,MATCH($B$5,$A9:$A56,0))/Z57*Z165,0))</f>
        <v>102539569.19538711</v>
      </c>
      <c r="AA171">
        <f>IF('State Calculations'!AA$5&lt;&gt;"",Z171*(1+'State Calculations'!AA$5),IFERROR(INDEX(AA9:AA56,MATCH($B$5,$A9:$A56,0))/AA57*AA165,0))</f>
        <v>102572917.1909548</v>
      </c>
      <c r="AB171">
        <f>IF('State Calculations'!AB$5&lt;&gt;"",AA171*(1+'State Calculations'!AB$5),IFERROR(INDEX(AB9:AB56,MATCH($B$5,$A9:$A56,0))/AB57*AB165,0))</f>
        <v>102606157.72691156</v>
      </c>
    </row>
    <row r="172" spans="1:29" x14ac:dyDescent="0.45">
      <c r="A172" s="1" t="s">
        <v>262</v>
      </c>
      <c r="B172">
        <f>IF('State Calculations'!B$5&lt;&gt;"",A172*(1+'State Calculations'!B$5),IFERROR(INDEX(B61:B108,MATCH($B$5,$A61:$A108,0))/B109*B166,0))</f>
        <v>29460544.183473319</v>
      </c>
      <c r="C172">
        <f>IF('State Calculations'!C$5&lt;&gt;"",B172*(1+'State Calculations'!C$5),IFERROR(INDEX(C61:C108,MATCH($B$5,$A61:$A108,0))/C109*C166,0))</f>
        <v>38950801.170180678</v>
      </c>
      <c r="D172">
        <f>IF('State Calculations'!D$5&lt;&gt;"",C172*(1+'State Calculations'!D$5),IFERROR(INDEX(D61:D108,MATCH($B$5,$A61:$A108,0))/D109*D166,0))</f>
        <v>51169296.808686532</v>
      </c>
      <c r="E172">
        <f>IF('State Calculations'!E$5&lt;&gt;"",D172*(1+'State Calculations'!E$5),IFERROR(INDEX(E61:E108,MATCH($B$5,$A61:$A108,0))/E109*E166,0))</f>
        <v>66720159.733041428</v>
      </c>
      <c r="F172">
        <f>IF('State Calculations'!F$5&lt;&gt;"",E172*(1+'State Calculations'!F$5),IFERROR(INDEX(F61:F108,MATCH($B$5,$A61:$A108,0))/F109*F166,0))</f>
        <v>86218419.557361379</v>
      </c>
      <c r="G172">
        <f>IF('State Calculations'!G$5&lt;&gt;"",F172*(1+'State Calculations'!G$5),IFERROR(INDEX(G61:G108,MATCH($B$5,$A61:$A108,0))/G109*G166,0))</f>
        <v>110176989.79774401</v>
      </c>
      <c r="H172">
        <f>IF('State Calculations'!H$5&lt;&gt;"",G172*(1+'State Calculations'!H$5),IFERROR(INDEX(H61:H108,MATCH($B$5,$A61:$A108,0))/H109*H166,0))</f>
        <v>138792476.44978571</v>
      </c>
      <c r="I172">
        <f>IF('State Calculations'!I$5&lt;&gt;"",H172*(1+'State Calculations'!I$5),IFERROR(INDEX(I61:I108,MATCH($B$5,$A61:$A108,0))/I109*I166,0))</f>
        <v>146989162.0656561</v>
      </c>
      <c r="J172">
        <f>IF('State Calculations'!J$5&lt;&gt;"",I172*(1+'State Calculations'!J$5),IFERROR(INDEX(J61:J108,MATCH($B$5,$A61:$A108,0))/J109*J166,0))</f>
        <v>155343599.30860919</v>
      </c>
      <c r="K172">
        <f>IF('State Calculations'!K$5&lt;&gt;"",J172*(1+'State Calculations'!K$5),IFERROR(INDEX(K61:K108,MATCH($B$5,$A61:$A108,0))/K109*K166,0))</f>
        <v>163788445.36029205</v>
      </c>
      <c r="L172">
        <f>IF('State Calculations'!L$5&lt;&gt;"",K172*(1+'State Calculations'!L$5),IFERROR(INDEX(L61:L108,MATCH($B$5,$A61:$A108,0))/L109*L166,0))</f>
        <v>172239962.97564694</v>
      </c>
      <c r="M172">
        <f>IF('State Calculations'!M$5&lt;&gt;"",L172*(1+'State Calculations'!M$5),IFERROR(INDEX(M61:M108,MATCH($B$5,$A61:$A108,0))/M109*M166,0))</f>
        <v>180596237.79535568</v>
      </c>
      <c r="N172">
        <f>IF('State Calculations'!N$5&lt;&gt;"",M172*(1+'State Calculations'!N$5),IFERROR(INDEX(N61:N108,MATCH($B$5,$A61:$A108,0))/N109*N166,0))</f>
        <v>182627366.0789263</v>
      </c>
      <c r="O172">
        <f>IF('State Calculations'!O$5&lt;&gt;"",N172*(1+'State Calculations'!O$5),IFERROR(INDEX(O61:O108,MATCH($B$5,$A61:$A108,0))/O109*O166,0))</f>
        <v>184634413.19627941</v>
      </c>
      <c r="P172">
        <f>IF('State Calculations'!P$5&lt;&gt;"",O172*(1+'State Calculations'!P$5),IFERROR(INDEX(P61:P108,MATCH($B$5,$A61:$A108,0))/P109*P166,0))</f>
        <v>186614508.1271072</v>
      </c>
      <c r="Q172">
        <f>IF('State Calculations'!Q$5&lt;&gt;"",P172*(1+'State Calculations'!Q$5),IFERROR(INDEX(Q61:Q108,MATCH($B$5,$A61:$A108,0))/Q109*Q166,0))</f>
        <v>188564668.72601193</v>
      </c>
      <c r="R172">
        <f>IF('State Calculations'!R$5&lt;&gt;"",Q172*(1+'State Calculations'!R$5),IFERROR(INDEX(R61:R108,MATCH($B$5,$A61:$A108,0))/R109*R166,0))</f>
        <v>190481802.68763113</v>
      </c>
      <c r="S172">
        <f>IF('State Calculations'!S$5&lt;&gt;"",R172*(1+'State Calculations'!S$5),IFERROR(INDEX(S61:S108,MATCH($B$5,$A61:$A108,0))/S109*S166,0))</f>
        <v>190951430.58873284</v>
      </c>
      <c r="T172">
        <f>IF('State Calculations'!T$5&lt;&gt;"",S172*(1+'State Calculations'!T$5),IFERROR(INDEX(T61:T108,MATCH($B$5,$A61:$A108,0))/T109*T166,0))</f>
        <v>191418538.7659066</v>
      </c>
      <c r="U172">
        <f>IF('State Calculations'!U$5&lt;&gt;"",T172*(1+'State Calculations'!U$5),IFERROR(INDEX(U61:U108,MATCH($B$5,$A61:$A108,0))/U109*U166,0))</f>
        <v>191883071.76951814</v>
      </c>
      <c r="V172">
        <f>IF('State Calculations'!V$5&lt;&gt;"",U172*(1+'State Calculations'!V$5),IFERROR(INDEX(V61:V108,MATCH($B$5,$A61:$A108,0))/V109*V166,0))</f>
        <v>192344973.70029297</v>
      </c>
      <c r="W172">
        <f>IF('State Calculations'!W$5&lt;&gt;"",V172*(1+'State Calculations'!W$5),IFERROR(INDEX(W61:W108,MATCH($B$5,$A61:$A108,0))/W109*W166,0))</f>
        <v>192804188.21284622</v>
      </c>
      <c r="X172">
        <f>IF('State Calculations'!X$5&lt;&gt;"",W172*(1+'State Calculations'!X$5),IFERROR(INDEX(X61:X108,MATCH($B$5,$A61:$A108,0))/X109*X166,0))</f>
        <v>192918259.56848845</v>
      </c>
      <c r="Y172">
        <f>IF('State Calculations'!Y$5&lt;&gt;"",X172*(1+'State Calculations'!Y$5),IFERROR(INDEX(Y61:Y108,MATCH($B$5,$A61:$A108,0))/Y109*Y166,0))</f>
        <v>193032154.94759887</v>
      </c>
      <c r="Z172">
        <f>IF('State Calculations'!Z$5&lt;&gt;"",Y172*(1+'State Calculations'!Z$5),IFERROR(INDEX(Z61:Z108,MATCH($B$5,$A61:$A108,0))/Z109*Z166,0))</f>
        <v>193145873.43970978</v>
      </c>
      <c r="AA172">
        <f>IF('State Calculations'!AA$5&lt;&gt;"",Z172*(1+'State Calculations'!AA$5),IFERROR(INDEX(AA61:AA108,MATCH($B$5,$A61:$A108,0))/AA109*AA166,0))</f>
        <v>193259414.13260809</v>
      </c>
      <c r="AB172">
        <f>IF('State Calculations'!AB$5&lt;&gt;"",AA172*(1+'State Calculations'!AB$5),IFERROR(INDEX(AB61:AB108,MATCH($B$5,$A61:$A108,0))/AB109*AB166,0))</f>
        <v>193372776.11233979</v>
      </c>
    </row>
    <row r="173" spans="1:29" x14ac:dyDescent="0.45">
      <c r="A173" s="1" t="s">
        <v>263</v>
      </c>
      <c r="B173">
        <f>IF('State Calculations'!B$5&lt;&gt;"",A173*(1+'State Calculations'!B$5),IFERROR(INDEX(B113:B160,MATCH($B$5,$A113:$A160,0))/B161*B167,0))</f>
        <v>29460544.183473319</v>
      </c>
      <c r="C173">
        <f>IF('State Calculations'!C$5&lt;&gt;"",B173*(1+'State Calculations'!C$5),IFERROR(INDEX(C113:C160,MATCH($B$5,$A113:$A160,0))/C161*C167,0))</f>
        <v>40525896.286170684</v>
      </c>
      <c r="D173">
        <f>IF('State Calculations'!D$5&lt;&gt;"",C173*(1+'State Calculations'!D$5),IFERROR(INDEX(D113:D160,MATCH($B$5,$A113:$A160,0))/D161*D167,0))</f>
        <v>55330900.766191468</v>
      </c>
      <c r="E173">
        <f>IF('State Calculations'!E$5&lt;&gt;"",D173*(1+'State Calculations'!E$5),IFERROR(INDEX(E113:E160,MATCH($B$5,$A113:$A160,0))/E161*E167,0))</f>
        <v>74902337.760065392</v>
      </c>
      <c r="F173">
        <f>IF('State Calculations'!F$5&lt;&gt;"",E173*(1+'State Calculations'!F$5),IFERROR(INDEX(F113:F160,MATCH($B$5,$A113:$A160,0))/F161*F167,0))</f>
        <v>100382417.54121321</v>
      </c>
      <c r="G173">
        <f>IF('State Calculations'!G$5&lt;&gt;"",F173*(1+'State Calculations'!G$5),IFERROR(INDEX(G113:G160,MATCH($B$5,$A113:$A160,0))/G161*G167,0))</f>
        <v>132891183.87991139</v>
      </c>
      <c r="H173">
        <f>IF('State Calculations'!H$5&lt;&gt;"",G173*(1+'State Calculations'!H$5),IFERROR(INDEX(H113:H160,MATCH($B$5,$A113:$A160,0))/H161*H167,0))</f>
        <v>173230828.45238826</v>
      </c>
      <c r="I173">
        <f>IF('State Calculations'!I$5&lt;&gt;"",H173*(1+'State Calculations'!I$5),IFERROR(INDEX(I113:I160,MATCH($B$5,$A113:$A160,0))/I161*I167,0))</f>
        <v>185260200.53025779</v>
      </c>
      <c r="J173">
        <f>IF('State Calculations'!J$5&lt;&gt;"",I173*(1+'State Calculations'!J$5),IFERROR(INDEX(J113:J160,MATCH($B$5,$A113:$A160,0))/J161*J167,0))</f>
        <v>197651880.87863496</v>
      </c>
      <c r="K173">
        <f>IF('State Calculations'!K$5&lt;&gt;"",J173*(1+'State Calculations'!K$5),IFERROR(INDEX(K113:K160,MATCH($B$5,$A113:$A160,0))/K161*K167,0))</f>
        <v>210310055.06777132</v>
      </c>
      <c r="L173">
        <f>IF('State Calculations'!L$5&lt;&gt;"",K173*(1+'State Calculations'!L$5),IFERROR(INDEX(L113:L160,MATCH($B$5,$A113:$A160,0))/L161*L167,0))</f>
        <v>223111265.23895732</v>
      </c>
      <c r="M173">
        <f>IF('State Calculations'!M$5&lt;&gt;"",L173*(1+'State Calculations'!M$5),IFERROR(INDEX(M113:M160,MATCH($B$5,$A113:$A160,0))/M161*M167,0))</f>
        <v>235901014.14785346</v>
      </c>
      <c r="N173">
        <f>IF('State Calculations'!N$5&lt;&gt;"",M173*(1+'State Calculations'!N$5),IFERROR(INDEX(N113:N160,MATCH($B$5,$A113:$A160,0))/N161*N167,0))</f>
        <v>239036763.59446082</v>
      </c>
      <c r="O173">
        <f>IF('State Calculations'!O$5&lt;&gt;"",N173*(1+'State Calculations'!O$5),IFERROR(INDEX(O113:O160,MATCH($B$5,$A113:$A160,0))/O161*O167,0))</f>
        <v>242142169.01085126</v>
      </c>
      <c r="P173">
        <f>IF('State Calculations'!P$5&lt;&gt;"",O173*(1+'State Calculations'!P$5),IFERROR(INDEX(P113:P160,MATCH($B$5,$A113:$A160,0))/P161*P167,0))</f>
        <v>245212507.99437404</v>
      </c>
      <c r="Q173">
        <f>IF('State Calculations'!Q$5&lt;&gt;"",P173*(1+'State Calculations'!Q$5),IFERROR(INDEX(Q113:Q160,MATCH($B$5,$A113:$A160,0))/Q161*Q167,0))</f>
        <v>248242858.01968798</v>
      </c>
      <c r="R173">
        <f>IF('State Calculations'!R$5&lt;&gt;"",Q173*(1+'State Calculations'!R$5),IFERROR(INDEX(R113:R160,MATCH($B$5,$A113:$A160,0))/R161*R167,0))</f>
        <v>251228098.3035354</v>
      </c>
      <c r="S173">
        <f>IF('State Calculations'!S$5&lt;&gt;"",R173*(1+'State Calculations'!S$5),IFERROR(INDEX(S113:S160,MATCH($B$5,$A113:$A160,0))/S161*S167,0))</f>
        <v>251960194.39047095</v>
      </c>
      <c r="T173">
        <f>IF('State Calculations'!T$5&lt;&gt;"",S173*(1+'State Calculations'!T$5),IFERROR(INDEX(T113:T160,MATCH($B$5,$A113:$A160,0))/T161*T167,0))</f>
        <v>252688684.67603928</v>
      </c>
      <c r="U173">
        <f>IF('State Calculations'!U$5&lt;&gt;"",T173*(1+'State Calculations'!U$5),IFERROR(INDEX(U113:U160,MATCH($B$5,$A113:$A160,0))/U161*U167,0))</f>
        <v>253413475.82183659</v>
      </c>
      <c r="V173">
        <f>IF('State Calculations'!V$5&lt;&gt;"",U173*(1+'State Calculations'!V$5),IFERROR(INDEX(V113:V160,MATCH($B$5,$A113:$A160,0))/V161*V167,0))</f>
        <v>254134473.67782089</v>
      </c>
      <c r="W173">
        <f>IF('State Calculations'!W$5&lt;&gt;"",V173*(1+'State Calculations'!W$5),IFERROR(INDEX(W113:W160,MATCH($B$5,$A113:$A160,0))/W161*W167,0))</f>
        <v>254851583.28954577</v>
      </c>
      <c r="X173">
        <f>IF('State Calculations'!X$5&lt;&gt;"",W173*(1+'State Calculations'!X$5),IFERROR(INDEX(X113:X160,MATCH($B$5,$A113:$A160,0))/X161*X167,0))</f>
        <v>255029743.53431371</v>
      </c>
      <c r="Y173">
        <f>IF('State Calculations'!Y$5&lt;&gt;"",X173*(1+'State Calculations'!Y$5),IFERROR(INDEX(Y113:Y160,MATCH($B$5,$A113:$A160,0))/Y161*Y167,0))</f>
        <v>255207646.7514801</v>
      </c>
      <c r="Z173">
        <f>IF('State Calculations'!Z$5&lt;&gt;"",Y173*(1+'State Calculations'!Z$5),IFERROR(INDEX(Z113:Z160,MATCH($B$5,$A113:$A160,0))/Z161*Z167,0))</f>
        <v>255385291.40081686</v>
      </c>
      <c r="AA173">
        <f>IF('State Calculations'!AA$5&lt;&gt;"",Z173*(1+'State Calculations'!AA$5),IFERROR(INDEX(AA113:AA160,MATCH($B$5,$A113:$A160,0))/AA161*AA167,0))</f>
        <v>255562675.93895185</v>
      </c>
      <c r="AB173">
        <f>IF('State Calculations'!AB$5&lt;&gt;"",AA173*(1+'State Calculations'!AB$5),IFERROR(INDEX(AB113:AB160,MATCH($B$5,$A113:$A160,0))/AB161*AB167,0))</f>
        <v>255739798.81937855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29460544.183473319</v>
      </c>
      <c r="C2">
        <f>Calcs!C171</f>
        <v>35450985.822890043</v>
      </c>
      <c r="D2">
        <f>Calcs!D171</f>
        <v>42513016.257312804</v>
      </c>
      <c r="E2">
        <f>Calcs!E171</f>
        <v>50772045.840216316</v>
      </c>
      <c r="F2">
        <f>Calcs!F171</f>
        <v>60323584.807258181</v>
      </c>
      <c r="G2">
        <f>Calcs!G171</f>
        <v>71187364.878695562</v>
      </c>
      <c r="H2">
        <f>Calcs!H171</f>
        <v>83219871.188738823</v>
      </c>
      <c r="I2">
        <f>Calcs!I171</f>
        <v>86391982.975860402</v>
      </c>
      <c r="J2">
        <f>Calcs!J171</f>
        <v>89550233.256309956</v>
      </c>
      <c r="K2">
        <f>Calcs!K171</f>
        <v>92661402.48825717</v>
      </c>
      <c r="L2">
        <f>Calcs!L171</f>
        <v>95684413.837489009</v>
      </c>
      <c r="M2">
        <f>Calcs!M171</f>
        <v>98569158.179517567</v>
      </c>
      <c r="N2">
        <f>Calcs!N171</f>
        <v>99240607.896905974</v>
      </c>
      <c r="O2">
        <f>Calcs!O171</f>
        <v>99894943.106091231</v>
      </c>
      <c r="P2">
        <f>Calcs!P171</f>
        <v>100530764.49721475</v>
      </c>
      <c r="Q2">
        <f>Calcs!Q171</f>
        <v>101146612.76907068</v>
      </c>
      <c r="R2">
        <f>Calcs!R171</f>
        <v>101740968.6065843</v>
      </c>
      <c r="S2">
        <f>Calcs!S171</f>
        <v>101883717.60056977</v>
      </c>
      <c r="T2">
        <f>Calcs!T171</f>
        <v>102024911.13709012</v>
      </c>
      <c r="U2">
        <f>Calcs!U171</f>
        <v>102164521.93597122</v>
      </c>
      <c r="V2">
        <f>Calcs!V171</f>
        <v>102302522.46781284</v>
      </c>
      <c r="W2">
        <f>Calcs!W171</f>
        <v>102438884.95545948</v>
      </c>
      <c r="X2">
        <f>Calcs!X171</f>
        <v>102472552.62816678</v>
      </c>
      <c r="Y2">
        <f>Calcs!Y171</f>
        <v>102506114.19113806</v>
      </c>
      <c r="Z2">
        <f>Calcs!Z171</f>
        <v>102539569.19538711</v>
      </c>
      <c r="AA2">
        <f>Calcs!AA171</f>
        <v>102572917.1909548</v>
      </c>
      <c r="AB2">
        <f>Calcs!AB171</f>
        <v>102606157.72691156</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29460544.183473319</v>
      </c>
      <c r="C2">
        <f>Calcs!C172</f>
        <v>38950801.170180678</v>
      </c>
      <c r="D2">
        <f>Calcs!D172</f>
        <v>51169296.808686532</v>
      </c>
      <c r="E2">
        <f>Calcs!E172</f>
        <v>66720159.733041428</v>
      </c>
      <c r="F2">
        <f>Calcs!F172</f>
        <v>86218419.557361379</v>
      </c>
      <c r="G2">
        <f>Calcs!G172</f>
        <v>110176989.79774401</v>
      </c>
      <c r="H2">
        <f>Calcs!H172</f>
        <v>138792476.44978571</v>
      </c>
      <c r="I2">
        <f>Calcs!I172</f>
        <v>146989162.0656561</v>
      </c>
      <c r="J2">
        <f>Calcs!J172</f>
        <v>155343599.30860919</v>
      </c>
      <c r="K2">
        <f>Calcs!K172</f>
        <v>163788445.36029205</v>
      </c>
      <c r="L2">
        <f>Calcs!L172</f>
        <v>172239962.97564694</v>
      </c>
      <c r="M2">
        <f>Calcs!M172</f>
        <v>180596237.79535568</v>
      </c>
      <c r="N2">
        <f>Calcs!N172</f>
        <v>182627366.0789263</v>
      </c>
      <c r="O2">
        <f>Calcs!O172</f>
        <v>184634413.19627941</v>
      </c>
      <c r="P2">
        <f>Calcs!P172</f>
        <v>186614508.1271072</v>
      </c>
      <c r="Q2">
        <f>Calcs!Q172</f>
        <v>188564668.72601193</v>
      </c>
      <c r="R2">
        <f>Calcs!R172</f>
        <v>190481802.68763113</v>
      </c>
      <c r="S2">
        <f>Calcs!S172</f>
        <v>190951430.58873284</v>
      </c>
      <c r="T2">
        <f>Calcs!T172</f>
        <v>191418538.7659066</v>
      </c>
      <c r="U2">
        <f>Calcs!U172</f>
        <v>191883071.76951814</v>
      </c>
      <c r="V2">
        <f>Calcs!V172</f>
        <v>192344973.70029297</v>
      </c>
      <c r="W2">
        <f>Calcs!W172</f>
        <v>192804188.21284622</v>
      </c>
      <c r="X2">
        <f>Calcs!X172</f>
        <v>192918259.56848845</v>
      </c>
      <c r="Y2">
        <f>Calcs!Y172</f>
        <v>193032154.94759887</v>
      </c>
      <c r="Z2">
        <f>Calcs!Z172</f>
        <v>193145873.43970978</v>
      </c>
      <c r="AA2">
        <f>Calcs!AA172</f>
        <v>193259414.13260809</v>
      </c>
      <c r="AB2">
        <f>Calcs!AB172</f>
        <v>193372776.11233979</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29460544.183473319</v>
      </c>
      <c r="C2">
        <f>Calcs!C173</f>
        <v>40525896.286170684</v>
      </c>
      <c r="D2">
        <f>Calcs!D173</f>
        <v>55330900.766191468</v>
      </c>
      <c r="E2">
        <f>Calcs!E173</f>
        <v>74902337.760065392</v>
      </c>
      <c r="F2">
        <f>Calcs!F173</f>
        <v>100382417.54121321</v>
      </c>
      <c r="G2">
        <f>Calcs!G173</f>
        <v>132891183.87991139</v>
      </c>
      <c r="H2">
        <f>Calcs!H173</f>
        <v>173230828.45238826</v>
      </c>
      <c r="I2">
        <f>Calcs!I173</f>
        <v>185260200.53025779</v>
      </c>
      <c r="J2">
        <f>Calcs!J173</f>
        <v>197651880.87863496</v>
      </c>
      <c r="K2">
        <f>Calcs!K173</f>
        <v>210310055.06777132</v>
      </c>
      <c r="L2">
        <f>Calcs!L173</f>
        <v>223111265.23895732</v>
      </c>
      <c r="M2">
        <f>Calcs!M173</f>
        <v>235901014.14785346</v>
      </c>
      <c r="N2">
        <f>Calcs!N173</f>
        <v>239036763.59446082</v>
      </c>
      <c r="O2">
        <f>Calcs!O173</f>
        <v>242142169.01085126</v>
      </c>
      <c r="P2">
        <f>Calcs!P173</f>
        <v>245212507.99437404</v>
      </c>
      <c r="Q2">
        <f>Calcs!Q173</f>
        <v>248242858.01968798</v>
      </c>
      <c r="R2">
        <f>Calcs!R173</f>
        <v>251228098.3035354</v>
      </c>
      <c r="S2">
        <f>Calcs!S173</f>
        <v>251960194.39047095</v>
      </c>
      <c r="T2">
        <f>Calcs!T173</f>
        <v>252688684.67603928</v>
      </c>
      <c r="U2">
        <f>Calcs!U173</f>
        <v>253413475.82183659</v>
      </c>
      <c r="V2">
        <f>Calcs!V173</f>
        <v>254134473.67782089</v>
      </c>
      <c r="W2">
        <f>Calcs!W173</f>
        <v>254851583.28954577</v>
      </c>
      <c r="X2">
        <f>Calcs!X173</f>
        <v>255029743.53431371</v>
      </c>
      <c r="Y2">
        <f>Calcs!Y173</f>
        <v>255207646.7514801</v>
      </c>
      <c r="Z2">
        <f>Calcs!Z173</f>
        <v>255385291.40081686</v>
      </c>
      <c r="AA2">
        <f>Calcs!AA173</f>
        <v>255562675.93895185</v>
      </c>
      <c r="AB2">
        <f>Calcs!AB173</f>
        <v>255739798.81937855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2026-09-01T22:21:54Z</dcterms:modified>
</cp:coreProperties>
</file>