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elec\MPCbS\"/>
    </mc:Choice>
  </mc:AlternateContent>
  <xr:revisionPtr revIDLastSave="0" documentId="8_{B3AA803E-9A7D-451A-A5B9-57C740665871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7"/>
  <c r="B1" i="7" s="1"/>
  <c r="B15" i="3" s="1"/>
  <c r="A1" i="9"/>
  <c r="B1" i="9" s="1"/>
  <c r="B10" i="3" s="1"/>
  <c r="B21" i="3" s="1"/>
  <c r="A1" i="10"/>
  <c r="B1" i="10" s="1"/>
  <c r="B11" i="3" s="1"/>
  <c r="A1" i="6"/>
  <c r="B1" i="6" s="1"/>
  <c r="B9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<sst xmlns="http://schemas.openxmlformats.org/spreadsheetml/2006/main" count="914" uniqueCount="279">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</sst>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190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VA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VA</v>
      </c>
      <c r="B1" s="32">
        <f>SUMIFS(E3:E52,A3:A52,A1)</f>
        <v>1109000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VA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VA</v>
      </c>
      <c r="B1" s="32">
        <f>SUMIFS(C4:C53,A4:A53,A1)</f>
        <v>89000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Virginia</v>
      </c>
      <c r="B1" s="32" t="str">
        <f>LOOKUP(A1,M4:N53,N4:N53)</f>
        <v>VA</v>
      </c>
      <c r="C1" s="32">
        <f>SUMIFS(L5:L52,A5:A52,B1)</f>
        <v>89120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VA</v>
      </c>
      <c r="B1" s="32">
        <f>SUMIFS(D4:D53,A4:A53,A1)</f>
        <v>1690.3131115459882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VA</v>
      </c>
      <c r="B1" s="32">
        <f>SUMIFS(C3:C52,A3:A52,A1)</f>
        <v>37000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VA</v>
      </c>
      <c r="B1" s="32">
        <f>SUMIFS(D5:D54,A5:A54,A1)</f>
        <v>834.93150684931504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834.93150684931504</v>
      </c>
    </row>
    <row r="7" spans="1:2" x14ac:dyDescent="0.75">
      <c r="A7" t="s">
        <v>55</v>
      </c>
      <c r="B7">
        <f>'onshore wind'!C1</f>
        <v>89120</v>
      </c>
    </row>
    <row r="8" spans="1:2" x14ac:dyDescent="0.75">
      <c r="A8" t="s">
        <v>33</v>
      </c>
      <c r="B8">
        <f>'solar PV'!B1</f>
        <v>1109000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1690.3131115459882</v>
      </c>
    </row>
    <row r="11" spans="1:2" x14ac:dyDescent="0.75">
      <c r="A11" t="s">
        <v>39</v>
      </c>
      <c r="B11">
        <f>geothermal!B1</f>
        <v>37000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89000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209.03072262452073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1690.3131115459882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2023-11-07T21:50:01Z</dcterms:modified>
</cp:coreProperties>
</file>