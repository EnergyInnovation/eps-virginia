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A\add-outputs\HOIpTP\"/>
    </mc:Choice>
  </mc:AlternateContent>
  <xr:revisionPtr revIDLastSave="0" documentId="8_{98984D33-D448-4D11-A14C-77D75EDB048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Q3" i="19"/>
  <c r="J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D15" i="18"/>
  <c r="B15" i="18"/>
  <c r="Y14" i="18"/>
  <c r="U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X8" i="18"/>
  <c r="U8" i="18"/>
  <c r="R8" i="18"/>
  <c r="N8" i="18"/>
  <c r="M8" i="18"/>
  <c r="F8" i="18"/>
  <c r="B8" i="18"/>
  <c r="Y8" i="18" s="1"/>
  <c r="AB7" i="18"/>
  <c r="AA7" i="18"/>
  <c r="H7" i="18"/>
  <c r="D7" i="18"/>
  <c r="C7" i="18"/>
  <c r="B7" i="18"/>
  <c r="G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J3" i="18"/>
  <c r="I3" i="18"/>
  <c r="E3" i="18"/>
  <c r="B3" i="18"/>
  <c r="Z3" i="18" s="1"/>
  <c r="Z2" i="18"/>
  <c r="V2" i="18"/>
  <c r="K2" i="18"/>
  <c r="D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W13" i="17"/>
  <c r="S13" i="17"/>
  <c r="R13" i="17"/>
  <c r="D13" i="17"/>
  <c r="C13" i="17"/>
  <c r="B13" i="17"/>
  <c r="X13" i="17" s="1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O8" i="17"/>
  <c r="F8" i="17"/>
  <c r="D8" i="17"/>
  <c r="C8" i="17"/>
  <c r="B8" i="17"/>
  <c r="AB8" i="17" s="1"/>
  <c r="Z7" i="17"/>
  <c r="Y7" i="17"/>
  <c r="W7" i="17"/>
  <c r="U7" i="17"/>
  <c r="T7" i="17"/>
  <c r="H7" i="17"/>
  <c r="G7" i="17"/>
  <c r="B7" i="17"/>
  <c r="Q6" i="17"/>
  <c r="G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R17" i="16"/>
  <c r="G17" i="16"/>
  <c r="B17" i="16"/>
  <c r="B16" i="16"/>
  <c r="AA15" i="16"/>
  <c r="X15" i="16"/>
  <c r="K15" i="16"/>
  <c r="B15" i="16"/>
  <c r="Y15" i="16" s="1"/>
  <c r="G14" i="16"/>
  <c r="F14" i="16"/>
  <c r="C14" i="16"/>
  <c r="B14" i="16"/>
  <c r="AB14" i="16" s="1"/>
  <c r="X13" i="16"/>
  <c r="W13" i="16"/>
  <c r="J13" i="16"/>
  <c r="D13" i="16"/>
  <c r="B13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T7" i="16"/>
  <c r="S7" i="16"/>
  <c r="R7" i="16"/>
  <c r="O7" i="16"/>
  <c r="M7" i="16"/>
  <c r="H7" i="16"/>
  <c r="G7" i="16"/>
  <c r="F7" i="16"/>
  <c r="E7" i="16"/>
  <c r="D7" i="16"/>
  <c r="C7" i="16"/>
  <c r="B7" i="16"/>
  <c r="Z7" i="16" s="1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W3" i="16"/>
  <c r="R3" i="16"/>
  <c r="O3" i="16"/>
  <c r="C3" i="16"/>
  <c r="B3" i="16"/>
  <c r="Z3" i="16" s="1"/>
  <c r="B2" i="16"/>
  <c r="AA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E15" i="15"/>
  <c r="C15" i="15"/>
  <c r="B15" i="15"/>
  <c r="G15" i="15" s="1"/>
  <c r="E14" i="15"/>
  <c r="D14" i="15"/>
  <c r="B14" i="15"/>
  <c r="AB14" i="15" s="1"/>
  <c r="W13" i="15"/>
  <c r="V13" i="15"/>
  <c r="T13" i="15"/>
  <c r="S13" i="15"/>
  <c r="R13" i="15"/>
  <c r="Q13" i="15"/>
  <c r="O13" i="15"/>
  <c r="N13" i="15"/>
  <c r="L13" i="15"/>
  <c r="K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M12" i="15"/>
  <c r="K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Y8" i="15"/>
  <c r="X8" i="15"/>
  <c r="R8" i="15"/>
  <c r="O8" i="15"/>
  <c r="K8" i="15"/>
  <c r="J8" i="15"/>
  <c r="H8" i="15"/>
  <c r="F8" i="15"/>
  <c r="C8" i="15"/>
  <c r="B8" i="15"/>
  <c r="AB7" i="15"/>
  <c r="Y7" i="15"/>
  <c r="W7" i="15"/>
  <c r="V7" i="15"/>
  <c r="S7" i="15"/>
  <c r="R7" i="15"/>
  <c r="Q7" i="15"/>
  <c r="P7" i="15"/>
  <c r="O7" i="15"/>
  <c r="N7" i="15"/>
  <c r="I7" i="15"/>
  <c r="G7" i="15"/>
  <c r="E7" i="15"/>
  <c r="C7" i="15"/>
  <c r="B7" i="15"/>
  <c r="AA7" i="15" s="1"/>
  <c r="P6" i="15"/>
  <c r="O6" i="15"/>
  <c r="M6" i="15"/>
  <c r="L6" i="15"/>
  <c r="B6" i="15"/>
  <c r="AB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B2" i="15"/>
  <c r="P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Z15" i="14"/>
  <c r="Y15" i="14"/>
  <c r="W15" i="14"/>
  <c r="V15" i="14"/>
  <c r="U15" i="14"/>
  <c r="S15" i="14"/>
  <c r="R15" i="14"/>
  <c r="P15" i="14"/>
  <c r="O15" i="14"/>
  <c r="N15" i="14"/>
  <c r="M15" i="14"/>
  <c r="L15" i="14"/>
  <c r="K15" i="14"/>
  <c r="J15" i="14"/>
  <c r="I15" i="14"/>
  <c r="F15" i="14"/>
  <c r="E15" i="14"/>
  <c r="B15" i="14"/>
  <c r="AB14" i="14"/>
  <c r="S14" i="14"/>
  <c r="R14" i="14"/>
  <c r="B14" i="14"/>
  <c r="Y14" i="14" s="1"/>
  <c r="S13" i="14"/>
  <c r="E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C7" i="14"/>
  <c r="B7" i="14"/>
  <c r="R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W3" i="14"/>
  <c r="V3" i="14"/>
  <c r="U3" i="14"/>
  <c r="T3" i="14"/>
  <c r="S3" i="14"/>
  <c r="P3" i="14"/>
  <c r="N3" i="14"/>
  <c r="M3" i="14"/>
  <c r="K3" i="14"/>
  <c r="J3" i="14"/>
  <c r="G3" i="14"/>
  <c r="F3" i="14"/>
  <c r="E3" i="14"/>
  <c r="B3" i="14"/>
  <c r="AB2" i="14"/>
  <c r="AA2" i="14"/>
  <c r="X2" i="14"/>
  <c r="V2" i="14"/>
  <c r="U2" i="14"/>
  <c r="R2" i="14"/>
  <c r="P2" i="14"/>
  <c r="O2" i="14"/>
  <c r="M2" i="14"/>
  <c r="L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E17" i="13"/>
  <c r="B17" i="13"/>
  <c r="F17" i="13" s="1"/>
  <c r="U16" i="13"/>
  <c r="T16" i="13"/>
  <c r="H16" i="13"/>
  <c r="G16" i="13"/>
  <c r="B16" i="13"/>
  <c r="AA16" i="13" s="1"/>
  <c r="Z15" i="13"/>
  <c r="Y15" i="13"/>
  <c r="W15" i="13"/>
  <c r="V15" i="13"/>
  <c r="N15" i="13"/>
  <c r="B15" i="13"/>
  <c r="AB15" i="13" s="1"/>
  <c r="AA14" i="13"/>
  <c r="Y14" i="13"/>
  <c r="W14" i="13"/>
  <c r="V14" i="13"/>
  <c r="T14" i="13"/>
  <c r="Q14" i="13"/>
  <c r="M14" i="13"/>
  <c r="L14" i="13"/>
  <c r="J14" i="13"/>
  <c r="E14" i="13"/>
  <c r="B14" i="13"/>
  <c r="T13" i="13"/>
  <c r="O13" i="13"/>
  <c r="N13" i="13"/>
  <c r="M13" i="13"/>
  <c r="K13" i="13"/>
  <c r="B13" i="13"/>
  <c r="Z13" i="13" s="1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B8" i="13"/>
  <c r="AA8" i="13" s="1"/>
  <c r="AA7" i="13"/>
  <c r="Z7" i="13"/>
  <c r="X7" i="13"/>
  <c r="W7" i="13"/>
  <c r="U7" i="13"/>
  <c r="S7" i="13"/>
  <c r="R7" i="13"/>
  <c r="H7" i="13"/>
  <c r="G7" i="13"/>
  <c r="E7" i="13"/>
  <c r="C7" i="13"/>
  <c r="B7" i="13"/>
  <c r="AB7" i="13" s="1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I3" i="13" s="1"/>
  <c r="AB2" i="13"/>
  <c r="Z2" i="13"/>
  <c r="Y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T17" i="12" s="1"/>
  <c r="AB16" i="12"/>
  <c r="AA16" i="12"/>
  <c r="Z16" i="12"/>
  <c r="J16" i="12"/>
  <c r="C16" i="12"/>
  <c r="B16" i="12"/>
  <c r="Z15" i="12"/>
  <c r="Y15" i="12"/>
  <c r="W15" i="12"/>
  <c r="V15" i="12"/>
  <c r="T15" i="12"/>
  <c r="S15" i="12"/>
  <c r="R15" i="12"/>
  <c r="Q15" i="12"/>
  <c r="O15" i="12"/>
  <c r="N15" i="12"/>
  <c r="M15" i="12"/>
  <c r="L15" i="12"/>
  <c r="K15" i="12"/>
  <c r="J15" i="12"/>
  <c r="I15" i="12"/>
  <c r="H15" i="12"/>
  <c r="G15" i="12"/>
  <c r="F15" i="12"/>
  <c r="E15" i="12"/>
  <c r="B15" i="12"/>
  <c r="X14" i="12"/>
  <c r="W14" i="12"/>
  <c r="K14" i="12"/>
  <c r="B14" i="12"/>
  <c r="L14" i="12" s="1"/>
  <c r="B13" i="12"/>
  <c r="C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Z8" i="12"/>
  <c r="W8" i="12"/>
  <c r="S8" i="12"/>
  <c r="R8" i="12"/>
  <c r="Q8" i="12"/>
  <c r="H8" i="12"/>
  <c r="B8" i="12"/>
  <c r="AA8" i="12" s="1"/>
  <c r="AB7" i="12"/>
  <c r="AA7" i="12"/>
  <c r="Z7" i="12"/>
  <c r="Y7" i="12"/>
  <c r="X7" i="12"/>
  <c r="W7" i="12"/>
  <c r="V7" i="12"/>
  <c r="K7" i="12"/>
  <c r="J7" i="12"/>
  <c r="I7" i="12"/>
  <c r="G7" i="12"/>
  <c r="F7" i="12"/>
  <c r="E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Z3" i="12"/>
  <c r="Y3" i="12"/>
  <c r="T3" i="12"/>
  <c r="N3" i="12"/>
  <c r="M3" i="12"/>
  <c r="L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D17" i="11"/>
  <c r="C17" i="11"/>
  <c r="B17" i="11"/>
  <c r="P17" i="11" s="1"/>
  <c r="AB16" i="11"/>
  <c r="Y16" i="11"/>
  <c r="W16" i="11"/>
  <c r="V16" i="11"/>
  <c r="D16" i="11"/>
  <c r="B16" i="11"/>
  <c r="AA16" i="11" s="1"/>
  <c r="B15" i="11"/>
  <c r="R15" i="11" s="1"/>
  <c r="AB14" i="11"/>
  <c r="X14" i="11"/>
  <c r="R14" i="11"/>
  <c r="E14" i="11"/>
  <c r="B14" i="11"/>
  <c r="AA13" i="11"/>
  <c r="Z13" i="11"/>
  <c r="Y13" i="11"/>
  <c r="X13" i="11"/>
  <c r="V13" i="11"/>
  <c r="U13" i="11"/>
  <c r="R13" i="11"/>
  <c r="Q13" i="11"/>
  <c r="M13" i="11"/>
  <c r="L13" i="11"/>
  <c r="K13" i="11"/>
  <c r="B13" i="11"/>
  <c r="AB13" i="11" s="1"/>
  <c r="AB12" i="11"/>
  <c r="Z12" i="11"/>
  <c r="Y12" i="11"/>
  <c r="X12" i="11"/>
  <c r="U12" i="11"/>
  <c r="T12" i="11"/>
  <c r="P12" i="11"/>
  <c r="O12" i="11"/>
  <c r="L12" i="11"/>
  <c r="K12" i="11"/>
  <c r="J12" i="11"/>
  <c r="I12" i="11"/>
  <c r="G12" i="11"/>
  <c r="F12" i="11"/>
  <c r="B12" i="11"/>
  <c r="M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C8" i="11"/>
  <c r="B8" i="11"/>
  <c r="AA7" i="11"/>
  <c r="Z7" i="11"/>
  <c r="X7" i="11"/>
  <c r="W7" i="11"/>
  <c r="P7" i="11"/>
  <c r="D7" i="11"/>
  <c r="B7" i="11"/>
  <c r="X6" i="11"/>
  <c r="U6" i="11"/>
  <c r="T6" i="11"/>
  <c r="R6" i="11"/>
  <c r="Q6" i="11"/>
  <c r="O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U3" i="11"/>
  <c r="S3" i="11"/>
  <c r="R3" i="11"/>
  <c r="Q3" i="11"/>
  <c r="I3" i="11"/>
  <c r="B3" i="11"/>
  <c r="P3" i="11" s="1"/>
  <c r="Q2" i="11"/>
  <c r="G2" i="11"/>
  <c r="B2" i="11"/>
  <c r="N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A15" i="10"/>
  <c r="Z15" i="10"/>
  <c r="Y15" i="10"/>
  <c r="W15" i="10"/>
  <c r="V15" i="10"/>
  <c r="U15" i="10"/>
  <c r="T15" i="10"/>
  <c r="R15" i="10"/>
  <c r="Q15" i="10"/>
  <c r="P15" i="10"/>
  <c r="O15" i="10"/>
  <c r="N15" i="10"/>
  <c r="M15" i="10"/>
  <c r="L15" i="10"/>
  <c r="K15" i="10"/>
  <c r="I15" i="10"/>
  <c r="H15" i="10"/>
  <c r="G15" i="10"/>
  <c r="F15" i="10"/>
  <c r="D15" i="10"/>
  <c r="C15" i="10"/>
  <c r="B15" i="10"/>
  <c r="N14" i="10"/>
  <c r="K14" i="10"/>
  <c r="J14" i="10"/>
  <c r="H14" i="10"/>
  <c r="G14" i="10"/>
  <c r="B14" i="10"/>
  <c r="E14" i="10" s="1"/>
  <c r="M13" i="10"/>
  <c r="B13" i="10"/>
  <c r="AA13" i="10" s="1"/>
  <c r="Z12" i="10"/>
  <c r="B12" i="10"/>
  <c r="AB12" i="10" s="1"/>
  <c r="C11" i="10"/>
  <c r="B11" i="10"/>
  <c r="B10" i="10"/>
  <c r="B9" i="10"/>
  <c r="K8" i="10"/>
  <c r="I8" i="10"/>
  <c r="C8" i="10"/>
  <c r="B8" i="10"/>
  <c r="Q8" i="10" s="1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AA2" i="10"/>
  <c r="Z2" i="10"/>
  <c r="Y2" i="10"/>
  <c r="V2" i="10"/>
  <c r="U2" i="10"/>
  <c r="P2" i="10"/>
  <c r="K2" i="10"/>
  <c r="J2" i="10"/>
  <c r="G2" i="10"/>
  <c r="E2" i="10"/>
  <c r="D2" i="10"/>
  <c r="C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B14" i="9"/>
  <c r="AA14" i="9"/>
  <c r="Y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H14" i="9"/>
  <c r="G14" i="9"/>
  <c r="F14" i="9"/>
  <c r="E14" i="9"/>
  <c r="D14" i="9"/>
  <c r="C14" i="9"/>
  <c r="B14" i="9"/>
  <c r="Z13" i="9"/>
  <c r="Y13" i="9"/>
  <c r="W13" i="9"/>
  <c r="S13" i="9"/>
  <c r="Q13" i="9"/>
  <c r="M13" i="9"/>
  <c r="D13" i="9"/>
  <c r="C13" i="9"/>
  <c r="B13" i="9"/>
  <c r="AA13" i="9" s="1"/>
  <c r="Z12" i="9"/>
  <c r="W12" i="9"/>
  <c r="U12" i="9"/>
  <c r="S12" i="9"/>
  <c r="O12" i="9"/>
  <c r="J12" i="9"/>
  <c r="B12" i="9"/>
  <c r="Y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X8" i="9"/>
  <c r="U8" i="9"/>
  <c r="T8" i="9"/>
  <c r="S8" i="9"/>
  <c r="R8" i="9"/>
  <c r="Q8" i="9"/>
  <c r="P8" i="9"/>
  <c r="K8" i="9"/>
  <c r="C8" i="9"/>
  <c r="B8" i="9"/>
  <c r="AB8" i="9" s="1"/>
  <c r="X7" i="9"/>
  <c r="U7" i="9"/>
  <c r="T7" i="9"/>
  <c r="S7" i="9"/>
  <c r="R7" i="9"/>
  <c r="Q7" i="9"/>
  <c r="P7" i="9"/>
  <c r="N7" i="9"/>
  <c r="G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B3" i="9"/>
  <c r="AA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N15" i="8"/>
  <c r="M15" i="8"/>
  <c r="L15" i="8"/>
  <c r="K15" i="8"/>
  <c r="J15" i="8"/>
  <c r="I15" i="8"/>
  <c r="H15" i="8"/>
  <c r="G15" i="8"/>
  <c r="F15" i="8"/>
  <c r="E15" i="8"/>
  <c r="B15" i="8"/>
  <c r="T14" i="8"/>
  <c r="M14" i="8"/>
  <c r="K14" i="8"/>
  <c r="J14" i="8"/>
  <c r="I14" i="8"/>
  <c r="H14" i="8"/>
  <c r="G14" i="8"/>
  <c r="B14" i="8"/>
  <c r="Y14" i="8" s="1"/>
  <c r="AA13" i="8"/>
  <c r="W13" i="8"/>
  <c r="V13" i="8"/>
  <c r="U13" i="8"/>
  <c r="S13" i="8"/>
  <c r="Q13" i="8"/>
  <c r="P13" i="8"/>
  <c r="O13" i="8"/>
  <c r="N13" i="8"/>
  <c r="M13" i="8"/>
  <c r="L13" i="8"/>
  <c r="K13" i="8"/>
  <c r="J13" i="8"/>
  <c r="I13" i="8"/>
  <c r="E13" i="8"/>
  <c r="C13" i="8"/>
  <c r="B13" i="8"/>
  <c r="T13" i="8" s="1"/>
  <c r="AB12" i="8"/>
  <c r="AA12" i="8"/>
  <c r="Z12" i="8"/>
  <c r="Y12" i="8"/>
  <c r="W12" i="8"/>
  <c r="V12" i="8"/>
  <c r="U12" i="8"/>
  <c r="T12" i="8"/>
  <c r="S12" i="8"/>
  <c r="R12" i="8"/>
  <c r="Q12" i="8"/>
  <c r="O12" i="8"/>
  <c r="N12" i="8"/>
  <c r="H12" i="8"/>
  <c r="E12" i="8"/>
  <c r="D12" i="8"/>
  <c r="C12" i="8"/>
  <c r="B12" i="8"/>
  <c r="X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B8" i="8"/>
  <c r="H8" i="8" s="1"/>
  <c r="Z7" i="8"/>
  <c r="Y7" i="8"/>
  <c r="W7" i="8"/>
  <c r="U7" i="8"/>
  <c r="T7" i="8"/>
  <c r="S7" i="8"/>
  <c r="Q7" i="8"/>
  <c r="P7" i="8"/>
  <c r="O7" i="8"/>
  <c r="M7" i="8"/>
  <c r="K7" i="8"/>
  <c r="J7" i="8"/>
  <c r="B7" i="8"/>
  <c r="G7" i="8" s="1"/>
  <c r="F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L3" i="8"/>
  <c r="I3" i="8"/>
  <c r="E3" i="8"/>
  <c r="D3" i="8"/>
  <c r="C3" i="8"/>
  <c r="B3" i="8"/>
  <c r="V2" i="8"/>
  <c r="T2" i="8"/>
  <c r="S2" i="8"/>
  <c r="R2" i="8"/>
  <c r="Q2" i="8"/>
  <c r="P2" i="8"/>
  <c r="B2" i="8"/>
  <c r="H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J17" i="7"/>
  <c r="G17" i="7"/>
  <c r="E17" i="7"/>
  <c r="D17" i="7"/>
  <c r="C17" i="7"/>
  <c r="B17" i="7"/>
  <c r="N16" i="7"/>
  <c r="M16" i="7"/>
  <c r="L16" i="7"/>
  <c r="J16" i="7"/>
  <c r="H16" i="7"/>
  <c r="G16" i="7"/>
  <c r="B16" i="7"/>
  <c r="AA16" i="7" s="1"/>
  <c r="B15" i="7"/>
  <c r="AA15" i="7" s="1"/>
  <c r="B14" i="7"/>
  <c r="M14" i="7" s="1"/>
  <c r="AB13" i="7"/>
  <c r="AA13" i="7"/>
  <c r="X13" i="7"/>
  <c r="Q13" i="7"/>
  <c r="J13" i="7"/>
  <c r="I13" i="7"/>
  <c r="E13" i="7"/>
  <c r="B13" i="7"/>
  <c r="AB12" i="7"/>
  <c r="Y12" i="7"/>
  <c r="X12" i="7"/>
  <c r="W12" i="7"/>
  <c r="V12" i="7"/>
  <c r="T12" i="7"/>
  <c r="S12" i="7"/>
  <c r="M12" i="7"/>
  <c r="L12" i="7"/>
  <c r="J12" i="7"/>
  <c r="G12" i="7"/>
  <c r="F12" i="7"/>
  <c r="E12" i="7"/>
  <c r="C12" i="7"/>
  <c r="B12" i="7"/>
  <c r="O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T8" i="7"/>
  <c r="R8" i="7"/>
  <c r="Q8" i="7"/>
  <c r="P8" i="7"/>
  <c r="N8" i="7"/>
  <c r="M8" i="7"/>
  <c r="L8" i="7"/>
  <c r="B8" i="7"/>
  <c r="Y8" i="7" s="1"/>
  <c r="U7" i="7"/>
  <c r="R7" i="7"/>
  <c r="Q7" i="7"/>
  <c r="P7" i="7"/>
  <c r="O7" i="7"/>
  <c r="N7" i="7"/>
  <c r="B7" i="7"/>
  <c r="D7" i="7" s="1"/>
  <c r="AB6" i="7"/>
  <c r="Z6" i="7"/>
  <c r="W6" i="7"/>
  <c r="V6" i="7"/>
  <c r="U6" i="7"/>
  <c r="S6" i="7"/>
  <c r="R6" i="7"/>
  <c r="Q6" i="7"/>
  <c r="P6" i="7"/>
  <c r="O6" i="7"/>
  <c r="K6" i="7"/>
  <c r="B6" i="7"/>
  <c r="H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U3" i="7"/>
  <c r="T3" i="7"/>
  <c r="M3" i="7"/>
  <c r="K3" i="7"/>
  <c r="H3" i="7"/>
  <c r="G3" i="7"/>
  <c r="F3" i="7"/>
  <c r="B3" i="7"/>
  <c r="Z2" i="7"/>
  <c r="S2" i="7"/>
  <c r="R2" i="7"/>
  <c r="Q2" i="7"/>
  <c r="P2" i="7"/>
  <c r="O2" i="7"/>
  <c r="N2" i="7"/>
  <c r="L2" i="7"/>
  <c r="K2" i="7"/>
  <c r="I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X17" i="6"/>
  <c r="W17" i="6"/>
  <c r="V17" i="6"/>
  <c r="U17" i="6"/>
  <c r="S17" i="6"/>
  <c r="R17" i="6"/>
  <c r="Q17" i="6"/>
  <c r="P17" i="6"/>
  <c r="O17" i="6"/>
  <c r="L17" i="6"/>
  <c r="K17" i="6"/>
  <c r="J17" i="6"/>
  <c r="H17" i="6"/>
  <c r="C17" i="6"/>
  <c r="B17" i="6"/>
  <c r="Z17" i="6" s="1"/>
  <c r="E16" i="6"/>
  <c r="D16" i="6"/>
  <c r="C16" i="6"/>
  <c r="B16" i="6"/>
  <c r="AB15" i="6"/>
  <c r="AA15" i="6"/>
  <c r="Y15" i="6"/>
  <c r="W15" i="6"/>
  <c r="V15" i="6"/>
  <c r="U15" i="6"/>
  <c r="S15" i="6"/>
  <c r="R15" i="6"/>
  <c r="Q15" i="6"/>
  <c r="P15" i="6"/>
  <c r="O15" i="6"/>
  <c r="J15" i="6"/>
  <c r="H15" i="6"/>
  <c r="F15" i="6"/>
  <c r="E15" i="6"/>
  <c r="D15" i="6"/>
  <c r="C15" i="6"/>
  <c r="B15" i="6"/>
  <c r="AB14" i="6"/>
  <c r="AA14" i="6"/>
  <c r="Y14" i="6"/>
  <c r="W14" i="6"/>
  <c r="T14" i="6"/>
  <c r="S14" i="6"/>
  <c r="R14" i="6"/>
  <c r="Q14" i="6"/>
  <c r="P14" i="6"/>
  <c r="K14" i="6"/>
  <c r="I14" i="6"/>
  <c r="F14" i="6"/>
  <c r="E14" i="6"/>
  <c r="D14" i="6"/>
  <c r="C14" i="6"/>
  <c r="B14" i="6"/>
  <c r="S13" i="6"/>
  <c r="R13" i="6"/>
  <c r="Q13" i="6"/>
  <c r="P13" i="6"/>
  <c r="O13" i="6"/>
  <c r="N13" i="6"/>
  <c r="M13" i="6"/>
  <c r="B13" i="6"/>
  <c r="I13" i="6" s="1"/>
  <c r="B12" i="6"/>
  <c r="D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P6" i="6"/>
  <c r="O6" i="6"/>
  <c r="N6" i="6"/>
  <c r="M6" i="6"/>
  <c r="L6" i="6"/>
  <c r="K6" i="6"/>
  <c r="J6" i="6"/>
  <c r="I6" i="6"/>
  <c r="B6" i="6"/>
  <c r="E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M3" i="6"/>
  <c r="L3" i="6"/>
  <c r="B3" i="6"/>
  <c r="Y3" i="6" s="1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B16" i="5"/>
  <c r="AB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B15" i="5"/>
  <c r="X15" i="5" s="1"/>
  <c r="B14" i="5"/>
  <c r="D14" i="5" s="1"/>
  <c r="Z13" i="5"/>
  <c r="Y13" i="5"/>
  <c r="X13" i="5"/>
  <c r="R13" i="5"/>
  <c r="M13" i="5"/>
  <c r="K13" i="5"/>
  <c r="J13" i="5"/>
  <c r="I13" i="5"/>
  <c r="H13" i="5"/>
  <c r="G13" i="5"/>
  <c r="F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M6" i="5"/>
  <c r="K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E2" i="5"/>
  <c r="D2" i="5"/>
  <c r="C2" i="5"/>
  <c r="B2" i="5"/>
  <c r="B2" i="1"/>
  <c r="P3" i="15" l="1"/>
  <c r="J3" i="15"/>
  <c r="F3" i="15"/>
  <c r="Y3" i="15"/>
  <c r="X3" i="15"/>
  <c r="E3" i="15"/>
  <c r="D3" i="15"/>
  <c r="AA3" i="15"/>
  <c r="Z3" i="15"/>
  <c r="W3" i="15"/>
  <c r="U3" i="15"/>
  <c r="T3" i="15"/>
  <c r="Q3" i="15"/>
  <c r="N3" i="15"/>
  <c r="M3" i="15"/>
  <c r="L3" i="15"/>
  <c r="K3" i="15"/>
  <c r="I3" i="15"/>
  <c r="G3" i="15"/>
  <c r="AA15" i="9"/>
  <c r="Y15" i="9"/>
  <c r="K15" i="9"/>
  <c r="M15" i="9"/>
  <c r="Z15" i="9"/>
  <c r="C3" i="15"/>
  <c r="X17" i="18"/>
  <c r="U17" i="18"/>
  <c r="T17" i="18"/>
  <c r="S17" i="18"/>
  <c r="R17" i="18"/>
  <c r="P17" i="18"/>
  <c r="O17" i="18"/>
  <c r="M17" i="18"/>
  <c r="L17" i="18"/>
  <c r="J17" i="18"/>
  <c r="G17" i="18"/>
  <c r="E17" i="18"/>
  <c r="D17" i="18"/>
  <c r="C17" i="18"/>
  <c r="AB17" i="18"/>
  <c r="AA17" i="18"/>
  <c r="Y17" i="18"/>
  <c r="W17" i="18"/>
  <c r="N17" i="18"/>
  <c r="Q17" i="18"/>
  <c r="V17" i="18"/>
  <c r="I17" i="18"/>
  <c r="Z2" i="17"/>
  <c r="W2" i="17"/>
  <c r="I2" i="17"/>
  <c r="G2" i="17"/>
  <c r="F2" i="17"/>
  <c r="L2" i="17"/>
  <c r="Z6" i="16"/>
  <c r="V6" i="16"/>
  <c r="Q6" i="16"/>
  <c r="O6" i="16"/>
  <c r="K6" i="16"/>
  <c r="H6" i="16"/>
  <c r="G6" i="16"/>
  <c r="F6" i="16"/>
  <c r="I6" i="16"/>
  <c r="W6" i="16"/>
  <c r="T6" i="16"/>
  <c r="S6" i="16"/>
  <c r="N6" i="16"/>
  <c r="E6" i="16"/>
  <c r="M6" i="16"/>
  <c r="L6" i="16"/>
  <c r="J6" i="16"/>
  <c r="C15" i="7"/>
  <c r="T17" i="5"/>
  <c r="Y17" i="5"/>
  <c r="L17" i="5"/>
  <c r="K17" i="5"/>
  <c r="X17" i="5"/>
  <c r="W17" i="5"/>
  <c r="S17" i="5"/>
  <c r="V17" i="5"/>
  <c r="U17" i="5"/>
  <c r="J17" i="5"/>
  <c r="R17" i="5"/>
  <c r="D17" i="5"/>
  <c r="Q17" i="5"/>
  <c r="P17" i="5"/>
  <c r="O17" i="5"/>
  <c r="Z15" i="7"/>
  <c r="X15" i="7"/>
  <c r="S15" i="7"/>
  <c r="Y15" i="7"/>
  <c r="T15" i="7"/>
  <c r="N15" i="7"/>
  <c r="E15" i="7"/>
  <c r="W15" i="7"/>
  <c r="D15" i="7"/>
  <c r="V15" i="7"/>
  <c r="U15" i="7"/>
  <c r="R15" i="7"/>
  <c r="Q15" i="7"/>
  <c r="P15" i="7"/>
  <c r="O15" i="7"/>
  <c r="M15" i="7"/>
  <c r="H15" i="7"/>
  <c r="L15" i="7"/>
  <c r="K15" i="7"/>
  <c r="J15" i="7"/>
  <c r="I15" i="7"/>
  <c r="G15" i="7"/>
  <c r="F15" i="7"/>
  <c r="AB15" i="7"/>
  <c r="C2" i="6"/>
  <c r="T2" i="6"/>
  <c r="AB2" i="6"/>
  <c r="Z2" i="6"/>
  <c r="AA2" i="6"/>
  <c r="Z7" i="14"/>
  <c r="AB7" i="14"/>
  <c r="W7" i="14"/>
  <c r="K7" i="14"/>
  <c r="J7" i="14"/>
  <c r="Y7" i="14"/>
  <c r="X7" i="14"/>
  <c r="V7" i="14"/>
  <c r="S7" i="14"/>
  <c r="R7" i="14"/>
  <c r="P7" i="14"/>
  <c r="O7" i="14"/>
  <c r="D7" i="14"/>
  <c r="N7" i="14"/>
  <c r="M7" i="14"/>
  <c r="E7" i="14"/>
  <c r="L7" i="14"/>
  <c r="I7" i="14"/>
  <c r="H7" i="14"/>
  <c r="G7" i="14"/>
  <c r="L14" i="10"/>
  <c r="Y3" i="11"/>
  <c r="Q7" i="11"/>
  <c r="H7" i="11"/>
  <c r="S7" i="11"/>
  <c r="AB7" i="11"/>
  <c r="S14" i="11"/>
  <c r="AA14" i="11"/>
  <c r="L14" i="11"/>
  <c r="K14" i="11"/>
  <c r="W15" i="11"/>
  <c r="X8" i="12"/>
  <c r="G17" i="12"/>
  <c r="C3" i="13"/>
  <c r="AB6" i="13"/>
  <c r="Z6" i="13"/>
  <c r="P6" i="13"/>
  <c r="R13" i="13"/>
  <c r="AA15" i="13"/>
  <c r="D2" i="15"/>
  <c r="Q6" i="15"/>
  <c r="D2" i="16"/>
  <c r="C15" i="18"/>
  <c r="AB15" i="18"/>
  <c r="AA15" i="18"/>
  <c r="Y15" i="18"/>
  <c r="X15" i="18"/>
  <c r="W15" i="18"/>
  <c r="S15" i="18"/>
  <c r="M15" i="18"/>
  <c r="K15" i="18"/>
  <c r="J15" i="18"/>
  <c r="E15" i="18"/>
  <c r="K12" i="6"/>
  <c r="S7" i="7"/>
  <c r="F14" i="7"/>
  <c r="U2" i="8"/>
  <c r="L14" i="8"/>
  <c r="X12" i="9"/>
  <c r="E17" i="9"/>
  <c r="G12" i="10"/>
  <c r="M14" i="10"/>
  <c r="C7" i="11"/>
  <c r="AB8" i="11"/>
  <c r="E8" i="11"/>
  <c r="T8" i="11"/>
  <c r="C14" i="11"/>
  <c r="Y8" i="12"/>
  <c r="O17" i="12"/>
  <c r="E3" i="13"/>
  <c r="G6" i="13"/>
  <c r="S13" i="13"/>
  <c r="E2" i="15"/>
  <c r="R6" i="15"/>
  <c r="K2" i="16"/>
  <c r="M3" i="5"/>
  <c r="S2" i="13"/>
  <c r="D2" i="13"/>
  <c r="O2" i="13"/>
  <c r="N2" i="13"/>
  <c r="F3" i="13"/>
  <c r="AB12" i="13"/>
  <c r="X12" i="13"/>
  <c r="H12" i="13"/>
  <c r="D12" i="13"/>
  <c r="X15" i="13"/>
  <c r="H15" i="13"/>
  <c r="R15" i="13"/>
  <c r="Q15" i="13"/>
  <c r="U6" i="14"/>
  <c r="Z6" i="14"/>
  <c r="T6" i="14"/>
  <c r="K6" i="14"/>
  <c r="J6" i="14"/>
  <c r="F2" i="15"/>
  <c r="S6" i="15"/>
  <c r="P2" i="16"/>
  <c r="Q15" i="18"/>
  <c r="N12" i="6"/>
  <c r="V13" i="6"/>
  <c r="V7" i="7"/>
  <c r="U8" i="7"/>
  <c r="Z13" i="7"/>
  <c r="S13" i="7"/>
  <c r="I14" i="7"/>
  <c r="W2" i="8"/>
  <c r="N14" i="8"/>
  <c r="V7" i="9"/>
  <c r="AA12" i="9"/>
  <c r="G17" i="9"/>
  <c r="J3" i="10"/>
  <c r="AA12" i="10"/>
  <c r="O14" i="10"/>
  <c r="E7" i="11"/>
  <c r="D8" i="11"/>
  <c r="F14" i="11"/>
  <c r="I3" i="12"/>
  <c r="G3" i="12"/>
  <c r="H12" i="12"/>
  <c r="C2" i="13"/>
  <c r="J6" i="13"/>
  <c r="I12" i="13"/>
  <c r="U13" i="13"/>
  <c r="C15" i="13"/>
  <c r="E6" i="14"/>
  <c r="AB13" i="14"/>
  <c r="R13" i="14"/>
  <c r="G2" i="15"/>
  <c r="T6" i="15"/>
  <c r="Q2" i="16"/>
  <c r="Z15" i="18"/>
  <c r="AA3" i="13"/>
  <c r="D3" i="13"/>
  <c r="V3" i="13"/>
  <c r="P3" i="13"/>
  <c r="Z2" i="8"/>
  <c r="J17" i="9"/>
  <c r="P14" i="10"/>
  <c r="F7" i="11"/>
  <c r="I8" i="11"/>
  <c r="G14" i="11"/>
  <c r="Z12" i="12"/>
  <c r="E2" i="13"/>
  <c r="J3" i="13"/>
  <c r="K6" i="13"/>
  <c r="J12" i="13"/>
  <c r="V13" i="13"/>
  <c r="D15" i="13"/>
  <c r="F6" i="14"/>
  <c r="I2" i="15"/>
  <c r="U6" i="15"/>
  <c r="T2" i="16"/>
  <c r="X12" i="17"/>
  <c r="M12" i="17"/>
  <c r="I12" i="17"/>
  <c r="F12" i="17"/>
  <c r="E12" i="17"/>
  <c r="AB12" i="17"/>
  <c r="W12" i="17"/>
  <c r="V12" i="17"/>
  <c r="U12" i="17"/>
  <c r="Q12" i="17"/>
  <c r="N7" i="5"/>
  <c r="C3" i="6"/>
  <c r="P12" i="6"/>
  <c r="Y13" i="6"/>
  <c r="W7" i="7"/>
  <c r="V8" i="7"/>
  <c r="J14" i="7"/>
  <c r="O14" i="8"/>
  <c r="AB12" i="9"/>
  <c r="S3" i="5"/>
  <c r="U7" i="5"/>
  <c r="F3" i="6"/>
  <c r="R12" i="6"/>
  <c r="U14" i="6"/>
  <c r="X14" i="6"/>
  <c r="X15" i="6"/>
  <c r="T15" i="6"/>
  <c r="Z15" i="6"/>
  <c r="T17" i="6"/>
  <c r="X6" i="7"/>
  <c r="Y7" i="7"/>
  <c r="W8" i="7"/>
  <c r="F13" i="7"/>
  <c r="L14" i="7"/>
  <c r="AA2" i="8"/>
  <c r="R13" i="8"/>
  <c r="P14" i="8"/>
  <c r="AA7" i="9"/>
  <c r="K17" i="9"/>
  <c r="D13" i="10"/>
  <c r="Q14" i="10"/>
  <c r="I2" i="11"/>
  <c r="G7" i="11"/>
  <c r="J8" i="11"/>
  <c r="H14" i="11"/>
  <c r="J3" i="12"/>
  <c r="AA12" i="12"/>
  <c r="F2" i="13"/>
  <c r="K3" i="13"/>
  <c r="M6" i="13"/>
  <c r="L12" i="13"/>
  <c r="X13" i="13"/>
  <c r="E15" i="13"/>
  <c r="G6" i="14"/>
  <c r="G13" i="14"/>
  <c r="J2" i="15"/>
  <c r="V6" i="15"/>
  <c r="Z7" i="15"/>
  <c r="Y2" i="16"/>
  <c r="C12" i="17"/>
  <c r="J12" i="6"/>
  <c r="F17" i="9"/>
  <c r="N3" i="5"/>
  <c r="I7" i="5"/>
  <c r="Q3" i="5"/>
  <c r="T3" i="5"/>
  <c r="V7" i="5"/>
  <c r="K3" i="6"/>
  <c r="S12" i="6"/>
  <c r="X3" i="7"/>
  <c r="V3" i="7"/>
  <c r="Z7" i="7"/>
  <c r="H13" i="7"/>
  <c r="AB17" i="7"/>
  <c r="H17" i="7"/>
  <c r="J3" i="8"/>
  <c r="G3" i="8"/>
  <c r="R14" i="8"/>
  <c r="M17" i="9"/>
  <c r="W2" i="10"/>
  <c r="X2" i="10"/>
  <c r="F13" i="10"/>
  <c r="R14" i="10"/>
  <c r="I7" i="11"/>
  <c r="K8" i="11"/>
  <c r="I14" i="11"/>
  <c r="K3" i="12"/>
  <c r="G2" i="13"/>
  <c r="L3" i="13"/>
  <c r="O6" i="13"/>
  <c r="M12" i="13"/>
  <c r="Y13" i="13"/>
  <c r="F15" i="13"/>
  <c r="H6" i="14"/>
  <c r="K13" i="14"/>
  <c r="L2" i="15"/>
  <c r="AA6" i="15"/>
  <c r="D12" i="17"/>
  <c r="AA7" i="19"/>
  <c r="U7" i="19"/>
  <c r="R7" i="19"/>
  <c r="M7" i="19"/>
  <c r="L7" i="19"/>
  <c r="H7" i="19"/>
  <c r="G7" i="19"/>
  <c r="F7" i="19"/>
  <c r="C7" i="19"/>
  <c r="Z14" i="7"/>
  <c r="V14" i="7"/>
  <c r="C2" i="15"/>
  <c r="T12" i="6"/>
  <c r="AA7" i="7"/>
  <c r="N14" i="7"/>
  <c r="S14" i="8"/>
  <c r="W8" i="9"/>
  <c r="Y8" i="9"/>
  <c r="O17" i="9"/>
  <c r="H13" i="10"/>
  <c r="S14" i="10"/>
  <c r="J7" i="11"/>
  <c r="N8" i="11"/>
  <c r="J14" i="11"/>
  <c r="H2" i="13"/>
  <c r="M3" i="13"/>
  <c r="AA6" i="13"/>
  <c r="O12" i="13"/>
  <c r="G15" i="13"/>
  <c r="L6" i="14"/>
  <c r="N13" i="14"/>
  <c r="M2" i="15"/>
  <c r="C6" i="17"/>
  <c r="L6" i="17"/>
  <c r="G12" i="17"/>
  <c r="AB2" i="16"/>
  <c r="X2" i="16"/>
  <c r="W2" i="16"/>
  <c r="U2" i="16"/>
  <c r="T14" i="10"/>
  <c r="K7" i="11"/>
  <c r="O8" i="11"/>
  <c r="M14" i="11"/>
  <c r="I2" i="13"/>
  <c r="N3" i="13"/>
  <c r="Y7" i="13"/>
  <c r="N7" i="13"/>
  <c r="R12" i="13"/>
  <c r="U14" i="13"/>
  <c r="H14" i="13"/>
  <c r="S14" i="13"/>
  <c r="R14" i="13"/>
  <c r="I15" i="13"/>
  <c r="C17" i="13"/>
  <c r="M6" i="14"/>
  <c r="Q13" i="14"/>
  <c r="N2" i="15"/>
  <c r="X7" i="15"/>
  <c r="K7" i="15"/>
  <c r="H7" i="15"/>
  <c r="U7" i="15"/>
  <c r="T7" i="15"/>
  <c r="G8" i="15"/>
  <c r="D8" i="15"/>
  <c r="W8" i="15"/>
  <c r="T8" i="15"/>
  <c r="E6" i="17"/>
  <c r="H12" i="17"/>
  <c r="X8" i="7"/>
  <c r="J8" i="7"/>
  <c r="AB8" i="7"/>
  <c r="C2" i="8"/>
  <c r="U14" i="8"/>
  <c r="C3" i="9"/>
  <c r="L7" i="11"/>
  <c r="P8" i="11"/>
  <c r="J2" i="13"/>
  <c r="W3" i="13"/>
  <c r="S12" i="13"/>
  <c r="J15" i="13"/>
  <c r="N6" i="14"/>
  <c r="O2" i="15"/>
  <c r="J12" i="17"/>
  <c r="X7" i="5"/>
  <c r="O3" i="6"/>
  <c r="D8" i="6"/>
  <c r="V12" i="6"/>
  <c r="C7" i="7"/>
  <c r="K13" i="7"/>
  <c r="Q14" i="7"/>
  <c r="L8" i="8"/>
  <c r="Y7" i="9"/>
  <c r="W7" i="9"/>
  <c r="E8" i="9"/>
  <c r="Q17" i="9"/>
  <c r="P13" i="10"/>
  <c r="U14" i="10"/>
  <c r="C3" i="11"/>
  <c r="N14" i="11"/>
  <c r="G8" i="12"/>
  <c r="V8" i="12"/>
  <c r="U8" i="12"/>
  <c r="AA7" i="5"/>
  <c r="W14" i="5"/>
  <c r="P3" i="6"/>
  <c r="E8" i="6"/>
  <c r="W12" i="6"/>
  <c r="H14" i="6"/>
  <c r="G15" i="6"/>
  <c r="J3" i="7"/>
  <c r="C8" i="7"/>
  <c r="H12" i="7"/>
  <c r="M13" i="7"/>
  <c r="R14" i="7"/>
  <c r="F17" i="7"/>
  <c r="D2" i="8"/>
  <c r="H3" i="8"/>
  <c r="M8" i="8"/>
  <c r="X13" i="8"/>
  <c r="V14" i="8"/>
  <c r="F3" i="9"/>
  <c r="C7" i="9"/>
  <c r="F8" i="9"/>
  <c r="R17" i="9"/>
  <c r="F2" i="10"/>
  <c r="Y13" i="10"/>
  <c r="V14" i="10"/>
  <c r="D3" i="11"/>
  <c r="M7" i="11"/>
  <c r="Q8" i="11"/>
  <c r="O14" i="11"/>
  <c r="J17" i="11"/>
  <c r="P3" i="12"/>
  <c r="C8" i="12"/>
  <c r="Q14" i="12"/>
  <c r="L2" i="13"/>
  <c r="AB3" i="13"/>
  <c r="D7" i="13"/>
  <c r="T12" i="13"/>
  <c r="F14" i="13"/>
  <c r="K15" i="13"/>
  <c r="O6" i="14"/>
  <c r="X13" i="14"/>
  <c r="D7" i="15"/>
  <c r="E8" i="15"/>
  <c r="U17" i="16"/>
  <c r="J17" i="16"/>
  <c r="D17" i="16"/>
  <c r="C17" i="16"/>
  <c r="Z17" i="16"/>
  <c r="M6" i="17"/>
  <c r="O12" i="17"/>
  <c r="X2" i="15"/>
  <c r="K2" i="15"/>
  <c r="H2" i="15"/>
  <c r="V2" i="15"/>
  <c r="U2" i="15"/>
  <c r="L12" i="6"/>
  <c r="G7" i="7"/>
  <c r="M7" i="7"/>
  <c r="AB7" i="7"/>
  <c r="Q8" i="8"/>
  <c r="W14" i="8"/>
  <c r="G3" i="9"/>
  <c r="D7" i="9"/>
  <c r="G8" i="9"/>
  <c r="S17" i="9"/>
  <c r="Z13" i="10"/>
  <c r="W14" i="10"/>
  <c r="E3" i="11"/>
  <c r="N7" i="11"/>
  <c r="R8" i="11"/>
  <c r="P14" i="11"/>
  <c r="O17" i="11"/>
  <c r="D8" i="12"/>
  <c r="R14" i="12"/>
  <c r="M2" i="13"/>
  <c r="U12" i="13"/>
  <c r="L15" i="13"/>
  <c r="P6" i="14"/>
  <c r="Q2" i="15"/>
  <c r="P12" i="17"/>
  <c r="O14" i="5"/>
  <c r="P17" i="9"/>
  <c r="Z7" i="5"/>
  <c r="V14" i="5"/>
  <c r="AB7" i="5"/>
  <c r="Y14" i="5"/>
  <c r="Q3" i="6"/>
  <c r="G8" i="6"/>
  <c r="Y12" i="6"/>
  <c r="E7" i="7"/>
  <c r="D8" i="7"/>
  <c r="N13" i="7"/>
  <c r="S14" i="7"/>
  <c r="G2" i="8"/>
  <c r="Z14" i="5"/>
  <c r="S3" i="6"/>
  <c r="H8" i="6"/>
  <c r="AB12" i="6"/>
  <c r="J14" i="6"/>
  <c r="I15" i="6"/>
  <c r="N17" i="6"/>
  <c r="M17" i="6"/>
  <c r="AB17" i="6"/>
  <c r="L3" i="7"/>
  <c r="F7" i="7"/>
  <c r="E8" i="7"/>
  <c r="K12" i="7"/>
  <c r="O13" i="7"/>
  <c r="T14" i="7"/>
  <c r="I17" i="7"/>
  <c r="K3" i="8"/>
  <c r="E6" i="8"/>
  <c r="R8" i="8"/>
  <c r="AB13" i="8"/>
  <c r="K3" i="9"/>
  <c r="F7" i="9"/>
  <c r="I8" i="9"/>
  <c r="X13" i="9"/>
  <c r="T17" i="9"/>
  <c r="H2" i="10"/>
  <c r="G8" i="10"/>
  <c r="Y14" i="10"/>
  <c r="H3" i="11"/>
  <c r="O7" i="11"/>
  <c r="S8" i="11"/>
  <c r="Q14" i="11"/>
  <c r="U3" i="12"/>
  <c r="F8" i="12"/>
  <c r="V14" i="12"/>
  <c r="P2" i="13"/>
  <c r="F7" i="13"/>
  <c r="V12" i="13"/>
  <c r="K14" i="13"/>
  <c r="M15" i="13"/>
  <c r="Q6" i="14"/>
  <c r="R2" i="15"/>
  <c r="F7" i="15"/>
  <c r="H17" i="16"/>
  <c r="X7" i="17"/>
  <c r="V7" i="17"/>
  <c r="S7" i="17"/>
  <c r="R7" i="17"/>
  <c r="J7" i="17"/>
  <c r="F7" i="17"/>
  <c r="E7" i="17"/>
  <c r="D7" i="17"/>
  <c r="R12" i="17"/>
  <c r="W2" i="18"/>
  <c r="Y2" i="18"/>
  <c r="X2" i="18"/>
  <c r="S2" i="18"/>
  <c r="R2" i="18"/>
  <c r="N2" i="18"/>
  <c r="M2" i="18"/>
  <c r="L2" i="18"/>
  <c r="J2" i="18"/>
  <c r="G2" i="18"/>
  <c r="F2" i="18"/>
  <c r="L3" i="5"/>
  <c r="H7" i="7"/>
  <c r="F8" i="7"/>
  <c r="U14" i="7"/>
  <c r="T8" i="8"/>
  <c r="Q2" i="13"/>
  <c r="S2" i="15"/>
  <c r="G6" i="15"/>
  <c r="N6" i="15"/>
  <c r="K6" i="15"/>
  <c r="X6" i="15"/>
  <c r="W6" i="15"/>
  <c r="AB12" i="16"/>
  <c r="W12" i="16"/>
  <c r="K12" i="16"/>
  <c r="S12" i="17"/>
  <c r="C8" i="6"/>
  <c r="AA14" i="5"/>
  <c r="L14" i="6"/>
  <c r="W13" i="13"/>
  <c r="Q13" i="13"/>
  <c r="P13" i="13"/>
  <c r="S6" i="14"/>
  <c r="Y2" i="15"/>
  <c r="D6" i="15"/>
  <c r="C12" i="16"/>
  <c r="T12" i="17"/>
  <c r="D14" i="7"/>
  <c r="O2" i="8"/>
  <c r="F2" i="8"/>
  <c r="X14" i="8"/>
  <c r="Q14" i="8"/>
  <c r="Z14" i="8"/>
  <c r="O3" i="9"/>
  <c r="G12" i="5"/>
  <c r="AB14" i="5"/>
  <c r="D17" i="6"/>
  <c r="I7" i="7"/>
  <c r="AA14" i="8"/>
  <c r="S3" i="9"/>
  <c r="I7" i="9"/>
  <c r="C12" i="9"/>
  <c r="W17" i="9"/>
  <c r="C14" i="10"/>
  <c r="AA14" i="10"/>
  <c r="T14" i="11"/>
  <c r="R2" i="13"/>
  <c r="O15" i="13"/>
  <c r="Y2" i="7"/>
  <c r="M2" i="7"/>
  <c r="O3" i="7"/>
  <c r="F6" i="7"/>
  <c r="J7" i="7"/>
  <c r="H8" i="7"/>
  <c r="N12" i="7"/>
  <c r="T13" i="7"/>
  <c r="Y14" i="7"/>
  <c r="L17" i="7"/>
  <c r="L2" i="8"/>
  <c r="N3" i="8"/>
  <c r="P6" i="8"/>
  <c r="Z8" i="8"/>
  <c r="F13" i="8"/>
  <c r="D14" i="8"/>
  <c r="AB14" i="8"/>
  <c r="Y3" i="9"/>
  <c r="J7" i="9"/>
  <c r="M8" i="9"/>
  <c r="D12" i="9"/>
  <c r="X17" i="9"/>
  <c r="L2" i="10"/>
  <c r="N8" i="10"/>
  <c r="D14" i="10"/>
  <c r="AB14" i="10"/>
  <c r="K3" i="11"/>
  <c r="T7" i="11"/>
  <c r="U14" i="11"/>
  <c r="AA3" i="12"/>
  <c r="F6" i="12"/>
  <c r="J8" i="12"/>
  <c r="Y14" i="12"/>
  <c r="U2" i="13"/>
  <c r="I7" i="13"/>
  <c r="F13" i="13"/>
  <c r="N14" i="13"/>
  <c r="P15" i="13"/>
  <c r="L3" i="14"/>
  <c r="I3" i="14"/>
  <c r="Y3" i="14"/>
  <c r="X3" i="14"/>
  <c r="W6" i="14"/>
  <c r="X15" i="14"/>
  <c r="T15" i="14"/>
  <c r="Q15" i="14"/>
  <c r="H15" i="14"/>
  <c r="G15" i="14"/>
  <c r="Z2" i="15"/>
  <c r="E6" i="15"/>
  <c r="J7" i="15"/>
  <c r="L8" i="15"/>
  <c r="M14" i="15"/>
  <c r="I12" i="16"/>
  <c r="Y17" i="16"/>
  <c r="K7" i="17"/>
  <c r="Y12" i="17"/>
  <c r="O2" i="18"/>
  <c r="U3" i="5"/>
  <c r="O14" i="7"/>
  <c r="U3" i="6"/>
  <c r="I8" i="6"/>
  <c r="I2" i="8"/>
  <c r="U17" i="9"/>
  <c r="V3" i="6"/>
  <c r="J8" i="6"/>
  <c r="G13" i="6"/>
  <c r="K15" i="6"/>
  <c r="N3" i="7"/>
  <c r="X14" i="7"/>
  <c r="K17" i="7"/>
  <c r="M3" i="8"/>
  <c r="O6" i="8"/>
  <c r="V8" i="8"/>
  <c r="C14" i="8"/>
  <c r="L8" i="9"/>
  <c r="J3" i="11"/>
  <c r="R7" i="11"/>
  <c r="Y15" i="5"/>
  <c r="W3" i="6"/>
  <c r="U8" i="6"/>
  <c r="H13" i="6"/>
  <c r="M14" i="6"/>
  <c r="L15" i="6"/>
  <c r="E17" i="6"/>
  <c r="I6" i="5"/>
  <c r="Z15" i="5"/>
  <c r="X3" i="6"/>
  <c r="N14" i="6"/>
  <c r="M15" i="6"/>
  <c r="F17" i="6"/>
  <c r="G2" i="7"/>
  <c r="P3" i="7"/>
  <c r="K7" i="7"/>
  <c r="I8" i="7"/>
  <c r="P12" i="7"/>
  <c r="V13" i="7"/>
  <c r="AA14" i="7"/>
  <c r="M17" i="7"/>
  <c r="M2" i="8"/>
  <c r="O3" i="8"/>
  <c r="G13" i="8"/>
  <c r="E14" i="8"/>
  <c r="Z15" i="8"/>
  <c r="O15" i="8"/>
  <c r="Z3" i="9"/>
  <c r="L7" i="9"/>
  <c r="N8" i="9"/>
  <c r="E12" i="9"/>
  <c r="X14" i="9"/>
  <c r="I14" i="9"/>
  <c r="Z14" i="9"/>
  <c r="AA17" i="9"/>
  <c r="M2" i="10"/>
  <c r="Z8" i="10"/>
  <c r="X15" i="10"/>
  <c r="E15" i="10"/>
  <c r="AB15" i="10"/>
  <c r="L3" i="11"/>
  <c r="U7" i="11"/>
  <c r="C12" i="11"/>
  <c r="V14" i="11"/>
  <c r="S7" i="12"/>
  <c r="P7" i="12"/>
  <c r="M8" i="12"/>
  <c r="AB14" i="12"/>
  <c r="V2" i="13"/>
  <c r="L7" i="13"/>
  <c r="G13" i="13"/>
  <c r="O14" i="13"/>
  <c r="S15" i="13"/>
  <c r="C3" i="14"/>
  <c r="X6" i="14"/>
  <c r="C15" i="14"/>
  <c r="AA2" i="15"/>
  <c r="I6" i="15"/>
  <c r="L7" i="15"/>
  <c r="M8" i="15"/>
  <c r="N14" i="15"/>
  <c r="X12" i="16"/>
  <c r="AB17" i="16"/>
  <c r="O7" i="17"/>
  <c r="Z12" i="17"/>
  <c r="P2" i="18"/>
  <c r="X12" i="6"/>
  <c r="O12" i="6"/>
  <c r="H14" i="7"/>
  <c r="V3" i="5"/>
  <c r="Y7" i="5"/>
  <c r="U12" i="6"/>
  <c r="AB13" i="6"/>
  <c r="T13" i="6"/>
  <c r="X14" i="10"/>
  <c r="I14" i="10"/>
  <c r="Z14" i="10"/>
  <c r="W12" i="13"/>
  <c r="AA6" i="7"/>
  <c r="N6" i="7"/>
  <c r="G8" i="7"/>
  <c r="R13" i="7"/>
  <c r="K2" i="8"/>
  <c r="I8" i="12"/>
  <c r="E6" i="5"/>
  <c r="C15" i="5"/>
  <c r="J6" i="5"/>
  <c r="D13" i="5"/>
  <c r="D15" i="5"/>
  <c r="AA15" i="5"/>
  <c r="K13" i="6"/>
  <c r="O14" i="6"/>
  <c r="N15" i="6"/>
  <c r="G17" i="6"/>
  <c r="H2" i="7"/>
  <c r="S3" i="7"/>
  <c r="I6" i="7"/>
  <c r="L7" i="7"/>
  <c r="K8" i="7"/>
  <c r="R12" i="7"/>
  <c r="W13" i="7"/>
  <c r="AB14" i="7"/>
  <c r="Q17" i="7"/>
  <c r="N2" i="8"/>
  <c r="P3" i="8"/>
  <c r="H13" i="8"/>
  <c r="F14" i="8"/>
  <c r="M7" i="9"/>
  <c r="O8" i="9"/>
  <c r="H12" i="9"/>
  <c r="N2" i="10"/>
  <c r="AB8" i="10"/>
  <c r="F14" i="10"/>
  <c r="M3" i="11"/>
  <c r="V7" i="11"/>
  <c r="E12" i="11"/>
  <c r="W14" i="11"/>
  <c r="P8" i="12"/>
  <c r="X15" i="12"/>
  <c r="P15" i="12"/>
  <c r="AB15" i="12"/>
  <c r="D15" i="12"/>
  <c r="AA15" i="12"/>
  <c r="C15" i="12"/>
  <c r="X2" i="13"/>
  <c r="M7" i="13"/>
  <c r="H13" i="13"/>
  <c r="P14" i="13"/>
  <c r="T15" i="13"/>
  <c r="D3" i="14"/>
  <c r="AA6" i="14"/>
  <c r="D15" i="14"/>
  <c r="AB2" i="15"/>
  <c r="J6" i="15"/>
  <c r="M7" i="15"/>
  <c r="N8" i="15"/>
  <c r="O14" i="15"/>
  <c r="Y12" i="16"/>
  <c r="P7" i="17"/>
  <c r="U2" i="18"/>
  <c r="AB8" i="18"/>
  <c r="Y12" i="18"/>
  <c r="H2" i="19"/>
  <c r="K3" i="19"/>
  <c r="N6" i="19"/>
  <c r="M8" i="19"/>
  <c r="C12" i="19"/>
  <c r="K13" i="19"/>
  <c r="T14" i="19"/>
  <c r="K3" i="18"/>
  <c r="C8" i="18"/>
  <c r="Z12" i="18"/>
  <c r="M2" i="19"/>
  <c r="M3" i="19"/>
  <c r="O6" i="19"/>
  <c r="N8" i="19"/>
  <c r="E12" i="19"/>
  <c r="L13" i="19"/>
  <c r="U14" i="19"/>
  <c r="M3" i="18"/>
  <c r="D8" i="18"/>
  <c r="N2" i="19"/>
  <c r="N3" i="19"/>
  <c r="R6" i="19"/>
  <c r="O8" i="19"/>
  <c r="F12" i="19"/>
  <c r="M13" i="19"/>
  <c r="V14" i="19"/>
  <c r="N3" i="18"/>
  <c r="E8" i="18"/>
  <c r="O2" i="19"/>
  <c r="P3" i="19"/>
  <c r="W6" i="19"/>
  <c r="P8" i="19"/>
  <c r="G12" i="19"/>
  <c r="O13" i="19"/>
  <c r="AB14" i="19"/>
  <c r="Y2" i="14"/>
  <c r="Z12" i="15"/>
  <c r="Z13" i="15"/>
  <c r="AA15" i="15"/>
  <c r="I7" i="16"/>
  <c r="J14" i="16"/>
  <c r="H8" i="17"/>
  <c r="H15" i="17"/>
  <c r="L17" i="17"/>
  <c r="Q3" i="18"/>
  <c r="I6" i="18"/>
  <c r="G8" i="18"/>
  <c r="H13" i="18"/>
  <c r="R2" i="19"/>
  <c r="R3" i="19"/>
  <c r="R8" i="19"/>
  <c r="I12" i="19"/>
  <c r="Q13" i="19"/>
  <c r="C15" i="19"/>
  <c r="P6" i="11"/>
  <c r="J13" i="11"/>
  <c r="D8" i="13"/>
  <c r="Z2" i="14"/>
  <c r="AA12" i="15"/>
  <c r="AA13" i="15"/>
  <c r="J7" i="16"/>
  <c r="Y14" i="16"/>
  <c r="J8" i="17"/>
  <c r="I15" i="17"/>
  <c r="M17" i="17"/>
  <c r="R3" i="18"/>
  <c r="J6" i="18"/>
  <c r="J8" i="18"/>
  <c r="P13" i="18"/>
  <c r="S2" i="19"/>
  <c r="S3" i="19"/>
  <c r="S8" i="19"/>
  <c r="J12" i="19"/>
  <c r="T13" i="19"/>
  <c r="E15" i="19"/>
  <c r="AB13" i="15"/>
  <c r="L7" i="16"/>
  <c r="N8" i="17"/>
  <c r="N15" i="17"/>
  <c r="O17" i="17"/>
  <c r="S3" i="18"/>
  <c r="K6" i="18"/>
  <c r="K8" i="18"/>
  <c r="U2" i="19"/>
  <c r="T3" i="19"/>
  <c r="T8" i="19"/>
  <c r="L12" i="19"/>
  <c r="V13" i="19"/>
  <c r="F15" i="19"/>
  <c r="V2" i="19"/>
  <c r="U3" i="19"/>
  <c r="V8" i="19"/>
  <c r="P12" i="19"/>
  <c r="W13" i="19"/>
  <c r="G15" i="19"/>
  <c r="V3" i="19"/>
  <c r="Q12" i="19"/>
  <c r="J15" i="19"/>
  <c r="P7" i="16"/>
  <c r="Q8" i="17"/>
  <c r="U17" i="17"/>
  <c r="Y3" i="18"/>
  <c r="Q6" i="18"/>
  <c r="O8" i="18"/>
  <c r="L14" i="18"/>
  <c r="X2" i="19"/>
  <c r="W3" i="19"/>
  <c r="Y8" i="19"/>
  <c r="R12" i="19"/>
  <c r="Z13" i="19"/>
  <c r="L15" i="19"/>
  <c r="C17" i="19"/>
  <c r="W17" i="17"/>
  <c r="W6" i="18"/>
  <c r="P8" i="18"/>
  <c r="Q14" i="18"/>
  <c r="Z2" i="19"/>
  <c r="Y3" i="19"/>
  <c r="Z8" i="19"/>
  <c r="T12" i="19"/>
  <c r="AA13" i="19"/>
  <c r="M15" i="19"/>
  <c r="E17" i="19"/>
  <c r="Q8" i="18"/>
  <c r="R14" i="18"/>
  <c r="Z3" i="19"/>
  <c r="U12" i="19"/>
  <c r="O15" i="19"/>
  <c r="F17" i="19"/>
  <c r="AA3" i="19"/>
  <c r="AB8" i="19"/>
  <c r="V12" i="19"/>
  <c r="F14" i="19"/>
  <c r="P15" i="19"/>
  <c r="G17" i="19"/>
  <c r="S3" i="16"/>
  <c r="U7" i="16"/>
  <c r="U8" i="17"/>
  <c r="N13" i="17"/>
  <c r="Z17" i="17"/>
  <c r="S8" i="18"/>
  <c r="V14" i="18"/>
  <c r="C3" i="19"/>
  <c r="AB3" i="19"/>
  <c r="C8" i="19"/>
  <c r="Y12" i="19"/>
  <c r="G14" i="19"/>
  <c r="Q15" i="19"/>
  <c r="M17" i="19"/>
  <c r="L12" i="15"/>
  <c r="J13" i="15"/>
  <c r="L17" i="15"/>
  <c r="T3" i="16"/>
  <c r="V7" i="16"/>
  <c r="V8" i="17"/>
  <c r="Q13" i="17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V8" i="18"/>
  <c r="AA14" i="18"/>
  <c r="F3" i="19"/>
  <c r="D6" i="19"/>
  <c r="K14" i="19"/>
  <c r="AA15" i="19"/>
  <c r="R17" i="19"/>
  <c r="G2" i="14"/>
  <c r="O12" i="15"/>
  <c r="M13" i="15"/>
  <c r="AB7" i="16"/>
  <c r="AA8" i="17"/>
  <c r="U13" i="17"/>
  <c r="D3" i="18"/>
  <c r="W8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H3" i="18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<sst xmlns="http://schemas.openxmlformats.org/spreadsheetml/2006/main" count="3113" uniqueCount="587">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</sst>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172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VA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3.0069901239131371E-2</v>
      </c>
      <c r="C2" s="7">
        <f>$B2 * IFERROR(VLOOKUP("transport|PM25|Premature mortality", US_national_yearly!$D:$AM, 11, FALSE) / VLOOKUP("transport|PM25|Premature mortality", US_national_yearly!$D:$AM, 10, FALSE), 1)</f>
        <v>3.0442702116724986E-2</v>
      </c>
      <c r="D2" s="7">
        <f>$B2 * IFERROR(VLOOKUP("transport|PM25|Premature mortality", US_national_yearly!$D:$AM, 12, FALSE) / VLOOKUP("transport|PM25|Premature mortality", US_national_yearly!$D:$AM, 10, FALSE), 1)</f>
        <v>3.0815502994318594E-2</v>
      </c>
      <c r="E2" s="7">
        <f>$B2 * IFERROR(VLOOKUP("transport|PM25|Premature mortality", US_national_yearly!$D:$AM, 13, FALSE) / VLOOKUP("transport|PM25|Premature mortality", US_national_yearly!$D:$AM, 10, FALSE), 1)</f>
        <v>3.1188303871912203E-2</v>
      </c>
      <c r="F2" s="7">
        <f>$B2 * IFERROR(VLOOKUP("transport|PM25|Premature mortality", US_national_yearly!$D:$AM, 14, FALSE) / VLOOKUP("transport|PM25|Premature mortality", US_national_yearly!$D:$AM, 10, FALSE), 1)</f>
        <v>3.1561104749505811E-2</v>
      </c>
      <c r="G2" s="7">
        <f>$B2 * IFERROR(VLOOKUP("transport|PM25|Premature mortality", US_national_yearly!$D:$AM, 15, FALSE) / VLOOKUP("transport|PM25|Premature mortality", US_national_yearly!$D:$AM, 10, FALSE), 1)</f>
        <v>3.2287131647021704E-2</v>
      </c>
      <c r="H2" s="7">
        <f>$B2 * IFERROR(VLOOKUP("transport|PM25|Premature mortality", US_national_yearly!$D:$AM, 16, FALSE) / VLOOKUP("transport|PM25|Premature mortality", US_national_yearly!$D:$AM, 10, FALSE), 1)</f>
        <v>3.3013158544537596E-2</v>
      </c>
      <c r="I2" s="7">
        <f>$B2 * IFERROR(VLOOKUP("transport|PM25|Premature mortality", US_national_yearly!$D:$AM, 17, FALSE) / VLOOKUP("transport|PM25|Premature mortality", US_national_yearly!$D:$AM, 10, FALSE), 1)</f>
        <v>3.3490043573026609E-2</v>
      </c>
      <c r="J2" s="7">
        <f>$B2 * IFERROR(VLOOKUP("transport|PM25|Premature mortality", US_national_yearly!$D:$AM, 18, FALSE) / VLOOKUP("transport|PM25|Premature mortality", US_national_yearly!$D:$AM, 10, FALSE), 1)</f>
        <v>3.3966928601515643E-2</v>
      </c>
      <c r="K2" s="7">
        <f>$B2 * IFERROR(VLOOKUP("transport|PM25|Premature mortality", US_national_yearly!$D:$AM, 19, FALSE) / VLOOKUP("transport|PM25|Premature mortality", US_national_yearly!$D:$AM, 10, FALSE), 1)</f>
        <v>3.4443813630004663E-2</v>
      </c>
      <c r="L2" s="7">
        <f>$B2 * IFERROR(VLOOKUP("transport|PM25|Premature mortality", US_national_yearly!$D:$AM, 20, FALSE) / VLOOKUP("transport|PM25|Premature mortality", US_national_yearly!$D:$AM, 10, FALSE), 1)</f>
        <v>3.492069865849369E-2</v>
      </c>
      <c r="M2" s="7">
        <f>$B2 * IFERROR(VLOOKUP("transport|PM25|Premature mortality", US_national_yearly!$D:$AM, 21, FALSE) / VLOOKUP("transport|PM25|Premature mortality", US_national_yearly!$D:$AM, 10, FALSE), 1)</f>
        <v>3.5397583686982717E-2</v>
      </c>
      <c r="N2" s="7">
        <f>$B2 * IFERROR(VLOOKUP("transport|PM25|Premature mortality", US_national_yearly!$D:$AM, 22, FALSE) / VLOOKUP("transport|PM25|Premature mortality", US_national_yearly!$D:$AM, 10, FALSE), 1)</f>
        <v>3.5767854560714893E-2</v>
      </c>
      <c r="O2" s="7">
        <f>$B2 * IFERROR(VLOOKUP("transport|PM25|Premature mortality", US_national_yearly!$D:$AM, 23, FALSE) / VLOOKUP("transport|PM25|Premature mortality", US_national_yearly!$D:$AM, 10, FALSE), 1)</f>
        <v>3.6138125434447076E-2</v>
      </c>
      <c r="P2" s="7">
        <f>$B2 * IFERROR(VLOOKUP("transport|PM25|Premature mortality", US_national_yearly!$D:$AM, 24, FALSE) / VLOOKUP("transport|PM25|Premature mortality", US_national_yearly!$D:$AM, 10, FALSE), 1)</f>
        <v>3.6508396308179251E-2</v>
      </c>
      <c r="Q2" s="7">
        <f>$B2 * IFERROR(VLOOKUP("transport|PM25|Premature mortality", US_national_yearly!$D:$AM, 25, FALSE) / VLOOKUP("transport|PM25|Premature mortality", US_national_yearly!$D:$AM, 10, FALSE), 1)</f>
        <v>3.6878667181911434E-2</v>
      </c>
      <c r="R2" s="7">
        <f>$B2 * IFERROR(VLOOKUP("transport|PM25|Premature mortality", US_national_yearly!$D:$AM, 26, FALSE) / VLOOKUP("transport|PM25|Premature mortality", US_national_yearly!$D:$AM, 10, FALSE), 1)</f>
        <v>3.7248938055643617E-2</v>
      </c>
      <c r="S2" s="7">
        <f>$B2 * IFERROR(VLOOKUP("transport|PM25|Premature mortality", US_national_yearly!$D:$AM, 27, FALSE) / VLOOKUP("transport|PM25|Premature mortality", US_national_yearly!$D:$AM, 10, FALSE), 1)</f>
        <v>3.7445096563432596E-2</v>
      </c>
      <c r="T2" s="7">
        <f>$B2 * IFERROR(VLOOKUP("transport|PM25|Premature mortality", US_national_yearly!$D:$AM, 28, FALSE) / VLOOKUP("transport|PM25|Premature mortality", US_national_yearly!$D:$AM, 10, FALSE), 1)</f>
        <v>3.7641255071221569E-2</v>
      </c>
      <c r="U2" s="7">
        <f>$B2 * IFERROR(VLOOKUP("transport|PM25|Premature mortality", US_national_yearly!$D:$AM, 29, FALSE) / VLOOKUP("transport|PM25|Premature mortality", US_national_yearly!$D:$AM, 10, FALSE), 1)</f>
        <v>3.7837413579010534E-2</v>
      </c>
      <c r="V2" s="7">
        <f>$B2 * IFERROR(VLOOKUP("transport|PM25|Premature mortality", US_national_yearly!$D:$AM, 30, FALSE) / VLOOKUP("transport|PM25|Premature mortality", US_national_yearly!$D:$AM, 10, FALSE), 1)</f>
        <v>3.8033572086799507E-2</v>
      </c>
      <c r="W2" s="7">
        <f>$B2 * IFERROR(VLOOKUP("transport|PM25|Premature mortality", US_national_yearly!$D:$AM, 31, FALSE) / VLOOKUP("transport|PM25|Premature mortality", US_national_yearly!$D:$AM, 10, FALSE), 1)</f>
        <v>3.8229730594588479E-2</v>
      </c>
      <c r="X2" s="7">
        <f>$B2 * IFERROR(VLOOKUP("transport|PM25|Premature mortality", US_national_yearly!$D:$AM, 32, FALSE) / VLOOKUP("transport|PM25|Premature mortality", US_national_yearly!$D:$AM, 10, FALSE), 1)</f>
        <v>3.8264030427066553E-2</v>
      </c>
      <c r="Y2" s="7">
        <f>$B2 * IFERROR(VLOOKUP("transport|PM25|Premature mortality", US_national_yearly!$D:$AM, 33, FALSE) / VLOOKUP("transport|PM25|Premature mortality", US_national_yearly!$D:$AM, 10, FALSE), 1)</f>
        <v>3.8298330259544634E-2</v>
      </c>
      <c r="Z2" s="7">
        <f>$B2 * IFERROR(VLOOKUP("transport|PM25|Premature mortality", US_national_yearly!$D:$AM, 34, FALSE) / VLOOKUP("transport|PM25|Premature mortality", US_national_yearly!$D:$AM, 10, FALSE), 1)</f>
        <v>3.8332630092022708E-2</v>
      </c>
      <c r="AA2" s="7">
        <f>$B2 * IFERROR(VLOOKUP("transport|PM25|Premature mortality", US_national_yearly!$D:$AM, 35, FALSE) / VLOOKUP("transport|PM25|Premature mortality", US_national_yearly!$D:$AM, 10, FALSE), 1)</f>
        <v>3.8366929924500789E-2</v>
      </c>
      <c r="AB2" s="7">
        <f>$B2 * IFERROR(VLOOKUP("transport|PM25|Premature mortality", US_national_yearly!$D:$AM, 36, FALSE) / VLOOKUP("transport|PM25|Premature mortality", US_national_yearly!$D:$AM, 10, FALSE), 1)</f>
        <v>3.840122975697887E-2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8.1368690565486356E-5</v>
      </c>
      <c r="C3" s="7">
        <f>$B3 * IFERROR(VLOOKUP("transport|PM25|Infant mortality", US_national_yearly!$D:$AM, 11, FALSE) / VLOOKUP("transport|PM25|Infant mortality", US_national_yearly!$D:$AM, 10, FALSE), 1)</f>
        <v>8.065922983321469E-5</v>
      </c>
      <c r="D3" s="7">
        <f>$B3 * IFERROR(VLOOKUP("transport|PM25|Infant mortality", US_national_yearly!$D:$AM, 12, FALSE) / VLOOKUP("transport|PM25|Infant mortality", US_national_yearly!$D:$AM, 10, FALSE), 1)</f>
        <v>7.9949769100943024E-5</v>
      </c>
      <c r="E3" s="7">
        <f>$B3 * IFERROR(VLOOKUP("transport|PM25|Infant mortality", US_national_yearly!$D:$AM, 13, FALSE) / VLOOKUP("transport|PM25|Infant mortality", US_national_yearly!$D:$AM, 10, FALSE), 1)</f>
        <v>7.9240308368671357E-5</v>
      </c>
      <c r="F3" s="7">
        <f>$B3 * IFERROR(VLOOKUP("transport|PM25|Infant mortality", US_national_yearly!$D:$AM, 14, FALSE) / VLOOKUP("transport|PM25|Infant mortality", US_national_yearly!$D:$AM, 10, FALSE), 1)</f>
        <v>7.8530847636399678E-5</v>
      </c>
      <c r="G3" s="7">
        <f>$B3 * IFERROR(VLOOKUP("transport|PM25|Infant mortality", US_national_yearly!$D:$AM, 15, FALSE) / VLOOKUP("transport|PM25|Infant mortality", US_national_yearly!$D:$AM, 10, FALSE), 1)</f>
        <v>5.2227214446858789E-5</v>
      </c>
      <c r="H3" s="7">
        <f>$B3 * IFERROR(VLOOKUP("transport|PM25|Infant mortality", US_national_yearly!$D:$AM, 16, FALSE) / VLOOKUP("transport|PM25|Infant mortality", US_national_yearly!$D:$AM, 10, FALSE), 1)</f>
        <v>2.5923581257317881E-5</v>
      </c>
      <c r="I3" s="7">
        <f>$B3 * IFERROR(VLOOKUP("transport|PM25|Infant mortality", US_national_yearly!$D:$AM, 17, FALSE) / VLOOKUP("transport|PM25|Infant mortality", US_national_yearly!$D:$AM, 10, FALSE), 1)</f>
        <v>2.5754127831863934E-5</v>
      </c>
      <c r="J3" s="7">
        <f>$B3 * IFERROR(VLOOKUP("transport|PM25|Infant mortality", US_national_yearly!$D:$AM, 18, FALSE) / VLOOKUP("transport|PM25|Infant mortality", US_national_yearly!$D:$AM, 10, FALSE), 1)</f>
        <v>2.5584674406409984E-5</v>
      </c>
      <c r="K3" s="7">
        <f>$B3 * IFERROR(VLOOKUP("transport|PM25|Infant mortality", US_national_yearly!$D:$AM, 19, FALSE) / VLOOKUP("transport|PM25|Infant mortality", US_national_yearly!$D:$AM, 10, FALSE), 1)</f>
        <v>2.5415220980956034E-5</v>
      </c>
      <c r="L3" s="7">
        <f>$B3 * IFERROR(VLOOKUP("transport|PM25|Infant mortality", US_national_yearly!$D:$AM, 20, FALSE) / VLOOKUP("transport|PM25|Infant mortality", US_national_yearly!$D:$AM, 10, FALSE), 1)</f>
        <v>2.5245767555502087E-5</v>
      </c>
      <c r="M3" s="7">
        <f>$B3 * IFERROR(VLOOKUP("transport|PM25|Infant mortality", US_national_yearly!$D:$AM, 21, FALSE) / VLOOKUP("transport|PM25|Infant mortality", US_national_yearly!$D:$AM, 10, FALSE), 1)</f>
        <v>2.5076314130048144E-5</v>
      </c>
      <c r="N3" s="7">
        <f>$B3 * IFERROR(VLOOKUP("transport|PM25|Infant mortality", US_national_yearly!$D:$AM, 22, FALSE) / VLOOKUP("transport|PM25|Infant mortality", US_national_yearly!$D:$AM, 10, FALSE), 1)</f>
        <v>2.4969878618536648E-5</v>
      </c>
      <c r="O3" s="7">
        <f>$B3 * IFERROR(VLOOKUP("transport|PM25|Infant mortality", US_national_yearly!$D:$AM, 23, FALSE) / VLOOKUP("transport|PM25|Infant mortality", US_national_yearly!$D:$AM, 10, FALSE), 1)</f>
        <v>2.4863443107025158E-5</v>
      </c>
      <c r="P3" s="7">
        <f>$B3 * IFERROR(VLOOKUP("transport|PM25|Infant mortality", US_national_yearly!$D:$AM, 24, FALSE) / VLOOKUP("transport|PM25|Infant mortality", US_national_yearly!$D:$AM, 10, FALSE), 1)</f>
        <v>2.4757007595513659E-5</v>
      </c>
      <c r="Q3" s="7">
        <f>$B3 * IFERROR(VLOOKUP("transport|PM25|Infant mortality", US_national_yearly!$D:$AM, 25, FALSE) / VLOOKUP("transport|PM25|Infant mortality", US_national_yearly!$D:$AM, 10, FALSE), 1)</f>
        <v>2.4650572084002166E-5</v>
      </c>
      <c r="R3" s="7">
        <f>$B3 * IFERROR(VLOOKUP("transport|PM25|Infant mortality", US_national_yearly!$D:$AM, 26, FALSE) / VLOOKUP("transport|PM25|Infant mortality", US_national_yearly!$D:$AM, 10, FALSE), 1)</f>
        <v>2.4544136572490673E-5</v>
      </c>
      <c r="S3" s="7">
        <f>$B3 * IFERROR(VLOOKUP("transport|PM25|Infant mortality", US_national_yearly!$D:$AM, 27, FALSE) / VLOOKUP("transport|PM25|Infant mortality", US_national_yearly!$D:$AM, 10, FALSE), 1)</f>
        <v>2.441146253114741E-5</v>
      </c>
      <c r="T3" s="7">
        <f>$B3 * IFERROR(VLOOKUP("transport|PM25|Infant mortality", US_national_yearly!$D:$AM, 28, FALSE) / VLOOKUP("transport|PM25|Infant mortality", US_national_yearly!$D:$AM, 10, FALSE), 1)</f>
        <v>2.4278788489804143E-5</v>
      </c>
      <c r="U3" s="7">
        <f>$B3 * IFERROR(VLOOKUP("transport|PM25|Infant mortality", US_national_yearly!$D:$AM, 29, FALSE) / VLOOKUP("transport|PM25|Infant mortality", US_national_yearly!$D:$AM, 10, FALSE), 1)</f>
        <v>2.4146114448460883E-5</v>
      </c>
      <c r="V3" s="7">
        <f>$B3 * IFERROR(VLOOKUP("transport|PM25|Infant mortality", US_national_yearly!$D:$AM, 30, FALSE) / VLOOKUP("transport|PM25|Infant mortality", US_national_yearly!$D:$AM, 10, FALSE), 1)</f>
        <v>2.401344040711762E-5</v>
      </c>
      <c r="W3" s="7">
        <f>$B3 * IFERROR(VLOOKUP("transport|PM25|Infant mortality", US_national_yearly!$D:$AM, 31, FALSE) / VLOOKUP("transport|PM25|Infant mortality", US_national_yearly!$D:$AM, 10, FALSE), 1)</f>
        <v>2.3880766365774357E-5</v>
      </c>
      <c r="X3" s="7">
        <f>$B3 * IFERROR(VLOOKUP("transport|PM25|Infant mortality", US_national_yearly!$D:$AM, 32, FALSE) / VLOOKUP("transport|PM25|Infant mortality", US_national_yearly!$D:$AM, 10, FALSE), 1)</f>
        <v>2.3737727073828769E-5</v>
      </c>
      <c r="Y3" s="7">
        <f>$B3 * IFERROR(VLOOKUP("transport|PM25|Infant mortality", US_national_yearly!$D:$AM, 33, FALSE) / VLOOKUP("transport|PM25|Infant mortality", US_national_yearly!$D:$AM, 10, FALSE), 1)</f>
        <v>2.3594687781883175E-5</v>
      </c>
      <c r="Z3" s="7">
        <f>$B3 * IFERROR(VLOOKUP("transport|PM25|Infant mortality", US_national_yearly!$D:$AM, 34, FALSE) / VLOOKUP("transport|PM25|Infant mortality", US_national_yearly!$D:$AM, 10, FALSE), 1)</f>
        <v>2.3451648489937591E-5</v>
      </c>
      <c r="AA3" s="7">
        <f>$B3 * IFERROR(VLOOKUP("transport|PM25|Infant mortality", US_national_yearly!$D:$AM, 35, FALSE) / VLOOKUP("transport|PM25|Infant mortality", US_national_yearly!$D:$AM, 10, FALSE), 1)</f>
        <v>2.3308609197992004E-5</v>
      </c>
      <c r="AB3" s="7">
        <f>$B3 * IFERROR(VLOOKUP("transport|PM25|Infant mortality", US_national_yearly!$D:$AM, 36, FALSE) / VLOOKUP("transport|PM25|Infant mortality", US_national_yearly!$D:$AM, 10, FALSE), 1)</f>
        <v>2.3165569906046416E-5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9.4073160461258687E-2</v>
      </c>
      <c r="C6" s="7">
        <f>$B6 * IFERROR(VLOOKUP("transport|PM25|Asthma symptoms cough", US_national_yearly!$D:$AM, 11, FALSE) / VLOOKUP("transport|PM25|Asthma symptoms cough", US_national_yearly!$D:$AM, 10, FALSE), 1)</f>
        <v>9.4073160461258687E-2</v>
      </c>
      <c r="D6" s="7">
        <f>$B6 * IFERROR(VLOOKUP("transport|PM25|Asthma symptoms cough", US_national_yearly!$D:$AM, 12, FALSE) / VLOOKUP("transport|PM25|Asthma symptoms cough", US_national_yearly!$D:$AM, 10, FALSE), 1)</f>
        <v>9.4073160461258687E-2</v>
      </c>
      <c r="E6" s="7">
        <f>$B6 * IFERROR(VLOOKUP("transport|PM25|Asthma symptoms cough", US_national_yearly!$D:$AM, 13, FALSE) / VLOOKUP("transport|PM25|Asthma symptoms cough", US_national_yearly!$D:$AM, 10, FALSE), 1)</f>
        <v>9.4073160461258687E-2</v>
      </c>
      <c r="F6" s="7">
        <f>$B6 * IFERROR(VLOOKUP("transport|PM25|Asthma symptoms cough", US_national_yearly!$D:$AM, 14, FALSE) / VLOOKUP("transport|PM25|Asthma symptoms cough", US_national_yearly!$D:$AM, 10, FALSE), 1)</f>
        <v>9.4073160461258687E-2</v>
      </c>
      <c r="G6" s="7">
        <f>$B6 * IFERROR(VLOOKUP("transport|PM25|Asthma symptoms cough", US_national_yearly!$D:$AM, 15, FALSE) / VLOOKUP("transport|PM25|Asthma symptoms cough", US_national_yearly!$D:$AM, 10, FALSE), 1)</f>
        <v>9.4073160461258687E-2</v>
      </c>
      <c r="H6" s="7">
        <f>$B6 * IFERROR(VLOOKUP("transport|PM25|Asthma symptoms cough", US_national_yearly!$D:$AM, 16, FALSE) / VLOOKUP("transport|PM25|Asthma symptoms cough", US_national_yearly!$D:$AM, 10, FALSE), 1)</f>
        <v>9.4073160461258687E-2</v>
      </c>
      <c r="I6" s="7">
        <f>$B6 * IFERROR(VLOOKUP("transport|PM25|Asthma symptoms cough", US_national_yearly!$D:$AM, 17, FALSE) / VLOOKUP("transport|PM25|Asthma symptoms cough", US_national_yearly!$D:$AM, 10, FALSE), 1)</f>
        <v>9.4073160461258687E-2</v>
      </c>
      <c r="J6" s="7">
        <f>$B6 * IFERROR(VLOOKUP("transport|PM25|Asthma symptoms cough", US_national_yearly!$D:$AM, 18, FALSE) / VLOOKUP("transport|PM25|Asthma symptoms cough", US_national_yearly!$D:$AM, 10, FALSE), 1)</f>
        <v>9.4073160461258687E-2</v>
      </c>
      <c r="K6" s="7">
        <f>$B6 * IFERROR(VLOOKUP("transport|PM25|Asthma symptoms cough", US_national_yearly!$D:$AM, 19, FALSE) / VLOOKUP("transport|PM25|Asthma symptoms cough", US_national_yearly!$D:$AM, 10, FALSE), 1)</f>
        <v>9.4073160461258687E-2</v>
      </c>
      <c r="L6" s="7">
        <f>$B6 * IFERROR(VLOOKUP("transport|PM25|Asthma symptoms cough", US_national_yearly!$D:$AM, 20, FALSE) / VLOOKUP("transport|PM25|Asthma symptoms cough", US_national_yearly!$D:$AM, 10, FALSE), 1)</f>
        <v>9.4073160461258687E-2</v>
      </c>
      <c r="M6" s="7">
        <f>$B6 * IFERROR(VLOOKUP("transport|PM25|Asthma symptoms cough", US_national_yearly!$D:$AM, 21, FALSE) / VLOOKUP("transport|PM25|Asthma symptoms cough", US_national_yearly!$D:$AM, 10, FALSE), 1)</f>
        <v>9.4073160461258687E-2</v>
      </c>
      <c r="N6" s="7">
        <f>$B6 * IFERROR(VLOOKUP("transport|PM25|Asthma symptoms cough", US_national_yearly!$D:$AM, 22, FALSE) / VLOOKUP("transport|PM25|Asthma symptoms cough", US_national_yearly!$D:$AM, 10, FALSE), 1)</f>
        <v>9.4073160461258687E-2</v>
      </c>
      <c r="O6" s="7">
        <f>$B6 * IFERROR(VLOOKUP("transport|PM25|Asthma symptoms cough", US_national_yearly!$D:$AM, 23, FALSE) / VLOOKUP("transport|PM25|Asthma symptoms cough", US_national_yearly!$D:$AM, 10, FALSE), 1)</f>
        <v>9.4073160461258687E-2</v>
      </c>
      <c r="P6" s="7">
        <f>$B6 * IFERROR(VLOOKUP("transport|PM25|Asthma symptoms cough", US_national_yearly!$D:$AM, 24, FALSE) / VLOOKUP("transport|PM25|Asthma symptoms cough", US_national_yearly!$D:$AM, 10, FALSE), 1)</f>
        <v>9.4073160461258687E-2</v>
      </c>
      <c r="Q6" s="7">
        <f>$B6 * IFERROR(VLOOKUP("transport|PM25|Asthma symptoms cough", US_national_yearly!$D:$AM, 25, FALSE) / VLOOKUP("transport|PM25|Asthma symptoms cough", US_national_yearly!$D:$AM, 10, FALSE), 1)</f>
        <v>9.4073160461258687E-2</v>
      </c>
      <c r="R6" s="7">
        <f>$B6 * IFERROR(VLOOKUP("transport|PM25|Asthma symptoms cough", US_national_yearly!$D:$AM, 26, FALSE) / VLOOKUP("transport|PM25|Asthma symptoms cough", US_national_yearly!$D:$AM, 10, FALSE), 1)</f>
        <v>9.4073160461258687E-2</v>
      </c>
      <c r="S6" s="7">
        <f>$B6 * IFERROR(VLOOKUP("transport|PM25|Asthma symptoms cough", US_national_yearly!$D:$AM, 27, FALSE) / VLOOKUP("transport|PM25|Asthma symptoms cough", US_national_yearly!$D:$AM, 10, FALSE), 1)</f>
        <v>9.4073160461258687E-2</v>
      </c>
      <c r="T6" s="7">
        <f>$B6 * IFERROR(VLOOKUP("transport|PM25|Asthma symptoms cough", US_national_yearly!$D:$AM, 28, FALSE) / VLOOKUP("transport|PM25|Asthma symptoms cough", US_national_yearly!$D:$AM, 10, FALSE), 1)</f>
        <v>9.4073160461258687E-2</v>
      </c>
      <c r="U6" s="7">
        <f>$B6 * IFERROR(VLOOKUP("transport|PM25|Asthma symptoms cough", US_national_yearly!$D:$AM, 29, FALSE) / VLOOKUP("transport|PM25|Asthma symptoms cough", US_national_yearly!$D:$AM, 10, FALSE), 1)</f>
        <v>9.4073160461258687E-2</v>
      </c>
      <c r="V6" s="7">
        <f>$B6 * IFERROR(VLOOKUP("transport|PM25|Asthma symptoms cough", US_national_yearly!$D:$AM, 30, FALSE) / VLOOKUP("transport|PM25|Asthma symptoms cough", US_national_yearly!$D:$AM, 10, FALSE), 1)</f>
        <v>9.4073160461258687E-2</v>
      </c>
      <c r="W6" s="7">
        <f>$B6 * IFERROR(VLOOKUP("transport|PM25|Asthma symptoms cough", US_national_yearly!$D:$AM, 31, FALSE) / VLOOKUP("transport|PM25|Asthma symptoms cough", US_national_yearly!$D:$AM, 10, FALSE), 1)</f>
        <v>9.4073160461258687E-2</v>
      </c>
      <c r="X6" s="7">
        <f>$B6 * IFERROR(VLOOKUP("transport|PM25|Asthma symptoms cough", US_national_yearly!$D:$AM, 32, FALSE) / VLOOKUP("transport|PM25|Asthma symptoms cough", US_national_yearly!$D:$AM, 10, FALSE), 1)</f>
        <v>9.4073160461258687E-2</v>
      </c>
      <c r="Y6" s="7">
        <f>$B6 * IFERROR(VLOOKUP("transport|PM25|Asthma symptoms cough", US_national_yearly!$D:$AM, 33, FALSE) / VLOOKUP("transport|PM25|Asthma symptoms cough", US_national_yearly!$D:$AM, 10, FALSE), 1)</f>
        <v>9.4073160461258687E-2</v>
      </c>
      <c r="Z6" s="7">
        <f>$B6 * IFERROR(VLOOKUP("transport|PM25|Asthma symptoms cough", US_national_yearly!$D:$AM, 34, FALSE) / VLOOKUP("transport|PM25|Asthma symptoms cough", US_national_yearly!$D:$AM, 10, FALSE), 1)</f>
        <v>9.4073160461258687E-2</v>
      </c>
      <c r="AA6" s="7">
        <f>$B6 * IFERROR(VLOOKUP("transport|PM25|Asthma symptoms cough", US_national_yearly!$D:$AM, 35, FALSE) / VLOOKUP("transport|PM25|Asthma symptoms cough", US_national_yearly!$D:$AM, 10, FALSE), 1)</f>
        <v>9.4073160461258687E-2</v>
      </c>
      <c r="AB6" s="7">
        <f>$B6 * IFERROR(VLOOKUP("transport|PM25|Asthma symptoms cough", US_national_yearly!$D:$AM, 36, FALSE) / VLOOKUP("transport|PM25|Asthma symptoms cough", US_national_yearly!$D:$AM, 10, FALSE), 1)</f>
        <v>9.4073160461258687E-2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0.12667940073531278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0.12667940073531278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0.12667940073531278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0.12667940073531278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0.12667940073531278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0.12667940073531278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0.12667940073531278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0.12667940073531278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0.12667940073531278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0.12667940073531278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0.12667940073531278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0.12667940073531278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0.12667940073531278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0.12667940073531278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0.12667940073531278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0.12667940073531278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0.12667940073531278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0.12667940073531278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0.12667940073531278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0.12667940073531278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0.12667940073531278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0.12667940073531278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0.12667940073531278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0.12667940073531278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0.12667940073531278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0.12667940073531278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0.12667940073531278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0.1935580621549238</v>
      </c>
      <c r="C8" s="7">
        <f>$B8 * IFERROR(VLOOKUP("transport|PM25|Asthma symptoms wheeze", US_national_yearly!$D:$AM, 11, FALSE) / VLOOKUP("transport|PM25|Asthma symptoms wheeze", US_national_yearly!$D:$AM, 10, FALSE), 1)</f>
        <v>0.1935580621549238</v>
      </c>
      <c r="D8" s="7">
        <f>$B8 * IFERROR(VLOOKUP("transport|PM25|Asthma symptoms wheeze", US_national_yearly!$D:$AM, 12, FALSE) / VLOOKUP("transport|PM25|Asthma symptoms wheeze", US_national_yearly!$D:$AM, 10, FALSE), 1)</f>
        <v>0.1935580621549238</v>
      </c>
      <c r="E8" s="7">
        <f>$B8 * IFERROR(VLOOKUP("transport|PM25|Asthma symptoms wheeze", US_national_yearly!$D:$AM, 13, FALSE) / VLOOKUP("transport|PM25|Asthma symptoms wheeze", US_national_yearly!$D:$AM, 10, FALSE), 1)</f>
        <v>0.1935580621549238</v>
      </c>
      <c r="F8" s="7">
        <f>$B8 * IFERROR(VLOOKUP("transport|PM25|Asthma symptoms wheeze", US_national_yearly!$D:$AM, 14, FALSE) / VLOOKUP("transport|PM25|Asthma symptoms wheeze", US_national_yearly!$D:$AM, 10, FALSE), 1)</f>
        <v>0.1935580621549238</v>
      </c>
      <c r="G8" s="7">
        <f>$B8 * IFERROR(VLOOKUP("transport|PM25|Asthma symptoms wheeze", US_national_yearly!$D:$AM, 15, FALSE) / VLOOKUP("transport|PM25|Asthma symptoms wheeze", US_national_yearly!$D:$AM, 10, FALSE), 1)</f>
        <v>0.1935580621549238</v>
      </c>
      <c r="H8" s="7">
        <f>$B8 * IFERROR(VLOOKUP("transport|PM25|Asthma symptoms wheeze", US_national_yearly!$D:$AM, 16, FALSE) / VLOOKUP("transport|PM25|Asthma symptoms wheeze", US_national_yearly!$D:$AM, 10, FALSE), 1)</f>
        <v>0.1935580621549238</v>
      </c>
      <c r="I8" s="7">
        <f>$B8 * IFERROR(VLOOKUP("transport|PM25|Asthma symptoms wheeze", US_national_yearly!$D:$AM, 17, FALSE) / VLOOKUP("transport|PM25|Asthma symptoms wheeze", US_national_yearly!$D:$AM, 10, FALSE), 1)</f>
        <v>0.1935580621549238</v>
      </c>
      <c r="J8" s="7">
        <f>$B8 * IFERROR(VLOOKUP("transport|PM25|Asthma symptoms wheeze", US_national_yearly!$D:$AM, 18, FALSE) / VLOOKUP("transport|PM25|Asthma symptoms wheeze", US_national_yearly!$D:$AM, 10, FALSE), 1)</f>
        <v>0.1935580621549238</v>
      </c>
      <c r="K8" s="7">
        <f>$B8 * IFERROR(VLOOKUP("transport|PM25|Asthma symptoms wheeze", US_national_yearly!$D:$AM, 19, FALSE) / VLOOKUP("transport|PM25|Asthma symptoms wheeze", US_national_yearly!$D:$AM, 10, FALSE), 1)</f>
        <v>0.1935580621549238</v>
      </c>
      <c r="L8" s="7">
        <f>$B8 * IFERROR(VLOOKUP("transport|PM25|Asthma symptoms wheeze", US_national_yearly!$D:$AM, 20, FALSE) / VLOOKUP("transport|PM25|Asthma symptoms wheeze", US_national_yearly!$D:$AM, 10, FALSE), 1)</f>
        <v>0.1935580621549238</v>
      </c>
      <c r="M8" s="7">
        <f>$B8 * IFERROR(VLOOKUP("transport|PM25|Asthma symptoms wheeze", US_national_yearly!$D:$AM, 21, FALSE) / VLOOKUP("transport|PM25|Asthma symptoms wheeze", US_national_yearly!$D:$AM, 10, FALSE), 1)</f>
        <v>0.1935580621549238</v>
      </c>
      <c r="N8" s="7">
        <f>$B8 * IFERROR(VLOOKUP("transport|PM25|Asthma symptoms wheeze", US_national_yearly!$D:$AM, 22, FALSE) / VLOOKUP("transport|PM25|Asthma symptoms wheeze", US_national_yearly!$D:$AM, 10, FALSE), 1)</f>
        <v>0.1935580621549238</v>
      </c>
      <c r="O8" s="7">
        <f>$B8 * IFERROR(VLOOKUP("transport|PM25|Asthma symptoms wheeze", US_national_yearly!$D:$AM, 23, FALSE) / VLOOKUP("transport|PM25|Asthma symptoms wheeze", US_national_yearly!$D:$AM, 10, FALSE), 1)</f>
        <v>0.1935580621549238</v>
      </c>
      <c r="P8" s="7">
        <f>$B8 * IFERROR(VLOOKUP("transport|PM25|Asthma symptoms wheeze", US_national_yearly!$D:$AM, 24, FALSE) / VLOOKUP("transport|PM25|Asthma symptoms wheeze", US_national_yearly!$D:$AM, 10, FALSE), 1)</f>
        <v>0.1935580621549238</v>
      </c>
      <c r="Q8" s="7">
        <f>$B8 * IFERROR(VLOOKUP("transport|PM25|Asthma symptoms wheeze", US_national_yearly!$D:$AM, 25, FALSE) / VLOOKUP("transport|PM25|Asthma symptoms wheeze", US_national_yearly!$D:$AM, 10, FALSE), 1)</f>
        <v>0.1935580621549238</v>
      </c>
      <c r="R8" s="7">
        <f>$B8 * IFERROR(VLOOKUP("transport|PM25|Asthma symptoms wheeze", US_national_yearly!$D:$AM, 26, FALSE) / VLOOKUP("transport|PM25|Asthma symptoms wheeze", US_national_yearly!$D:$AM, 10, FALSE), 1)</f>
        <v>0.1935580621549238</v>
      </c>
      <c r="S8" s="7">
        <f>$B8 * IFERROR(VLOOKUP("transport|PM25|Asthma symptoms wheeze", US_national_yearly!$D:$AM, 27, FALSE) / VLOOKUP("transport|PM25|Asthma symptoms wheeze", US_national_yearly!$D:$AM, 10, FALSE), 1)</f>
        <v>0.1935580621549238</v>
      </c>
      <c r="T8" s="7">
        <f>$B8 * IFERROR(VLOOKUP("transport|PM25|Asthma symptoms wheeze", US_national_yearly!$D:$AM, 28, FALSE) / VLOOKUP("transport|PM25|Asthma symptoms wheeze", US_national_yearly!$D:$AM, 10, FALSE), 1)</f>
        <v>0.1935580621549238</v>
      </c>
      <c r="U8" s="7">
        <f>$B8 * IFERROR(VLOOKUP("transport|PM25|Asthma symptoms wheeze", US_national_yearly!$D:$AM, 29, FALSE) / VLOOKUP("transport|PM25|Asthma symptoms wheeze", US_national_yearly!$D:$AM, 10, FALSE), 1)</f>
        <v>0.1935580621549238</v>
      </c>
      <c r="V8" s="7">
        <f>$B8 * IFERROR(VLOOKUP("transport|PM25|Asthma symptoms wheeze", US_national_yearly!$D:$AM, 30, FALSE) / VLOOKUP("transport|PM25|Asthma symptoms wheeze", US_national_yearly!$D:$AM, 10, FALSE), 1)</f>
        <v>0.1935580621549238</v>
      </c>
      <c r="W8" s="7">
        <f>$B8 * IFERROR(VLOOKUP("transport|PM25|Asthma symptoms wheeze", US_national_yearly!$D:$AM, 31, FALSE) / VLOOKUP("transport|PM25|Asthma symptoms wheeze", US_national_yearly!$D:$AM, 10, FALSE), 1)</f>
        <v>0.1935580621549238</v>
      </c>
      <c r="X8" s="7">
        <f>$B8 * IFERROR(VLOOKUP("transport|PM25|Asthma symptoms wheeze", US_national_yearly!$D:$AM, 32, FALSE) / VLOOKUP("transport|PM25|Asthma symptoms wheeze", US_national_yearly!$D:$AM, 10, FALSE), 1)</f>
        <v>0.1935580621549238</v>
      </c>
      <c r="Y8" s="7">
        <f>$B8 * IFERROR(VLOOKUP("transport|PM25|Asthma symptoms wheeze", US_national_yearly!$D:$AM, 33, FALSE) / VLOOKUP("transport|PM25|Asthma symptoms wheeze", US_national_yearly!$D:$AM, 10, FALSE), 1)</f>
        <v>0.1935580621549238</v>
      </c>
      <c r="Z8" s="7">
        <f>$B8 * IFERROR(VLOOKUP("transport|PM25|Asthma symptoms wheeze", US_national_yearly!$D:$AM, 34, FALSE) / VLOOKUP("transport|PM25|Asthma symptoms wheeze", US_national_yearly!$D:$AM, 10, FALSE), 1)</f>
        <v>0.1935580621549238</v>
      </c>
      <c r="AA8" s="7">
        <f>$B8 * IFERROR(VLOOKUP("transport|PM25|Asthma symptoms wheeze", US_national_yearly!$D:$AM, 35, FALSE) / VLOOKUP("transport|PM25|Asthma symptoms wheeze", US_national_yearly!$D:$AM, 10, FALSE), 1)</f>
        <v>0.1935580621549238</v>
      </c>
      <c r="AB8" s="7">
        <f>$B8 * IFERROR(VLOOKUP("transport|PM25|Asthma symptoms wheeze", US_national_yearly!$D:$AM, 36, FALSE) / VLOOKUP("transport|PM25|Asthma symptoms wheeze", US_national_yearly!$D:$AM, 10, FALSE), 1)</f>
        <v>0.1935580621549238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2.1852939680423525E-3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2.1978191922692445E-3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2.2103444164961357E-3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2.2228696407230277E-3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2.2353948649499189E-3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2.2489226413818543E-3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2.2624504178137897E-3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2.2753756942267681E-3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2.288300970639747E-3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2.3012262470527259E-3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2.3141515234657052E-3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2.3270767998786832E-3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2.3363536479434847E-3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2.3456304960082852E-3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2.3549073440730854E-3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2.3641841921378864E-3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2.3734610402026874E-3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2.3822938219508886E-3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2.3911266036990902E-3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2.3999593854472914E-3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2.4087921671954926E-3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2.4176249489436938E-3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2.4261221976579306E-3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2.4346194463721661E-3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2.4431166950864024E-3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2.4516139438006384E-3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2.4601111925148743E-3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1.4727533667479222E-2</v>
      </c>
      <c r="C13" s="7">
        <f>$B13 * IFERROR(VLOOKUP("transport|PM25|Non-fatal heart attacks", US_national_yearly!$D:$AM, 11, FALSE) / VLOOKUP("transport|PM25|Non-fatal heart attacks", US_national_yearly!$D:$AM, 10, FALSE), 1)</f>
        <v>1.5155702153594219E-2</v>
      </c>
      <c r="D13" s="7">
        <f>$B13 * IFERROR(VLOOKUP("transport|PM25|Non-fatal heart attacks", US_national_yearly!$D:$AM, 12, FALSE) / VLOOKUP("transport|PM25|Non-fatal heart attacks", US_national_yearly!$D:$AM, 10, FALSE), 1)</f>
        <v>1.5583870639709214E-2</v>
      </c>
      <c r="E13" s="7">
        <f>$B13 * IFERROR(VLOOKUP("transport|PM25|Non-fatal heart attacks", US_national_yearly!$D:$AM, 13, FALSE) / VLOOKUP("transport|PM25|Non-fatal heart attacks", US_national_yearly!$D:$AM, 10, FALSE), 1)</f>
        <v>1.6012039125824207E-2</v>
      </c>
      <c r="F13" s="7">
        <f>$B13 * IFERROR(VLOOKUP("transport|PM25|Non-fatal heart attacks", US_national_yearly!$D:$AM, 14, FALSE) / VLOOKUP("transport|PM25|Non-fatal heart attacks", US_national_yearly!$D:$AM, 10, FALSE), 1)</f>
        <v>1.6440207611939206E-2</v>
      </c>
      <c r="G13" s="7">
        <f>$B13 * IFERROR(VLOOKUP("transport|PM25|Non-fatal heart attacks", US_national_yearly!$D:$AM, 15, FALSE) / VLOOKUP("transport|PM25|Non-fatal heart attacks", US_national_yearly!$D:$AM, 10, FALSE), 1)</f>
        <v>1.6843997562632565E-2</v>
      </c>
      <c r="H13" s="7">
        <f>$B13 * IFERROR(VLOOKUP("transport|PM25|Non-fatal heart attacks", US_national_yearly!$D:$AM, 16, FALSE) / VLOOKUP("transport|PM25|Non-fatal heart attacks", US_national_yearly!$D:$AM, 10, FALSE), 1)</f>
        <v>1.724778751332592E-2</v>
      </c>
      <c r="I13" s="7">
        <f>$B13 * IFERROR(VLOOKUP("transport|PM25|Non-fatal heart attacks", US_national_yearly!$D:$AM, 17, FALSE) / VLOOKUP("transport|PM25|Non-fatal heart attacks", US_national_yearly!$D:$AM, 10, FALSE), 1)</f>
        <v>1.7572300270556077E-2</v>
      </c>
      <c r="J13" s="7">
        <f>$B13 * IFERROR(VLOOKUP("transport|PM25|Non-fatal heart attacks", US_national_yearly!$D:$AM, 18, FALSE) / VLOOKUP("transport|PM25|Non-fatal heart attacks", US_national_yearly!$D:$AM, 10, FALSE), 1)</f>
        <v>1.7896813027786233E-2</v>
      </c>
      <c r="K13" s="7">
        <f>$B13 * IFERROR(VLOOKUP("transport|PM25|Non-fatal heart attacks", US_national_yearly!$D:$AM, 19, FALSE) / VLOOKUP("transport|PM25|Non-fatal heart attacks", US_national_yearly!$D:$AM, 10, FALSE), 1)</f>
        <v>1.8221325785016392E-2</v>
      </c>
      <c r="L13" s="7">
        <f>$B13 * IFERROR(VLOOKUP("transport|PM25|Non-fatal heart attacks", US_national_yearly!$D:$AM, 20, FALSE) / VLOOKUP("transport|PM25|Non-fatal heart attacks", US_national_yearly!$D:$AM, 10, FALSE), 1)</f>
        <v>1.8545838542246552E-2</v>
      </c>
      <c r="M13" s="7">
        <f>$B13 * IFERROR(VLOOKUP("transport|PM25|Non-fatal heart attacks", US_national_yearly!$D:$AM, 21, FALSE) / VLOOKUP("transport|PM25|Non-fatal heart attacks", US_national_yearly!$D:$AM, 10, FALSE), 1)</f>
        <v>1.8870351299476711E-2</v>
      </c>
      <c r="N13" s="7">
        <f>$B13 * IFERROR(VLOOKUP("transport|PM25|Non-fatal heart attacks", US_national_yearly!$D:$AM, 22, FALSE) / VLOOKUP("transport|PM25|Non-fatal heart attacks", US_national_yearly!$D:$AM, 10, FALSE), 1)</f>
        <v>1.9079629983722288E-2</v>
      </c>
      <c r="O13" s="7">
        <f>$B13 * IFERROR(VLOOKUP("transport|PM25|Non-fatal heart attacks", US_national_yearly!$D:$AM, 23, FALSE) / VLOOKUP("transport|PM25|Non-fatal heart attacks", US_national_yearly!$D:$AM, 10, FALSE), 1)</f>
        <v>1.9288908667967869E-2</v>
      </c>
      <c r="P13" s="7">
        <f>$B13 * IFERROR(VLOOKUP("transport|PM25|Non-fatal heart attacks", US_national_yearly!$D:$AM, 24, FALSE) / VLOOKUP("transport|PM25|Non-fatal heart attacks", US_national_yearly!$D:$AM, 10, FALSE), 1)</f>
        <v>1.949818735221345E-2</v>
      </c>
      <c r="Q13" s="7">
        <f>$B13 * IFERROR(VLOOKUP("transport|PM25|Non-fatal heart attacks", US_national_yearly!$D:$AM, 25, FALSE) / VLOOKUP("transport|PM25|Non-fatal heart attacks", US_national_yearly!$D:$AM, 10, FALSE), 1)</f>
        <v>1.970746603645903E-2</v>
      </c>
      <c r="R13" s="7">
        <f>$B13 * IFERROR(VLOOKUP("transport|PM25|Non-fatal heart attacks", US_national_yearly!$D:$AM, 26, FALSE) / VLOOKUP("transport|PM25|Non-fatal heart attacks", US_national_yearly!$D:$AM, 10, FALSE), 1)</f>
        <v>1.9916744720704611E-2</v>
      </c>
      <c r="S13" s="7">
        <f>$B13 * IFERROR(VLOOKUP("transport|PM25|Non-fatal heart attacks", US_national_yearly!$D:$AM, 27, FALSE) / VLOOKUP("transport|PM25|Non-fatal heart attacks", US_national_yearly!$D:$AM, 10, FALSE), 1)</f>
        <v>2.0026956854874711E-2</v>
      </c>
      <c r="T13" s="7">
        <f>$B13 * IFERROR(VLOOKUP("transport|PM25|Non-fatal heart attacks", US_national_yearly!$D:$AM, 28, FALSE) / VLOOKUP("transport|PM25|Non-fatal heart attacks", US_national_yearly!$D:$AM, 10, FALSE), 1)</f>
        <v>2.0137168989044815E-2</v>
      </c>
      <c r="U13" s="7">
        <f>$B13 * IFERROR(VLOOKUP("transport|PM25|Non-fatal heart attacks", US_national_yearly!$D:$AM, 29, FALSE) / VLOOKUP("transport|PM25|Non-fatal heart attacks", US_national_yearly!$D:$AM, 10, FALSE), 1)</f>
        <v>2.0247381123214923E-2</v>
      </c>
      <c r="V13" s="7">
        <f>$B13 * IFERROR(VLOOKUP("transport|PM25|Non-fatal heart attacks", US_national_yearly!$D:$AM, 30, FALSE) / VLOOKUP("transport|PM25|Non-fatal heart attacks", US_national_yearly!$D:$AM, 10, FALSE), 1)</f>
        <v>2.0357593257385027E-2</v>
      </c>
      <c r="W13" s="7">
        <f>$B13 * IFERROR(VLOOKUP("transport|PM25|Non-fatal heart attacks", US_national_yearly!$D:$AM, 31, FALSE) / VLOOKUP("transport|PM25|Non-fatal heart attacks", US_national_yearly!$D:$AM, 10, FALSE), 1)</f>
        <v>2.0467805391555127E-2</v>
      </c>
      <c r="X13" s="7">
        <f>$B13 * IFERROR(VLOOKUP("transport|PM25|Non-fatal heart attacks", US_national_yearly!$D:$AM, 32, FALSE) / VLOOKUP("transport|PM25|Non-fatal heart attacks", US_national_yearly!$D:$AM, 10, FALSE), 1)</f>
        <v>2.0551472337737315E-2</v>
      </c>
      <c r="Y13" s="7">
        <f>$B13 * IFERROR(VLOOKUP("transport|PM25|Non-fatal heart attacks", US_national_yearly!$D:$AM, 33, FALSE) / VLOOKUP("transport|PM25|Non-fatal heart attacks", US_national_yearly!$D:$AM, 10, FALSE), 1)</f>
        <v>2.0635139283919503E-2</v>
      </c>
      <c r="Z13" s="7">
        <f>$B13 * IFERROR(VLOOKUP("transport|PM25|Non-fatal heart attacks", US_national_yearly!$D:$AM, 34, FALSE) / VLOOKUP("transport|PM25|Non-fatal heart attacks", US_national_yearly!$D:$AM, 10, FALSE), 1)</f>
        <v>2.0718806230101687E-2</v>
      </c>
      <c r="AA13" s="7">
        <f>$B13 * IFERROR(VLOOKUP("transport|PM25|Non-fatal heart attacks", US_national_yearly!$D:$AM, 35, FALSE) / VLOOKUP("transport|PM25|Non-fatal heart attacks", US_national_yearly!$D:$AM, 10, FALSE), 1)</f>
        <v>2.0802473176283878E-2</v>
      </c>
      <c r="AB13" s="7">
        <f>$B13 * IFERROR(VLOOKUP("transport|PM25|Non-fatal heart attacks", US_national_yearly!$D:$AM, 36, FALSE) / VLOOKUP("transport|PM25|Non-fatal heart attacks", US_national_yearly!$D:$AM, 10, FALSE), 1)</f>
        <v>2.0886140122466063E-2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12.409719110004305</v>
      </c>
      <c r="C14" s="7">
        <f>$B14 * IFERROR(VLOOKUP("transport|PM25|Minor restricted activity days", US_national_yearly!$D:$AM, 11, FALSE) / VLOOKUP("transport|PM25|Minor restricted activity days", US_national_yearly!$D:$AM, 10, FALSE), 1)</f>
        <v>12.440025115750492</v>
      </c>
      <c r="D14" s="7">
        <f>$B14 * IFERROR(VLOOKUP("transport|PM25|Minor restricted activity days", US_national_yearly!$D:$AM, 12, FALSE) / VLOOKUP("transport|PM25|Minor restricted activity days", US_national_yearly!$D:$AM, 10, FALSE), 1)</f>
        <v>12.470331121496681</v>
      </c>
      <c r="E14" s="7">
        <f>$B14 * IFERROR(VLOOKUP("transport|PM25|Minor restricted activity days", US_national_yearly!$D:$AM, 13, FALSE) / VLOOKUP("transport|PM25|Minor restricted activity days", US_national_yearly!$D:$AM, 10, FALSE), 1)</f>
        <v>12.500637127242872</v>
      </c>
      <c r="F14" s="7">
        <f>$B14 * IFERROR(VLOOKUP("transport|PM25|Minor restricted activity days", US_national_yearly!$D:$AM, 14, FALSE) / VLOOKUP("transport|PM25|Minor restricted activity days", US_national_yearly!$D:$AM, 10, FALSE), 1)</f>
        <v>12.530943132989057</v>
      </c>
      <c r="G14" s="7">
        <f>$B14 * IFERROR(VLOOKUP("transport|PM25|Minor restricted activity days", US_national_yearly!$D:$AM, 15, FALSE) / VLOOKUP("transport|PM25|Minor restricted activity days", US_national_yearly!$D:$AM, 10, FALSE), 1)</f>
        <v>12.575658737487402</v>
      </c>
      <c r="H14" s="7">
        <f>$B14 * IFERROR(VLOOKUP("transport|PM25|Minor restricted activity days", US_national_yearly!$D:$AM, 16, FALSE) / VLOOKUP("transport|PM25|Minor restricted activity days", US_national_yearly!$D:$AM, 10, FALSE), 1)</f>
        <v>12.620374341985748</v>
      </c>
      <c r="I14" s="7">
        <f>$B14 * IFERROR(VLOOKUP("transport|PM25|Minor restricted activity days", US_national_yearly!$D:$AM, 17, FALSE) / VLOOKUP("transport|PM25|Minor restricted activity days", US_national_yearly!$D:$AM, 10, FALSE), 1)</f>
        <v>12.696817549098299</v>
      </c>
      <c r="J14" s="7">
        <f>$B14 * IFERROR(VLOOKUP("transport|PM25|Minor restricted activity days", US_national_yearly!$D:$AM, 18, FALSE) / VLOOKUP("transport|PM25|Minor restricted activity days", US_national_yearly!$D:$AM, 10, FALSE), 1)</f>
        <v>12.773260756210844</v>
      </c>
      <c r="K14" s="7">
        <f>$B14 * IFERROR(VLOOKUP("transport|PM25|Minor restricted activity days", US_national_yearly!$D:$AM, 19, FALSE) / VLOOKUP("transport|PM25|Minor restricted activity days", US_national_yearly!$D:$AM, 10, FALSE), 1)</f>
        <v>12.849703963323394</v>
      </c>
      <c r="L14" s="7">
        <f>$B14 * IFERROR(VLOOKUP("transport|PM25|Minor restricted activity days", US_national_yearly!$D:$AM, 20, FALSE) / VLOOKUP("transport|PM25|Minor restricted activity days", US_national_yearly!$D:$AM, 10, FALSE), 1)</f>
        <v>12.926147170435941</v>
      </c>
      <c r="M14" s="7">
        <f>$B14 * IFERROR(VLOOKUP("transport|PM25|Minor restricted activity days", US_national_yearly!$D:$AM, 21, FALSE) / VLOOKUP("transport|PM25|Minor restricted activity days", US_national_yearly!$D:$AM, 10, FALSE), 1)</f>
        <v>13.002590377548488</v>
      </c>
      <c r="N14" s="7">
        <f>$B14 * IFERROR(VLOOKUP("transport|PM25|Minor restricted activity days", US_national_yearly!$D:$AM, 22, FALSE) / VLOOKUP("transport|PM25|Minor restricted activity days", US_national_yearly!$D:$AM, 10, FALSE), 1)</f>
        <v>13.106721245451249</v>
      </c>
      <c r="O14" s="7">
        <f>$B14 * IFERROR(VLOOKUP("transport|PM25|Minor restricted activity days", US_national_yearly!$D:$AM, 23, FALSE) / VLOOKUP("transport|PM25|Minor restricted activity days", US_national_yearly!$D:$AM, 10, FALSE), 1)</f>
        <v>13.210852113354006</v>
      </c>
      <c r="P14" s="7">
        <f>$B14 * IFERROR(VLOOKUP("transport|PM25|Minor restricted activity days", US_national_yearly!$D:$AM, 24, FALSE) / VLOOKUP("transport|PM25|Minor restricted activity days", US_national_yearly!$D:$AM, 10, FALSE), 1)</f>
        <v>13.314982981256765</v>
      </c>
      <c r="Q14" s="7">
        <f>$B14 * IFERROR(VLOOKUP("transport|PM25|Minor restricted activity days", US_national_yearly!$D:$AM, 25, FALSE) / VLOOKUP("transport|PM25|Minor restricted activity days", US_national_yearly!$D:$AM, 10, FALSE), 1)</f>
        <v>13.419113849159523</v>
      </c>
      <c r="R14" s="7">
        <f>$B14 * IFERROR(VLOOKUP("transport|PM25|Minor restricted activity days", US_national_yearly!$D:$AM, 26, FALSE) / VLOOKUP("transport|PM25|Minor restricted activity days", US_national_yearly!$D:$AM, 10, FALSE), 1)</f>
        <v>13.52324471706228</v>
      </c>
      <c r="S14" s="7">
        <f>$B14 * IFERROR(VLOOKUP("transport|PM25|Minor restricted activity days", US_national_yearly!$D:$AM, 27, FALSE) / VLOOKUP("transport|PM25|Minor restricted activity days", US_national_yearly!$D:$AM, 10, FALSE), 1)</f>
        <v>13.628092700130745</v>
      </c>
      <c r="T14" s="7">
        <f>$B14 * IFERROR(VLOOKUP("transport|PM25|Minor restricted activity days", US_national_yearly!$D:$AM, 28, FALSE) / VLOOKUP("transport|PM25|Minor restricted activity days", US_national_yearly!$D:$AM, 10, FALSE), 1)</f>
        <v>13.73294068319921</v>
      </c>
      <c r="U14" s="7">
        <f>$B14 * IFERROR(VLOOKUP("transport|PM25|Minor restricted activity days", US_national_yearly!$D:$AM, 29, FALSE) / VLOOKUP("transport|PM25|Minor restricted activity days", US_national_yearly!$D:$AM, 10, FALSE), 1)</f>
        <v>13.837788666267674</v>
      </c>
      <c r="V14" s="7">
        <f>$B14 * IFERROR(VLOOKUP("transport|PM25|Minor restricted activity days", US_national_yearly!$D:$AM, 30, FALSE) / VLOOKUP("transport|PM25|Minor restricted activity days", US_national_yearly!$D:$AM, 10, FALSE), 1)</f>
        <v>13.942636649336139</v>
      </c>
      <c r="W14" s="7">
        <f>$B14 * IFERROR(VLOOKUP("transport|PM25|Minor restricted activity days", US_national_yearly!$D:$AM, 31, FALSE) / VLOOKUP("transport|PM25|Minor restricted activity days", US_national_yearly!$D:$AM, 10, FALSE), 1)</f>
        <v>14.047484632404604</v>
      </c>
      <c r="X14" s="7">
        <f>$B14 * IFERROR(VLOOKUP("transport|PM25|Minor restricted activity days", US_national_yearly!$D:$AM, 32, FALSE) / VLOOKUP("transport|PM25|Minor restricted activity days", US_national_yearly!$D:$AM, 10, FALSE), 1)</f>
        <v>14.138503229615814</v>
      </c>
      <c r="Y14" s="7">
        <f>$B14 * IFERROR(VLOOKUP("transport|PM25|Minor restricted activity days", US_national_yearly!$D:$AM, 33, FALSE) / VLOOKUP("transport|PM25|Minor restricted activity days", US_national_yearly!$D:$AM, 10, FALSE), 1)</f>
        <v>14.229521826827025</v>
      </c>
      <c r="Z14" s="7">
        <f>$B14 * IFERROR(VLOOKUP("transport|PM25|Minor restricted activity days", US_national_yearly!$D:$AM, 34, FALSE) / VLOOKUP("transport|PM25|Minor restricted activity days", US_national_yearly!$D:$AM, 10, FALSE), 1)</f>
        <v>14.320540424038235</v>
      </c>
      <c r="AA14" s="7">
        <f>$B14 * IFERROR(VLOOKUP("transport|PM25|Minor restricted activity days", US_national_yearly!$D:$AM, 35, FALSE) / VLOOKUP("transport|PM25|Minor restricted activity days", US_national_yearly!$D:$AM, 10, FALSE), 1)</f>
        <v>14.411559021249442</v>
      </c>
      <c r="AB14" s="7">
        <f>$B14 * IFERROR(VLOOKUP("transport|PM25|Minor restricted activity days", US_national_yearly!$D:$AM, 36, FALSE) / VLOOKUP("transport|PM25|Minor restricted activity days", US_national_yearly!$D:$AM, 10, FALSE), 1)</f>
        <v>14.502577618460652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2.1062044767136028</v>
      </c>
      <c r="C15" s="7">
        <f>$B15 * IFERROR(VLOOKUP("transport|PM25|Work loss days", US_national_yearly!$D:$AM, 11, FALSE) / VLOOKUP("transport|PM25|Work loss days", US_national_yearly!$D:$AM, 10, FALSE), 1)</f>
        <v>2.1127329519980735</v>
      </c>
      <c r="D15" s="7">
        <f>$B15 * IFERROR(VLOOKUP("transport|PM25|Work loss days", US_national_yearly!$D:$AM, 12, FALSE) / VLOOKUP("transport|PM25|Work loss days", US_national_yearly!$D:$AM, 10, FALSE), 1)</f>
        <v>2.1192614272825447</v>
      </c>
      <c r="E15" s="7">
        <f>$B15 * IFERROR(VLOOKUP("transport|PM25|Work loss days", US_national_yearly!$D:$AM, 13, FALSE) / VLOOKUP("transport|PM25|Work loss days", US_national_yearly!$D:$AM, 10, FALSE), 1)</f>
        <v>2.1257899025670155</v>
      </c>
      <c r="F15" s="7">
        <f>$B15 * IFERROR(VLOOKUP("transport|PM25|Work loss days", US_national_yearly!$D:$AM, 14, FALSE) / VLOOKUP("transport|PM25|Work loss days", US_national_yearly!$D:$AM, 10, FALSE), 1)</f>
        <v>2.1323183778514863</v>
      </c>
      <c r="G15" s="7">
        <f>$B15 * IFERROR(VLOOKUP("transport|PM25|Work loss days", US_national_yearly!$D:$AM, 15, FALSE) / VLOOKUP("transport|PM25|Work loss days", US_national_yearly!$D:$AM, 10, FALSE), 1)</f>
        <v>2.1408776255376964</v>
      </c>
      <c r="H15" s="7">
        <f>$B15 * IFERROR(VLOOKUP("transport|PM25|Work loss days", US_national_yearly!$D:$AM, 16, FALSE) / VLOOKUP("transport|PM25|Work loss days", US_national_yearly!$D:$AM, 10, FALSE), 1)</f>
        <v>2.1494368732239075</v>
      </c>
      <c r="I15" s="7">
        <f>$B15 * IFERROR(VLOOKUP("transport|PM25|Work loss days", US_national_yearly!$D:$AM, 17, FALSE) / VLOOKUP("transport|PM25|Work loss days", US_national_yearly!$D:$AM, 10, FALSE), 1)</f>
        <v>2.1620413068299209</v>
      </c>
      <c r="J15" s="7">
        <f>$B15 * IFERROR(VLOOKUP("transport|PM25|Work loss days", US_national_yearly!$D:$AM, 18, FALSE) / VLOOKUP("transport|PM25|Work loss days", US_national_yearly!$D:$AM, 10, FALSE), 1)</f>
        <v>2.1746457404359347</v>
      </c>
      <c r="K15" s="7">
        <f>$B15 * IFERROR(VLOOKUP("transport|PM25|Work loss days", US_national_yearly!$D:$AM, 19, FALSE) / VLOOKUP("transport|PM25|Work loss days", US_national_yearly!$D:$AM, 10, FALSE), 1)</f>
        <v>2.1872501740419481</v>
      </c>
      <c r="L15" s="7">
        <f>$B15 * IFERROR(VLOOKUP("transport|PM25|Work loss days", US_national_yearly!$D:$AM, 20, FALSE) / VLOOKUP("transport|PM25|Work loss days", US_national_yearly!$D:$AM, 10, FALSE), 1)</f>
        <v>2.1998546076479615</v>
      </c>
      <c r="M15" s="7">
        <f>$B15 * IFERROR(VLOOKUP("transport|PM25|Work loss days", US_national_yearly!$D:$AM, 21, FALSE) / VLOOKUP("transport|PM25|Work loss days", US_national_yearly!$D:$AM, 10, FALSE), 1)</f>
        <v>2.2124590412539749</v>
      </c>
      <c r="N15" s="7">
        <f>$B15 * IFERROR(VLOOKUP("transport|PM25|Work loss days", US_national_yearly!$D:$AM, 22, FALSE) / VLOOKUP("transport|PM25|Work loss days", US_national_yearly!$D:$AM, 10, FALSE), 1)</f>
        <v>2.228322674961611</v>
      </c>
      <c r="O15" s="7">
        <f>$B15 * IFERROR(VLOOKUP("transport|PM25|Work loss days", US_national_yearly!$D:$AM, 23, FALSE) / VLOOKUP("transport|PM25|Work loss days", US_national_yearly!$D:$AM, 10, FALSE), 1)</f>
        <v>2.2441863086692462</v>
      </c>
      <c r="P15" s="7">
        <f>$B15 * IFERROR(VLOOKUP("transport|PM25|Work loss days", US_national_yearly!$D:$AM, 24, FALSE) / VLOOKUP("transport|PM25|Work loss days", US_national_yearly!$D:$AM, 10, FALSE), 1)</f>
        <v>2.2600499423768823</v>
      </c>
      <c r="Q15" s="7">
        <f>$B15 * IFERROR(VLOOKUP("transport|PM25|Work loss days", US_national_yearly!$D:$AM, 25, FALSE) / VLOOKUP("transport|PM25|Work loss days", US_national_yearly!$D:$AM, 10, FALSE), 1)</f>
        <v>2.2759135760845179</v>
      </c>
      <c r="R15" s="7">
        <f>$B15 * IFERROR(VLOOKUP("transport|PM25|Work loss days", US_national_yearly!$D:$AM, 26, FALSE) / VLOOKUP("transport|PM25|Work loss days", US_national_yearly!$D:$AM, 10, FALSE), 1)</f>
        <v>2.2917772097921536</v>
      </c>
      <c r="S15" s="7">
        <f>$B15 * IFERROR(VLOOKUP("transport|PM25|Work loss days", US_national_yearly!$D:$AM, 27, FALSE) / VLOOKUP("transport|PM25|Work loss days", US_national_yearly!$D:$AM, 10, FALSE), 1)</f>
        <v>2.3093230659461006</v>
      </c>
      <c r="T15" s="7">
        <f>$B15 * IFERROR(VLOOKUP("transport|PM25|Work loss days", US_national_yearly!$D:$AM, 28, FALSE) / VLOOKUP("transport|PM25|Work loss days", US_national_yearly!$D:$AM, 10, FALSE), 1)</f>
        <v>2.3268689221000476</v>
      </c>
      <c r="U15" s="7">
        <f>$B15 * IFERROR(VLOOKUP("transport|PM25|Work loss days", US_national_yearly!$D:$AM, 29, FALSE) / VLOOKUP("transport|PM25|Work loss days", US_national_yearly!$D:$AM, 10, FALSE), 1)</f>
        <v>2.3444147782539937</v>
      </c>
      <c r="V15" s="7">
        <f>$B15 * IFERROR(VLOOKUP("transport|PM25|Work loss days", US_national_yearly!$D:$AM, 30, FALSE) / VLOOKUP("transport|PM25|Work loss days", US_national_yearly!$D:$AM, 10, FALSE), 1)</f>
        <v>2.3619606344079407</v>
      </c>
      <c r="W15" s="7">
        <f>$B15 * IFERROR(VLOOKUP("transport|PM25|Work loss days", US_national_yearly!$D:$AM, 31, FALSE) / VLOOKUP("transport|PM25|Work loss days", US_national_yearly!$D:$AM, 10, FALSE), 1)</f>
        <v>2.3795064905618877</v>
      </c>
      <c r="X15" s="7">
        <f>$B15 * IFERROR(VLOOKUP("transport|PM25|Work loss days", US_national_yearly!$D:$AM, 32, FALSE) / VLOOKUP("transport|PM25|Work loss days", US_national_yearly!$D:$AM, 10, FALSE), 1)</f>
        <v>2.3950743971514008</v>
      </c>
      <c r="Y15" s="7">
        <f>$B15 * IFERROR(VLOOKUP("transport|PM25|Work loss days", US_national_yearly!$D:$AM, 33, FALSE) / VLOOKUP("transport|PM25|Work loss days", US_national_yearly!$D:$AM, 10, FALSE), 1)</f>
        <v>2.4106423037409144</v>
      </c>
      <c r="Z15" s="7">
        <f>$B15 * IFERROR(VLOOKUP("transport|PM25|Work loss days", US_national_yearly!$D:$AM, 34, FALSE) / VLOOKUP("transport|PM25|Work loss days", US_national_yearly!$D:$AM, 10, FALSE), 1)</f>
        <v>2.4262102103304279</v>
      </c>
      <c r="AA15" s="7">
        <f>$B15 * IFERROR(VLOOKUP("transport|PM25|Work loss days", US_national_yearly!$D:$AM, 35, FALSE) / VLOOKUP("transport|PM25|Work loss days", US_national_yearly!$D:$AM, 10, FALSE), 1)</f>
        <v>2.441778116919942</v>
      </c>
      <c r="AB15" s="7">
        <f>$B15 * IFERROR(VLOOKUP("transport|PM25|Work loss days", US_national_yearly!$D:$AM, 36, FALSE) / VLOOKUP("transport|PM25|Work loss days", US_national_yearly!$D:$AM, 10, FALSE), 1)</f>
        <v>2.4573460235094551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3.8062194839153705E-3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3.9199519762357663E-3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4.0336844685561627E-3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4.147416960876559E-3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4.2611494531969553E-3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4.3700848651743642E-3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4.479020277151774E-3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4.5721878222687237E-3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4.6653553673856726E-3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4.7585229125026223E-3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4.851690457619573E-3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4.9448580027365218E-3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5.0069749322052513E-3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5.0690918616739817E-3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5.1312087911427112E-3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5.1933257206114407E-3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5.2554426500801702E-3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5.2883083050720512E-3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5.3211739600639314E-3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5.3540396150558098E-3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5.3869052700476899E-3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5.4197709250395692E-3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5.4418965162939467E-3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5.4640221075483242E-3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5.4861476988027017E-3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5.5082732900570783E-3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5.5303988813114558E-3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8.6199752537279321E-4</v>
      </c>
      <c r="C2" s="7">
        <f>$B2 * IFERROR(VLOOKUP("transport|NOx|Premature mortality", US_national_yearly!$D:$AM, 11, FALSE) / VLOOKUP("transport|NOx|Premature mortality", US_national_yearly!$D:$AM, 10, FALSE), 1)</f>
        <v>8.7465881202638109E-4</v>
      </c>
      <c r="D2" s="7">
        <f>$B2 * IFERROR(VLOOKUP("transport|NOx|Premature mortality", US_national_yearly!$D:$AM, 12, FALSE) / VLOOKUP("transport|NOx|Premature mortality", US_national_yearly!$D:$AM, 10, FALSE), 1)</f>
        <v>8.8732009867996885E-4</v>
      </c>
      <c r="E2" s="7">
        <f>$B2 * IFERROR(VLOOKUP("transport|NOx|Premature mortality", US_national_yearly!$D:$AM, 13, FALSE) / VLOOKUP("transport|NOx|Premature mortality", US_national_yearly!$D:$AM, 10, FALSE), 1)</f>
        <v>8.9998138533355673E-4</v>
      </c>
      <c r="F2" s="7">
        <f>$B2 * IFERROR(VLOOKUP("transport|NOx|Premature mortality", US_national_yearly!$D:$AM, 14, FALSE) / VLOOKUP("transport|NOx|Premature mortality", US_national_yearly!$D:$AM, 10, FALSE), 1)</f>
        <v>9.1264267198714472E-4</v>
      </c>
      <c r="G2" s="7">
        <f>$B2 * IFERROR(VLOOKUP("transport|NOx|Premature mortality", US_national_yearly!$D:$AM, 15, FALSE) / VLOOKUP("transport|NOx|Premature mortality", US_national_yearly!$D:$AM, 10, FALSE), 1)</f>
        <v>9.3538533625161125E-4</v>
      </c>
      <c r="H2" s="7">
        <f>$B2 * IFERROR(VLOOKUP("transport|NOx|Premature mortality", US_national_yearly!$D:$AM, 16, FALSE) / VLOOKUP("transport|NOx|Premature mortality", US_national_yearly!$D:$AM, 10, FALSE), 1)</f>
        <v>9.5812800051607832E-4</v>
      </c>
      <c r="I2" s="7">
        <f>$B2 * IFERROR(VLOOKUP("transport|NOx|Premature mortality", US_national_yearly!$D:$AM, 17, FALSE) / VLOOKUP("transport|NOx|Premature mortality", US_national_yearly!$D:$AM, 10, FALSE), 1)</f>
        <v>9.728088216960888E-4</v>
      </c>
      <c r="J2" s="7">
        <f>$B2 * IFERROR(VLOOKUP("transport|NOx|Premature mortality", US_national_yearly!$D:$AM, 18, FALSE) / VLOOKUP("transport|NOx|Premature mortality", US_national_yearly!$D:$AM, 10, FALSE), 1)</f>
        <v>9.8748964287609939E-4</v>
      </c>
      <c r="K2" s="7">
        <f>$B2 * IFERROR(VLOOKUP("transport|NOx|Premature mortality", US_national_yearly!$D:$AM, 19, FALSE) / VLOOKUP("transport|NOx|Premature mortality", US_national_yearly!$D:$AM, 10, FALSE), 1)</f>
        <v>1.0021704640561099E-3</v>
      </c>
      <c r="L2" s="7">
        <f>$B2 * IFERROR(VLOOKUP("transport|NOx|Premature mortality", US_national_yearly!$D:$AM, 20, FALSE) / VLOOKUP("transport|NOx|Premature mortality", US_national_yearly!$D:$AM, 10, FALSE), 1)</f>
        <v>1.0168512852361204E-3</v>
      </c>
      <c r="M2" s="7">
        <f>$B2 * IFERROR(VLOOKUP("transport|NOx|Premature mortality", US_national_yearly!$D:$AM, 21, FALSE) / VLOOKUP("transport|NOx|Premature mortality", US_national_yearly!$D:$AM, 10, FALSE), 1)</f>
        <v>1.0315321064161311E-3</v>
      </c>
      <c r="N2" s="7">
        <f>$B2 * IFERROR(VLOOKUP("transport|NOx|Premature mortality", US_national_yearly!$D:$AM, 22, FALSE) / VLOOKUP("transport|NOx|Premature mortality", US_national_yearly!$D:$AM, 10, FALSE), 1)</f>
        <v>1.0424076016739489E-3</v>
      </c>
      <c r="O2" s="7">
        <f>$B2 * IFERROR(VLOOKUP("transport|NOx|Premature mortality", US_national_yearly!$D:$AM, 23, FALSE) / VLOOKUP("transport|NOx|Premature mortality", US_national_yearly!$D:$AM, 10, FALSE), 1)</f>
        <v>1.053283096931767E-3</v>
      </c>
      <c r="P2" s="7">
        <f>$B2 * IFERROR(VLOOKUP("transport|NOx|Premature mortality", US_national_yearly!$D:$AM, 24, FALSE) / VLOOKUP("transport|NOx|Premature mortality", US_national_yearly!$D:$AM, 10, FALSE), 1)</f>
        <v>1.0641585921895849E-3</v>
      </c>
      <c r="Q2" s="7">
        <f>$B2 * IFERROR(VLOOKUP("transport|NOx|Premature mortality", US_national_yearly!$D:$AM, 25, FALSE) / VLOOKUP("transport|NOx|Premature mortality", US_national_yearly!$D:$AM, 10, FALSE), 1)</f>
        <v>1.0750340874474029E-3</v>
      </c>
      <c r="R2" s="7">
        <f>$B2 * IFERROR(VLOOKUP("transport|NOx|Premature mortality", US_national_yearly!$D:$AM, 26, FALSE) / VLOOKUP("transport|NOx|Premature mortality", US_national_yearly!$D:$AM, 10, FALSE), 1)</f>
        <v>1.085909582705221E-3</v>
      </c>
      <c r="S2" s="7">
        <f>$B2 * IFERROR(VLOOKUP("transport|NOx|Premature mortality", US_national_yearly!$D:$AM, 27, FALSE) / VLOOKUP("transport|NOx|Premature mortality", US_national_yearly!$D:$AM, 10, FALSE), 1)</f>
        <v>1.090852604814681E-3</v>
      </c>
      <c r="T2" s="7">
        <f>$B2 * IFERROR(VLOOKUP("transport|NOx|Premature mortality", US_national_yearly!$D:$AM, 28, FALSE) / VLOOKUP("transport|NOx|Premature mortality", US_national_yearly!$D:$AM, 10, FALSE), 1)</f>
        <v>1.0957956269241414E-3</v>
      </c>
      <c r="U2" s="7">
        <f>$B2 * IFERROR(VLOOKUP("transport|NOx|Premature mortality", US_national_yearly!$D:$AM, 29, FALSE) / VLOOKUP("transport|NOx|Premature mortality", US_national_yearly!$D:$AM, 10, FALSE), 1)</f>
        <v>1.1007386490336016E-3</v>
      </c>
      <c r="V2" s="7">
        <f>$B2 * IFERROR(VLOOKUP("transport|NOx|Premature mortality", US_national_yearly!$D:$AM, 30, FALSE) / VLOOKUP("transport|NOx|Premature mortality", US_national_yearly!$D:$AM, 10, FALSE), 1)</f>
        <v>1.1056816711430616E-3</v>
      </c>
      <c r="W2" s="7">
        <f>$B2 * IFERROR(VLOOKUP("transport|NOx|Premature mortality", US_national_yearly!$D:$AM, 31, FALSE) / VLOOKUP("transport|NOx|Premature mortality", US_national_yearly!$D:$AM, 10, FALSE), 1)</f>
        <v>1.110624693252522E-3</v>
      </c>
      <c r="X2" s="7">
        <f>$B2 * IFERROR(VLOOKUP("transport|NOx|Premature mortality", US_national_yearly!$D:$AM, 32, FALSE) / VLOOKUP("transport|NOx|Premature mortality", US_national_yearly!$D:$AM, 10, FALSE), 1)</f>
        <v>1.1107959167010763E-3</v>
      </c>
      <c r="Y2" s="7">
        <f>$B2 * IFERROR(VLOOKUP("transport|NOx|Premature mortality", US_national_yearly!$D:$AM, 33, FALSE) / VLOOKUP("transport|NOx|Premature mortality", US_national_yearly!$D:$AM, 10, FALSE), 1)</f>
        <v>1.1109671401496306E-3</v>
      </c>
      <c r="Z2" s="7">
        <f>$B2 * IFERROR(VLOOKUP("transport|NOx|Premature mortality", US_national_yearly!$D:$AM, 34, FALSE) / VLOOKUP("transport|NOx|Premature mortality", US_national_yearly!$D:$AM, 10, FALSE), 1)</f>
        <v>1.1111383635981848E-3</v>
      </c>
      <c r="AA2" s="7">
        <f>$B2 * IFERROR(VLOOKUP("transport|NOx|Premature mortality", US_national_yearly!$D:$AM, 35, FALSE) / VLOOKUP("transport|NOx|Premature mortality", US_national_yearly!$D:$AM, 10, FALSE), 1)</f>
        <v>1.1113095870467391E-3</v>
      </c>
      <c r="AB2" s="7">
        <f>$B2 * IFERROR(VLOOKUP("transport|NOx|Premature mortality", US_national_yearly!$D:$AM, 36, FALSE) / VLOOKUP("transport|NOx|Premature mortality", US_national_yearly!$D:$AM, 10, FALSE), 1)</f>
        <v>1.1114808104952935E-3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2.1893410912727599E-6</v>
      </c>
      <c r="C3" s="7">
        <f>$B3 * IFERROR(VLOOKUP("transport|NOx|Infant mortality", US_national_yearly!$D:$AM, 11, FALSE) / VLOOKUP("transport|NOx|Infant mortality", US_national_yearly!$D:$AM, 10, FALSE), 1)</f>
        <v>2.1684820385815118E-6</v>
      </c>
      <c r="D3" s="7">
        <f>$B3 * IFERROR(VLOOKUP("transport|NOx|Infant mortality", US_national_yearly!$D:$AM, 12, FALSE) / VLOOKUP("transport|NOx|Infant mortality", US_national_yearly!$D:$AM, 10, FALSE), 1)</f>
        <v>2.1476229858902632E-6</v>
      </c>
      <c r="E3" s="7">
        <f>$B3 * IFERROR(VLOOKUP("transport|NOx|Infant mortality", US_national_yearly!$D:$AM, 13, FALSE) / VLOOKUP("transport|NOx|Infant mortality", US_national_yearly!$D:$AM, 10, FALSE), 1)</f>
        <v>2.1267639331990151E-6</v>
      </c>
      <c r="F3" s="7">
        <f>$B3 * IFERROR(VLOOKUP("transport|NOx|Infant mortality", US_national_yearly!$D:$AM, 14, FALSE) / VLOOKUP("transport|NOx|Infant mortality", US_national_yearly!$D:$AM, 10, FALSE), 1)</f>
        <v>2.1059048805077674E-6</v>
      </c>
      <c r="G3" s="7">
        <f>$B3 * IFERROR(VLOOKUP("transport|NOx|Infant mortality", US_national_yearly!$D:$AM, 15, FALSE) / VLOOKUP("transport|NOx|Infant mortality", US_national_yearly!$D:$AM, 10, FALSE), 1)</f>
        <v>1.3980036513334102E-6</v>
      </c>
      <c r="H3" s="7">
        <f>$B3 * IFERROR(VLOOKUP("transport|NOx|Infant mortality", US_national_yearly!$D:$AM, 16, FALSE) / VLOOKUP("transport|NOx|Infant mortality", US_national_yearly!$D:$AM, 10, FALSE), 1)</f>
        <v>6.9010242215905338E-7</v>
      </c>
      <c r="I3" s="7">
        <f>$B3 * IFERROR(VLOOKUP("transport|NOx|Infant mortality", US_national_yearly!$D:$AM, 17, FALSE) / VLOOKUP("transport|NOx|Infant mortality", US_national_yearly!$D:$AM, 10, FALSE), 1)</f>
        <v>6.8522273912191115E-7</v>
      </c>
      <c r="J3" s="7">
        <f>$B3 * IFERROR(VLOOKUP("transport|NOx|Infant mortality", US_national_yearly!$D:$AM, 18, FALSE) / VLOOKUP("transport|NOx|Infant mortality", US_national_yearly!$D:$AM, 10, FALSE), 1)</f>
        <v>6.8034305608476882E-7</v>
      </c>
      <c r="K3" s="7">
        <f>$B3 * IFERROR(VLOOKUP("transport|NOx|Infant mortality", US_national_yearly!$D:$AM, 19, FALSE) / VLOOKUP("transport|NOx|Infant mortality", US_national_yearly!$D:$AM, 10, FALSE), 1)</f>
        <v>6.7546337304762659E-7</v>
      </c>
      <c r="L3" s="7">
        <f>$B3 * IFERROR(VLOOKUP("transport|NOx|Infant mortality", US_national_yearly!$D:$AM, 20, FALSE) / VLOOKUP("transport|NOx|Infant mortality", US_national_yearly!$D:$AM, 10, FALSE), 1)</f>
        <v>6.7058369001048437E-7</v>
      </c>
      <c r="M3" s="7">
        <f>$B3 * IFERROR(VLOOKUP("transport|NOx|Infant mortality", US_national_yearly!$D:$AM, 21, FALSE) / VLOOKUP("transport|NOx|Infant mortality", US_national_yearly!$D:$AM, 10, FALSE), 1)</f>
        <v>6.6570400697334204E-7</v>
      </c>
      <c r="N3" s="7">
        <f>$B3 * IFERROR(VLOOKUP("transport|NOx|Infant mortality", US_national_yearly!$D:$AM, 22, FALSE) / VLOOKUP("transport|NOx|Infant mortality", US_national_yearly!$D:$AM, 10, FALSE), 1)</f>
        <v>6.6246507740495889E-7</v>
      </c>
      <c r="O3" s="7">
        <f>$B3 * IFERROR(VLOOKUP("transport|NOx|Infant mortality", US_national_yearly!$D:$AM, 23, FALSE) / VLOOKUP("transport|NOx|Infant mortality", US_national_yearly!$D:$AM, 10, FALSE), 1)</f>
        <v>6.5922614783657586E-7</v>
      </c>
      <c r="P3" s="7">
        <f>$B3 * IFERROR(VLOOKUP("transport|NOx|Infant mortality", US_national_yearly!$D:$AM, 24, FALSE) / VLOOKUP("transport|NOx|Infant mortality", US_national_yearly!$D:$AM, 10, FALSE), 1)</f>
        <v>6.5598721826819282E-7</v>
      </c>
      <c r="Q3" s="7">
        <f>$B3 * IFERROR(VLOOKUP("transport|NOx|Infant mortality", US_national_yearly!$D:$AM, 25, FALSE) / VLOOKUP("transport|NOx|Infant mortality", US_national_yearly!$D:$AM, 10, FALSE), 1)</f>
        <v>6.5274828869980968E-7</v>
      </c>
      <c r="R3" s="7">
        <f>$B3 * IFERROR(VLOOKUP("transport|NOx|Infant mortality", US_national_yearly!$D:$AM, 26, FALSE) / VLOOKUP("transport|NOx|Infant mortality", US_national_yearly!$D:$AM, 10, FALSE), 1)</f>
        <v>6.4950935913142664E-7</v>
      </c>
      <c r="S3" s="7">
        <f>$B3 * IFERROR(VLOOKUP("transport|NOx|Infant mortality", US_national_yearly!$D:$AM, 27, FALSE) / VLOOKUP("transport|NOx|Infant mortality", US_national_yearly!$D:$AM, 10, FALSE), 1)</f>
        <v>6.4561565072325891E-7</v>
      </c>
      <c r="T3" s="7">
        <f>$B3 * IFERROR(VLOOKUP("transport|NOx|Infant mortality", US_national_yearly!$D:$AM, 28, FALSE) / VLOOKUP("transport|NOx|Infant mortality", US_national_yearly!$D:$AM, 10, FALSE), 1)</f>
        <v>6.4172194231509118E-7</v>
      </c>
      <c r="U3" s="7">
        <f>$B3 * IFERROR(VLOOKUP("transport|NOx|Infant mortality", US_national_yearly!$D:$AM, 29, FALSE) / VLOOKUP("transport|NOx|Infant mortality", US_national_yearly!$D:$AM, 10, FALSE), 1)</f>
        <v>6.3782823390692345E-7</v>
      </c>
      <c r="V3" s="7">
        <f>$B3 * IFERROR(VLOOKUP("transport|NOx|Infant mortality", US_national_yearly!$D:$AM, 30, FALSE) / VLOOKUP("transport|NOx|Infant mortality", US_national_yearly!$D:$AM, 10, FALSE), 1)</f>
        <v>6.3393452549875573E-7</v>
      </c>
      <c r="W3" s="7">
        <f>$B3 * IFERROR(VLOOKUP("transport|NOx|Infant mortality", US_national_yearly!$D:$AM, 31, FALSE) / VLOOKUP("transport|NOx|Infant mortality", US_national_yearly!$D:$AM, 10, FALSE), 1)</f>
        <v>6.30040817090588E-7</v>
      </c>
      <c r="X3" s="7">
        <f>$B3 * IFERROR(VLOOKUP("transport|NOx|Infant mortality", US_national_yearly!$D:$AM, 32, FALSE) / VLOOKUP("transport|NOx|Infant mortality", US_national_yearly!$D:$AM, 10, FALSE), 1)</f>
        <v>6.2591719159428478E-7</v>
      </c>
      <c r="Y3" s="7">
        <f>$B3 * IFERROR(VLOOKUP("transport|NOx|Infant mortality", US_national_yearly!$D:$AM, 33, FALSE) / VLOOKUP("transport|NOx|Infant mortality", US_national_yearly!$D:$AM, 10, FALSE), 1)</f>
        <v>6.2179356609798157E-7</v>
      </c>
      <c r="Z3" s="7">
        <f>$B3 * IFERROR(VLOOKUP("transport|NOx|Infant mortality", US_national_yearly!$D:$AM, 34, FALSE) / VLOOKUP("transport|NOx|Infant mortality", US_national_yearly!$D:$AM, 10, FALSE), 1)</f>
        <v>6.1766994060167825E-7</v>
      </c>
      <c r="AA3" s="7">
        <f>$B3 * IFERROR(VLOOKUP("transport|NOx|Infant mortality", US_national_yearly!$D:$AM, 35, FALSE) / VLOOKUP("transport|NOx|Infant mortality", US_national_yearly!$D:$AM, 10, FALSE), 1)</f>
        <v>6.1354631510537493E-7</v>
      </c>
      <c r="AB3" s="7">
        <f>$B3 * IFERROR(VLOOKUP("transport|NOx|Infant mortality", US_national_yearly!$D:$AM, 36, FALSE) / VLOOKUP("transport|NOx|Infant mortality", US_national_yearly!$D:$AM, 10, FALSE), 1)</f>
        <v>6.0942268960907172E-7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2.4381587736141694E-3</v>
      </c>
      <c r="C6" s="7">
        <f>$B6 * IFERROR(VLOOKUP("transport|NOx|Asthma symptoms cough", US_national_yearly!$D:$AM, 11, FALSE) / VLOOKUP("transport|NOx|Asthma symptoms cough", US_national_yearly!$D:$AM, 10, FALSE), 1)</f>
        <v>2.4714923902812765E-3</v>
      </c>
      <c r="D6" s="7">
        <f>$B6 * IFERROR(VLOOKUP("transport|NOx|Asthma symptoms cough", US_national_yearly!$D:$AM, 12, FALSE) / VLOOKUP("transport|NOx|Asthma symptoms cough", US_national_yearly!$D:$AM, 10, FALSE), 1)</f>
        <v>2.5048260069483832E-3</v>
      </c>
      <c r="E6" s="7">
        <f>$B6 * IFERROR(VLOOKUP("transport|NOx|Asthma symptoms cough", US_national_yearly!$D:$AM, 13, FALSE) / VLOOKUP("transport|NOx|Asthma symptoms cough", US_national_yearly!$D:$AM, 10, FALSE), 1)</f>
        <v>2.5381596236154903E-3</v>
      </c>
      <c r="F6" s="7">
        <f>$B6 * IFERROR(VLOOKUP("transport|NOx|Asthma symptoms cough", US_national_yearly!$D:$AM, 14, FALSE) / VLOOKUP("transport|NOx|Asthma symptoms cough", US_national_yearly!$D:$AM, 10, FALSE), 1)</f>
        <v>2.5714932402825974E-3</v>
      </c>
      <c r="G6" s="7">
        <f>$B6 * IFERROR(VLOOKUP("transport|NOx|Asthma symptoms cough", US_national_yearly!$D:$AM, 15, FALSE) / VLOOKUP("transport|NOx|Asthma symptoms cough", US_national_yearly!$D:$AM, 10, FALSE), 1)</f>
        <v>2.5981054751330495E-3</v>
      </c>
      <c r="H6" s="7">
        <f>$B6 * IFERROR(VLOOKUP("transport|NOx|Asthma symptoms cough", US_national_yearly!$D:$AM, 16, FALSE) / VLOOKUP("transport|NOx|Asthma symptoms cough", US_national_yearly!$D:$AM, 10, FALSE), 1)</f>
        <v>2.624717709983502E-3</v>
      </c>
      <c r="I6" s="7">
        <f>$B6 * IFERROR(VLOOKUP("transport|NOx|Asthma symptoms cough", US_national_yearly!$D:$AM, 17, FALSE) / VLOOKUP("transport|NOx|Asthma symptoms cough", US_national_yearly!$D:$AM, 10, FALSE), 1)</f>
        <v>2.6338772607771366E-3</v>
      </c>
      <c r="J6" s="7">
        <f>$B6 * IFERROR(VLOOKUP("transport|NOx|Asthma symptoms cough", US_national_yearly!$D:$AM, 18, FALSE) / VLOOKUP("transport|NOx|Asthma symptoms cough", US_national_yearly!$D:$AM, 10, FALSE), 1)</f>
        <v>2.6430368115707716E-3</v>
      </c>
      <c r="K6" s="7">
        <f>$B6 * IFERROR(VLOOKUP("transport|NOx|Asthma symptoms cough", US_national_yearly!$D:$AM, 19, FALSE) / VLOOKUP("transport|NOx|Asthma symptoms cough", US_national_yearly!$D:$AM, 10, FALSE), 1)</f>
        <v>2.6521963623644057E-3</v>
      </c>
      <c r="L6" s="7">
        <f>$B6 * IFERROR(VLOOKUP("transport|NOx|Asthma symptoms cough", US_national_yearly!$D:$AM, 20, FALSE) / VLOOKUP("transport|NOx|Asthma symptoms cough", US_national_yearly!$D:$AM, 10, FALSE), 1)</f>
        <v>2.6613559131580403E-3</v>
      </c>
      <c r="M6" s="7">
        <f>$B6 * IFERROR(VLOOKUP("transport|NOx|Asthma symptoms cough", US_national_yearly!$D:$AM, 21, FALSE) / VLOOKUP("transport|NOx|Asthma symptoms cough", US_national_yearly!$D:$AM, 10, FALSE), 1)</f>
        <v>2.6705154639516753E-3</v>
      </c>
      <c r="N6" s="7">
        <f>$B6 * IFERROR(VLOOKUP("transport|NOx|Asthma symptoms cough", US_national_yearly!$D:$AM, 22, FALSE) / VLOOKUP("transport|NOx|Asthma symptoms cough", US_national_yearly!$D:$AM, 10, FALSE), 1)</f>
        <v>2.6811366451836328E-3</v>
      </c>
      <c r="O6" s="7">
        <f>$B6 * IFERROR(VLOOKUP("transport|NOx|Asthma symptoms cough", US_national_yearly!$D:$AM, 23, FALSE) / VLOOKUP("transport|NOx|Asthma symptoms cough", US_national_yearly!$D:$AM, 10, FALSE), 1)</f>
        <v>2.6917578264155908E-3</v>
      </c>
      <c r="P6" s="7">
        <f>$B6 * IFERROR(VLOOKUP("transport|NOx|Asthma symptoms cough", US_national_yearly!$D:$AM, 24, FALSE) / VLOOKUP("transport|NOx|Asthma symptoms cough", US_national_yearly!$D:$AM, 10, FALSE), 1)</f>
        <v>2.7023790076475484E-3</v>
      </c>
      <c r="Q6" s="7">
        <f>$B6 * IFERROR(VLOOKUP("transport|NOx|Asthma symptoms cough", US_national_yearly!$D:$AM, 25, FALSE) / VLOOKUP("transport|NOx|Asthma symptoms cough", US_national_yearly!$D:$AM, 10, FALSE), 1)</f>
        <v>2.7130001888795068E-3</v>
      </c>
      <c r="R6" s="7">
        <f>$B6 * IFERROR(VLOOKUP("transport|NOx|Asthma symptoms cough", US_national_yearly!$D:$AM, 26, FALSE) / VLOOKUP("transport|NOx|Asthma symptoms cough", US_national_yearly!$D:$AM, 10, FALSE), 1)</f>
        <v>2.7236213701114643E-3</v>
      </c>
      <c r="S6" s="7">
        <f>$B6 * IFERROR(VLOOKUP("transport|NOx|Asthma symptoms cough", US_national_yearly!$D:$AM, 27, FALSE) / VLOOKUP("transport|NOx|Asthma symptoms cough", US_national_yearly!$D:$AM, 10, FALSE), 1)</f>
        <v>2.7374960156215573E-3</v>
      </c>
      <c r="T6" s="7">
        <f>$B6 * IFERROR(VLOOKUP("transport|NOx|Asthma symptoms cough", US_national_yearly!$D:$AM, 28, FALSE) / VLOOKUP("transport|NOx|Asthma symptoms cough", US_national_yearly!$D:$AM, 10, FALSE), 1)</f>
        <v>2.7513706611316494E-3</v>
      </c>
      <c r="U6" s="7">
        <f>$B6 * IFERROR(VLOOKUP("transport|NOx|Asthma symptoms cough", US_national_yearly!$D:$AM, 29, FALSE) / VLOOKUP("transport|NOx|Asthma symptoms cough", US_national_yearly!$D:$AM, 10, FALSE), 1)</f>
        <v>2.7652453066417415E-3</v>
      </c>
      <c r="V6" s="7">
        <f>$B6 * IFERROR(VLOOKUP("transport|NOx|Asthma symptoms cough", US_national_yearly!$D:$AM, 30, FALSE) / VLOOKUP("transport|NOx|Asthma symptoms cough", US_national_yearly!$D:$AM, 10, FALSE), 1)</f>
        <v>2.779119952151834E-3</v>
      </c>
      <c r="W6" s="7">
        <f>$B6 * IFERROR(VLOOKUP("transport|NOx|Asthma symptoms cough", US_national_yearly!$D:$AM, 31, FALSE) / VLOOKUP("transport|NOx|Asthma symptoms cough", US_national_yearly!$D:$AM, 10, FALSE), 1)</f>
        <v>2.7929945976619265E-3</v>
      </c>
      <c r="X6" s="7">
        <f>$B6 * IFERROR(VLOOKUP("transport|NOx|Asthma symptoms cough", US_national_yearly!$D:$AM, 32, FALSE) / VLOOKUP("transport|NOx|Asthma symptoms cough", US_national_yearly!$D:$AM, 10, FALSE), 1)</f>
        <v>2.8058861369268415E-3</v>
      </c>
      <c r="Y6" s="7">
        <f>$B6 * IFERROR(VLOOKUP("transport|NOx|Asthma symptoms cough", US_national_yearly!$D:$AM, 33, FALSE) / VLOOKUP("transport|NOx|Asthma symptoms cough", US_national_yearly!$D:$AM, 10, FALSE), 1)</f>
        <v>2.8187776761917564E-3</v>
      </c>
      <c r="Z6" s="7">
        <f>$B6 * IFERROR(VLOOKUP("transport|NOx|Asthma symptoms cough", US_national_yearly!$D:$AM, 34, FALSE) / VLOOKUP("transport|NOx|Asthma symptoms cough", US_national_yearly!$D:$AM, 10, FALSE), 1)</f>
        <v>2.8316692154566714E-3</v>
      </c>
      <c r="AA6" s="7">
        <f>$B6 * IFERROR(VLOOKUP("transport|NOx|Asthma symptoms cough", US_national_yearly!$D:$AM, 35, FALSE) / VLOOKUP("transport|NOx|Asthma symptoms cough", US_national_yearly!$D:$AM, 10, FALSE), 1)</f>
        <v>2.8445607547215863E-3</v>
      </c>
      <c r="AB6" s="7">
        <f>$B6 * IFERROR(VLOOKUP("transport|NOx|Asthma symptoms cough", US_national_yearly!$D:$AM, 36, FALSE) / VLOOKUP("transport|NOx|Asthma symptoms cough", US_national_yearly!$D:$AM, 10, FALSE), 1)</f>
        <v>2.8574522939865017E-3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3.2832396872367084E-3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3.3281269416105212E-3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3.3730141959843335E-3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3.4179014503581467E-3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3.4627887047319595E-3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3.498624904748289E-3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3.5344611047646184E-3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3.5467954124434255E-3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3.5591297201222321E-3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3.5714640278010387E-3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3.5837983354798453E-3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3.5961326431586519E-3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3.6104351914628598E-3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3.6247377397670678E-3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3.6390402880712748E-3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3.6533428363754827E-3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3.6676453846796902E-3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3.6863290681452246E-3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3.7050127516107595E-3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3.7236964350762939E-3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3.7423801185418274E-3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3.7610638020073618E-3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3.7784236285106961E-3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3.7957834550140309E-3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3.813143281517366E-3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3.8305031080207003E-3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3.8478629345240351E-3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5.0165721210970876E-3</v>
      </c>
      <c r="C8" s="7">
        <f>$B8 * IFERROR(VLOOKUP("transport|NOx|Asthma symptoms wheeze", US_national_yearly!$D:$AM, 11, FALSE) / VLOOKUP("transport|NOx|Asthma symptoms wheeze", US_national_yearly!$D:$AM, 10, FALSE), 1)</f>
        <v>5.0851568638578138E-3</v>
      </c>
      <c r="D8" s="7">
        <f>$B8 * IFERROR(VLOOKUP("transport|NOx|Asthma symptoms wheeze", US_national_yearly!$D:$AM, 12, FALSE) / VLOOKUP("transport|NOx|Asthma symptoms wheeze", US_national_yearly!$D:$AM, 10, FALSE), 1)</f>
        <v>5.1537416066185417E-3</v>
      </c>
      <c r="E8" s="7">
        <f>$B8 * IFERROR(VLOOKUP("transport|NOx|Asthma symptoms wheeze", US_national_yearly!$D:$AM, 13, FALSE) / VLOOKUP("transport|NOx|Asthma symptoms wheeze", US_national_yearly!$D:$AM, 10, FALSE), 1)</f>
        <v>5.2223263493792671E-3</v>
      </c>
      <c r="F8" s="7">
        <f>$B8 * IFERROR(VLOOKUP("transport|NOx|Asthma symptoms wheeze", US_national_yearly!$D:$AM, 14, FALSE) / VLOOKUP("transport|NOx|Asthma symptoms wheeze", US_national_yearly!$D:$AM, 10, FALSE), 1)</f>
        <v>5.2909110921399933E-3</v>
      </c>
      <c r="G8" s="7">
        <f>$B8 * IFERROR(VLOOKUP("transport|NOx|Asthma symptoms wheeze", US_national_yearly!$D:$AM, 15, FALSE) / VLOOKUP("transport|NOx|Asthma symptoms wheeze", US_national_yearly!$D:$AM, 10, FALSE), 1)</f>
        <v>5.3456664252049197E-3</v>
      </c>
      <c r="H8" s="7">
        <f>$B8 * IFERROR(VLOOKUP("transport|NOx|Asthma symptoms wheeze", US_national_yearly!$D:$AM, 16, FALSE) / VLOOKUP("transport|NOx|Asthma symptoms wheeze", US_national_yearly!$D:$AM, 10, FALSE), 1)</f>
        <v>5.400421758269847E-3</v>
      </c>
      <c r="I8" s="7">
        <f>$B8 * IFERROR(VLOOKUP("transport|NOx|Asthma symptoms wheeze", US_national_yearly!$D:$AM, 17, FALSE) / VLOOKUP("transport|NOx|Asthma symptoms wheeze", US_national_yearly!$D:$AM, 10, FALSE), 1)</f>
        <v>5.4192677612117735E-3</v>
      </c>
      <c r="J8" s="7">
        <f>$B8 * IFERROR(VLOOKUP("transport|NOx|Asthma symptoms wheeze", US_national_yearly!$D:$AM, 18, FALSE) / VLOOKUP("transport|NOx|Asthma symptoms wheeze", US_national_yearly!$D:$AM, 10, FALSE), 1)</f>
        <v>5.4381137641537017E-3</v>
      </c>
      <c r="K8" s="7">
        <f>$B8 * IFERROR(VLOOKUP("transport|NOx|Asthma symptoms wheeze", US_national_yearly!$D:$AM, 19, FALSE) / VLOOKUP("transport|NOx|Asthma symptoms wheeze", US_national_yearly!$D:$AM, 10, FALSE), 1)</f>
        <v>5.4569597670956274E-3</v>
      </c>
      <c r="L8" s="7">
        <f>$B8 * IFERROR(VLOOKUP("transport|NOx|Asthma symptoms wheeze", US_national_yearly!$D:$AM, 20, FALSE) / VLOOKUP("transport|NOx|Asthma symptoms wheeze", US_national_yearly!$D:$AM, 10, FALSE), 1)</f>
        <v>5.4758057700375557E-3</v>
      </c>
      <c r="M8" s="7">
        <f>$B8 * IFERROR(VLOOKUP("transport|NOx|Asthma symptoms wheeze", US_national_yearly!$D:$AM, 21, FALSE) / VLOOKUP("transport|NOx|Asthma symptoms wheeze", US_national_yearly!$D:$AM, 10, FALSE), 1)</f>
        <v>5.4946517729794831E-3</v>
      </c>
      <c r="N8" s="7">
        <f>$B8 * IFERROR(VLOOKUP("transport|NOx|Asthma symptoms wheeze", US_national_yearly!$D:$AM, 22, FALSE) / VLOOKUP("transport|NOx|Asthma symptoms wheeze", US_national_yearly!$D:$AM, 10, FALSE), 1)</f>
        <v>5.516505116809749E-3</v>
      </c>
      <c r="O8" s="7">
        <f>$B8 * IFERROR(VLOOKUP("transport|NOx|Asthma symptoms wheeze", US_national_yearly!$D:$AM, 23, FALSE) / VLOOKUP("transport|NOx|Asthma symptoms wheeze", US_national_yearly!$D:$AM, 10, FALSE), 1)</f>
        <v>5.5383584606400159E-3</v>
      </c>
      <c r="P8" s="7">
        <f>$B8 * IFERROR(VLOOKUP("transport|NOx|Asthma symptoms wheeze", US_national_yearly!$D:$AM, 24, FALSE) / VLOOKUP("transport|NOx|Asthma symptoms wheeze", US_national_yearly!$D:$AM, 10, FALSE), 1)</f>
        <v>5.5602118044702819E-3</v>
      </c>
      <c r="Q8" s="7">
        <f>$B8 * IFERROR(VLOOKUP("transport|NOx|Asthma symptoms wheeze", US_national_yearly!$D:$AM, 25, FALSE) / VLOOKUP("transport|NOx|Asthma symptoms wheeze", US_national_yearly!$D:$AM, 10, FALSE), 1)</f>
        <v>5.5820651483005487E-3</v>
      </c>
      <c r="R8" s="7">
        <f>$B8 * IFERROR(VLOOKUP("transport|NOx|Asthma symptoms wheeze", US_national_yearly!$D:$AM, 26, FALSE) / VLOOKUP("transport|NOx|Asthma symptoms wheeze", US_national_yearly!$D:$AM, 10, FALSE), 1)</f>
        <v>5.6039184921308155E-3</v>
      </c>
      <c r="S8" s="7">
        <f>$B8 * IFERROR(VLOOKUP("transport|NOx|Asthma symptoms wheeze", US_national_yearly!$D:$AM, 27, FALSE) / VLOOKUP("transport|NOx|Asthma symptoms wheeze", US_national_yearly!$D:$AM, 10, FALSE), 1)</f>
        <v>5.6324659193946669E-3</v>
      </c>
      <c r="T8" s="7">
        <f>$B8 * IFERROR(VLOOKUP("transport|NOx|Asthma symptoms wheeze", US_national_yearly!$D:$AM, 28, FALSE) / VLOOKUP("transport|NOx|Asthma symptoms wheeze", US_national_yearly!$D:$AM, 10, FALSE), 1)</f>
        <v>5.6610133466585182E-3</v>
      </c>
      <c r="U8" s="7">
        <f>$B8 * IFERROR(VLOOKUP("transport|NOx|Asthma symptoms wheeze", US_national_yearly!$D:$AM, 29, FALSE) / VLOOKUP("transport|NOx|Asthma symptoms wheeze", US_national_yearly!$D:$AM, 10, FALSE), 1)</f>
        <v>5.6895607739223704E-3</v>
      </c>
      <c r="V8" s="7">
        <f>$B8 * IFERROR(VLOOKUP("transport|NOx|Asthma symptoms wheeze", US_national_yearly!$D:$AM, 30, FALSE) / VLOOKUP("transport|NOx|Asthma symptoms wheeze", US_national_yearly!$D:$AM, 10, FALSE), 1)</f>
        <v>5.7181082011862235E-3</v>
      </c>
      <c r="W8" s="7">
        <f>$B8 * IFERROR(VLOOKUP("transport|NOx|Asthma symptoms wheeze", US_national_yearly!$D:$AM, 31, FALSE) / VLOOKUP("transport|NOx|Asthma symptoms wheeze", US_national_yearly!$D:$AM, 10, FALSE), 1)</f>
        <v>5.7466556284500739E-3</v>
      </c>
      <c r="X8" s="7">
        <f>$B8 * IFERROR(VLOOKUP("transport|NOx|Asthma symptoms wheeze", US_national_yearly!$D:$AM, 32, FALSE) / VLOOKUP("transport|NOx|Asthma symptoms wheeze", US_national_yearly!$D:$AM, 10, FALSE), 1)</f>
        <v>5.7731802902219014E-3</v>
      </c>
      <c r="Y8" s="7">
        <f>$B8 * IFERROR(VLOOKUP("transport|NOx|Asthma symptoms wheeze", US_national_yearly!$D:$AM, 33, FALSE) / VLOOKUP("transport|NOx|Asthma symptoms wheeze", US_national_yearly!$D:$AM, 10, FALSE), 1)</f>
        <v>5.7997049519937288E-3</v>
      </c>
      <c r="Z8" s="7">
        <f>$B8 * IFERROR(VLOOKUP("transport|NOx|Asthma symptoms wheeze", US_national_yearly!$D:$AM, 34, FALSE) / VLOOKUP("transport|NOx|Asthma symptoms wheeze", US_national_yearly!$D:$AM, 10, FALSE), 1)</f>
        <v>5.8262296137655562E-3</v>
      </c>
      <c r="AA8" s="7">
        <f>$B8 * IFERROR(VLOOKUP("transport|NOx|Asthma symptoms wheeze", US_national_yearly!$D:$AM, 35, FALSE) / VLOOKUP("transport|NOx|Asthma symptoms wheeze", US_national_yearly!$D:$AM, 10, FALSE), 1)</f>
        <v>5.8527542755373837E-3</v>
      </c>
      <c r="AB8" s="7">
        <f>$B8 * IFERROR(VLOOKUP("transport|NOx|Asthma symptoms wheeze", US_national_yearly!$D:$AM, 36, FALSE) / VLOOKUP("transport|NOx|Asthma symptoms wheeze", US_national_yearly!$D:$AM, 10, FALSE), 1)</f>
        <v>5.8792789373092111E-3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5.9884574428849544E-5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6.1378375058834637E-5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6.2872175688819738E-5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6.4365976318804839E-5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6.5859776948789939E-5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6.7287901193977036E-5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6.8716025439164132E-5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6.992853228259128E-5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7.1141039126018413E-5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7.235354596944556E-5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7.3566052812872707E-5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7.4778559656299841E-5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7.558914231178231E-5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7.6399724967264807E-5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7.7210307622747291E-5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7.8020890278229787E-5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7.8831472933712271E-5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7.9265761156274004E-5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7.970004937883575E-5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8.0134337601397496E-5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8.0568625823959216E-5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8.1002914046520976E-5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8.1299693625442587E-5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8.1596473204364198E-5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8.1893252783285823E-5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8.2190032362207434E-5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8.2486811941129046E-5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3.9458141851011791E-4</v>
      </c>
      <c r="C13" s="7">
        <f>$B13 * IFERROR(VLOOKUP("transport|NOx|Non-fatal heart attacks", US_national_yearly!$D:$AM, 11, FALSE) / VLOOKUP("transport|NOx|Non-fatal heart attacks", US_national_yearly!$D:$AM, 10, FALSE), 1)</f>
        <v>4.0586215361691172E-4</v>
      </c>
      <c r="D13" s="7">
        <f>$B13 * IFERROR(VLOOKUP("transport|NOx|Non-fatal heart attacks", US_national_yearly!$D:$AM, 12, FALSE) / VLOOKUP("transport|NOx|Non-fatal heart attacks", US_national_yearly!$D:$AM, 10, FALSE), 1)</f>
        <v>4.1714288872370548E-4</v>
      </c>
      <c r="E13" s="7">
        <f>$B13 * IFERROR(VLOOKUP("transport|NOx|Non-fatal heart attacks", US_national_yearly!$D:$AM, 13, FALSE) / VLOOKUP("transport|NOx|Non-fatal heart attacks", US_national_yearly!$D:$AM, 10, FALSE), 1)</f>
        <v>4.2842362383049918E-4</v>
      </c>
      <c r="F13" s="7">
        <f>$B13 * IFERROR(VLOOKUP("transport|NOx|Non-fatal heart attacks", US_national_yearly!$D:$AM, 14, FALSE) / VLOOKUP("transport|NOx|Non-fatal heart attacks", US_national_yearly!$D:$AM, 10, FALSE), 1)</f>
        <v>4.3970435893729299E-4</v>
      </c>
      <c r="G13" s="7">
        <f>$B13 * IFERROR(VLOOKUP("transport|NOx|Non-fatal heart attacks", US_national_yearly!$D:$AM, 15, FALSE) / VLOOKUP("transport|NOx|Non-fatal heart attacks", US_national_yearly!$D:$AM, 10, FALSE), 1)</f>
        <v>4.5024618244930849E-4</v>
      </c>
      <c r="H13" s="7">
        <f>$B13 * IFERROR(VLOOKUP("transport|NOx|Non-fatal heart attacks", US_national_yearly!$D:$AM, 16, FALSE) / VLOOKUP("transport|NOx|Non-fatal heart attacks", US_national_yearly!$D:$AM, 10, FALSE), 1)</f>
        <v>4.60788005961324E-4</v>
      </c>
      <c r="I13" s="7">
        <f>$B13 * IFERROR(VLOOKUP("transport|NOx|Non-fatal heart attacks", US_national_yearly!$D:$AM, 17, FALSE) / VLOOKUP("transport|NOx|Non-fatal heart attacks", US_national_yearly!$D:$AM, 10, FALSE), 1)</f>
        <v>4.6909902875506143E-4</v>
      </c>
      <c r="J13" s="7">
        <f>$B13 * IFERROR(VLOOKUP("transport|NOx|Non-fatal heart attacks", US_national_yearly!$D:$AM, 18, FALSE) / VLOOKUP("transport|NOx|Non-fatal heart attacks", US_national_yearly!$D:$AM, 10, FALSE), 1)</f>
        <v>4.7741005154879897E-4</v>
      </c>
      <c r="K13" s="7">
        <f>$B13 * IFERROR(VLOOKUP("transport|NOx|Non-fatal heart attacks", US_national_yearly!$D:$AM, 19, FALSE) / VLOOKUP("transport|NOx|Non-fatal heart attacks", US_national_yearly!$D:$AM, 10, FALSE), 1)</f>
        <v>4.8572107434253619E-4</v>
      </c>
      <c r="L13" s="7">
        <f>$B13 * IFERROR(VLOOKUP("transport|NOx|Non-fatal heart attacks", US_national_yearly!$D:$AM, 20, FALSE) / VLOOKUP("transport|NOx|Non-fatal heart attacks", US_national_yearly!$D:$AM, 10, FALSE), 1)</f>
        <v>4.94032097136274E-4</v>
      </c>
      <c r="M13" s="7">
        <f>$B13 * IFERROR(VLOOKUP("transport|NOx|Non-fatal heart attacks", US_national_yearly!$D:$AM, 21, FALSE) / VLOOKUP("transport|NOx|Non-fatal heart attacks", US_national_yearly!$D:$AM, 10, FALSE), 1)</f>
        <v>5.0234311993001127E-4</v>
      </c>
      <c r="N13" s="7">
        <f>$B13 * IFERROR(VLOOKUP("transport|NOx|Non-fatal heart attacks", US_national_yearly!$D:$AM, 22, FALSE) / VLOOKUP("transport|NOx|Non-fatal heart attacks", US_national_yearly!$D:$AM, 10, FALSE), 1)</f>
        <v>5.0734328328760263E-4</v>
      </c>
      <c r="O13" s="7">
        <f>$B13 * IFERROR(VLOOKUP("transport|NOx|Non-fatal heart attacks", US_national_yearly!$D:$AM, 23, FALSE) / VLOOKUP("transport|NOx|Non-fatal heart attacks", US_national_yearly!$D:$AM, 10, FALSE), 1)</f>
        <v>5.1234344664519388E-4</v>
      </c>
      <c r="P13" s="7">
        <f>$B13 * IFERROR(VLOOKUP("transport|NOx|Non-fatal heart attacks", US_national_yearly!$D:$AM, 24, FALSE) / VLOOKUP("transport|NOx|Non-fatal heart attacks", US_national_yearly!$D:$AM, 10, FALSE), 1)</f>
        <v>5.1734361000278512E-4</v>
      </c>
      <c r="Q13" s="7">
        <f>$B13 * IFERROR(VLOOKUP("transport|NOx|Non-fatal heart attacks", US_national_yearly!$D:$AM, 25, FALSE) / VLOOKUP("transport|NOx|Non-fatal heart attacks", US_national_yearly!$D:$AM, 10, FALSE), 1)</f>
        <v>5.2234377336037648E-4</v>
      </c>
      <c r="R13" s="7">
        <f>$B13 * IFERROR(VLOOKUP("transport|NOx|Non-fatal heart attacks", US_national_yearly!$D:$AM, 26, FALSE) / VLOOKUP("transport|NOx|Non-fatal heart attacks", US_national_yearly!$D:$AM, 10, FALSE), 1)</f>
        <v>5.2734393671796773E-4</v>
      </c>
      <c r="S13" s="7">
        <f>$B13 * IFERROR(VLOOKUP("transport|NOx|Non-fatal heart attacks", US_national_yearly!$D:$AM, 27, FALSE) / VLOOKUP("transport|NOx|Non-fatal heart attacks", US_national_yearly!$D:$AM, 10, FALSE), 1)</f>
        <v>5.2961204539996108E-4</v>
      </c>
      <c r="T13" s="7">
        <f>$B13 * IFERROR(VLOOKUP("transport|NOx|Non-fatal heart attacks", US_national_yearly!$D:$AM, 28, FALSE) / VLOOKUP("transport|NOx|Non-fatal heart attacks", US_national_yearly!$D:$AM, 10, FALSE), 1)</f>
        <v>5.3188015408195443E-4</v>
      </c>
      <c r="U13" s="7">
        <f>$B13 * IFERROR(VLOOKUP("transport|NOx|Non-fatal heart attacks", US_national_yearly!$D:$AM, 29, FALSE) / VLOOKUP("transport|NOx|Non-fatal heart attacks", US_national_yearly!$D:$AM, 10, FALSE), 1)</f>
        <v>5.3414826276394767E-4</v>
      </c>
      <c r="V13" s="7">
        <f>$B13 * IFERROR(VLOOKUP("transport|NOx|Non-fatal heart attacks", US_national_yearly!$D:$AM, 30, FALSE) / VLOOKUP("transport|NOx|Non-fatal heart attacks", US_national_yearly!$D:$AM, 10, FALSE), 1)</f>
        <v>5.3641637144594102E-4</v>
      </c>
      <c r="W13" s="7">
        <f>$B13 * IFERROR(VLOOKUP("transport|NOx|Non-fatal heart attacks", US_national_yearly!$D:$AM, 31, FALSE) / VLOOKUP("transport|NOx|Non-fatal heart attacks", US_national_yearly!$D:$AM, 10, FALSE), 1)</f>
        <v>5.3868448012793437E-4</v>
      </c>
      <c r="X13" s="7">
        <f>$B13 * IFERROR(VLOOKUP("transport|NOx|Non-fatal heart attacks", US_national_yearly!$D:$AM, 32, FALSE) / VLOOKUP("transport|NOx|Non-fatal heart attacks", US_national_yearly!$D:$AM, 10, FALSE), 1)</f>
        <v>5.4020014969306232E-4</v>
      </c>
      <c r="Y13" s="7">
        <f>$B13 * IFERROR(VLOOKUP("transport|NOx|Non-fatal heart attacks", US_national_yearly!$D:$AM, 33, FALSE) / VLOOKUP("transport|NOx|Non-fatal heart attacks", US_national_yearly!$D:$AM, 10, FALSE), 1)</f>
        <v>5.4171581925819038E-4</v>
      </c>
      <c r="Z13" s="7">
        <f>$B13 * IFERROR(VLOOKUP("transport|NOx|Non-fatal heart attacks", US_national_yearly!$D:$AM, 34, FALSE) / VLOOKUP("transport|NOx|Non-fatal heart attacks", US_national_yearly!$D:$AM, 10, FALSE), 1)</f>
        <v>5.4323148882331833E-4</v>
      </c>
      <c r="AA13" s="7">
        <f>$B13 * IFERROR(VLOOKUP("transport|NOx|Non-fatal heart attacks", US_national_yearly!$D:$AM, 35, FALSE) / VLOOKUP("transport|NOx|Non-fatal heart attacks", US_national_yearly!$D:$AM, 10, FALSE), 1)</f>
        <v>5.4474715838844629E-4</v>
      </c>
      <c r="AB13" s="7">
        <f>$B13 * IFERROR(VLOOKUP("transport|NOx|Non-fatal heart attacks", US_national_yearly!$D:$AM, 36, FALSE) / VLOOKUP("transport|NOx|Non-fatal heart attacks", US_national_yearly!$D:$AM, 10, FALSE), 1)</f>
        <v>5.4626282795357446E-4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0.32306402457205635</v>
      </c>
      <c r="C14" s="7">
        <f>$B14 * IFERROR(VLOOKUP("transport|NOx|Minor restricted activity days", US_national_yearly!$D:$AM, 11, FALSE) / VLOOKUP("transport|NOx|Minor restricted activity days", US_national_yearly!$D:$AM, 10, FALSE), 1)</f>
        <v>0.32355933593788483</v>
      </c>
      <c r="D14" s="7">
        <f>$B14 * IFERROR(VLOOKUP("transport|NOx|Minor restricted activity days", US_national_yearly!$D:$AM, 12, FALSE) / VLOOKUP("transport|NOx|Minor restricted activity days", US_national_yearly!$D:$AM, 10, FALSE), 1)</f>
        <v>0.32405464730371342</v>
      </c>
      <c r="E14" s="7">
        <f>$B14 * IFERROR(VLOOKUP("transport|NOx|Minor restricted activity days", US_national_yearly!$D:$AM, 13, FALSE) / VLOOKUP("transport|NOx|Minor restricted activity days", US_national_yearly!$D:$AM, 10, FALSE), 1)</f>
        <v>0.32454995866954195</v>
      </c>
      <c r="F14" s="7">
        <f>$B14 * IFERROR(VLOOKUP("transport|NOx|Minor restricted activity days", US_national_yearly!$D:$AM, 14, FALSE) / VLOOKUP("transport|NOx|Minor restricted activity days", US_national_yearly!$D:$AM, 10, FALSE), 1)</f>
        <v>0.32504527003537048</v>
      </c>
      <c r="G14" s="7">
        <f>$B14 * IFERROR(VLOOKUP("transport|NOx|Minor restricted activity days", US_national_yearly!$D:$AM, 15, FALSE) / VLOOKUP("transport|NOx|Minor restricted activity days", US_national_yearly!$D:$AM, 10, FALSE), 1)</f>
        <v>0.32593968446782123</v>
      </c>
      <c r="H14" s="7">
        <f>$B14 * IFERROR(VLOOKUP("transport|NOx|Minor restricted activity days", US_national_yearly!$D:$AM, 16, FALSE) / VLOOKUP("transport|NOx|Minor restricted activity days", US_national_yearly!$D:$AM, 10, FALSE), 1)</f>
        <v>0.32683409890027187</v>
      </c>
      <c r="I14" s="7">
        <f>$B14 * IFERROR(VLOOKUP("transport|NOx|Minor restricted activity days", US_national_yearly!$D:$AM, 17, FALSE) / VLOOKUP("transport|NOx|Minor restricted activity days", US_national_yearly!$D:$AM, 10, FALSE), 1)</f>
        <v>0.32858353816133906</v>
      </c>
      <c r="J14" s="7">
        <f>$B14 * IFERROR(VLOOKUP("transport|NOx|Minor restricted activity days", US_national_yearly!$D:$AM, 18, FALSE) / VLOOKUP("transport|NOx|Minor restricted activity days", US_national_yearly!$D:$AM, 10, FALSE), 1)</f>
        <v>0.33033297742240619</v>
      </c>
      <c r="K14" s="7">
        <f>$B14 * IFERROR(VLOOKUP("transport|NOx|Minor restricted activity days", US_national_yearly!$D:$AM, 19, FALSE) / VLOOKUP("transport|NOx|Minor restricted activity days", US_national_yearly!$D:$AM, 10, FALSE), 1)</f>
        <v>0.33208241668347338</v>
      </c>
      <c r="L14" s="7">
        <f>$B14 * IFERROR(VLOOKUP("transport|NOx|Minor restricted activity days", US_national_yearly!$D:$AM, 20, FALSE) / VLOOKUP("transport|NOx|Minor restricted activity days", US_national_yearly!$D:$AM, 10, FALSE), 1)</f>
        <v>0.33383185594454051</v>
      </c>
      <c r="M14" s="7">
        <f>$B14 * IFERROR(VLOOKUP("transport|NOx|Minor restricted activity days", US_national_yearly!$D:$AM, 21, FALSE) / VLOOKUP("transport|NOx|Minor restricted activity days", US_national_yearly!$D:$AM, 10, FALSE), 1)</f>
        <v>0.3355812952056077</v>
      </c>
      <c r="N14" s="7">
        <f>$B14 * IFERROR(VLOOKUP("transport|NOx|Minor restricted activity days", US_national_yearly!$D:$AM, 22, FALSE) / VLOOKUP("transport|NOx|Minor restricted activity days", US_national_yearly!$D:$AM, 10, FALSE), 1)</f>
        <v>0.33808609555069524</v>
      </c>
      <c r="O14" s="7">
        <f>$B14 * IFERROR(VLOOKUP("transport|NOx|Minor restricted activity days", US_national_yearly!$D:$AM, 23, FALSE) / VLOOKUP("transport|NOx|Minor restricted activity days", US_national_yearly!$D:$AM, 10, FALSE), 1)</f>
        <v>0.34059089589578279</v>
      </c>
      <c r="P14" s="7">
        <f>$B14 * IFERROR(VLOOKUP("transport|NOx|Minor restricted activity days", US_national_yearly!$D:$AM, 24, FALSE) / VLOOKUP("transport|NOx|Minor restricted activity days", US_national_yearly!$D:$AM, 10, FALSE), 1)</f>
        <v>0.34309569624087033</v>
      </c>
      <c r="Q14" s="7">
        <f>$B14 * IFERROR(VLOOKUP("transport|NOx|Minor restricted activity days", US_national_yearly!$D:$AM, 25, FALSE) / VLOOKUP("transport|NOx|Minor restricted activity days", US_national_yearly!$D:$AM, 10, FALSE), 1)</f>
        <v>0.34560049658595787</v>
      </c>
      <c r="R14" s="7">
        <f>$B14 * IFERROR(VLOOKUP("transport|NOx|Minor restricted activity days", US_national_yearly!$D:$AM, 26, FALSE) / VLOOKUP("transport|NOx|Minor restricted activity days", US_national_yearly!$D:$AM, 10, FALSE), 1)</f>
        <v>0.34810529693104542</v>
      </c>
      <c r="S14" s="7">
        <f>$B14 * IFERROR(VLOOKUP("transport|NOx|Minor restricted activity days", US_national_yearly!$D:$AM, 27, FALSE) / VLOOKUP("transport|NOx|Minor restricted activity days", US_national_yearly!$D:$AM, 10, FALSE), 1)</f>
        <v>0.35060957064722154</v>
      </c>
      <c r="T14" s="7">
        <f>$B14 * IFERROR(VLOOKUP("transport|NOx|Minor restricted activity days", US_national_yearly!$D:$AM, 28, FALSE) / VLOOKUP("transport|NOx|Minor restricted activity days", US_national_yearly!$D:$AM, 10, FALSE), 1)</f>
        <v>0.35311384436339754</v>
      </c>
      <c r="U14" s="7">
        <f>$B14 * IFERROR(VLOOKUP("transport|NOx|Minor restricted activity days", US_national_yearly!$D:$AM, 29, FALSE) / VLOOKUP("transport|NOx|Minor restricted activity days", US_national_yearly!$D:$AM, 10, FALSE), 1)</f>
        <v>0.35561811807957366</v>
      </c>
      <c r="V14" s="7">
        <f>$B14 * IFERROR(VLOOKUP("transport|NOx|Minor restricted activity days", US_national_yearly!$D:$AM, 30, FALSE) / VLOOKUP("transport|NOx|Minor restricted activity days", US_national_yearly!$D:$AM, 10, FALSE), 1)</f>
        <v>0.35812239179574978</v>
      </c>
      <c r="W14" s="7">
        <f>$B14 * IFERROR(VLOOKUP("transport|NOx|Minor restricted activity days", US_national_yearly!$D:$AM, 31, FALSE) / VLOOKUP("transport|NOx|Minor restricted activity days", US_national_yearly!$D:$AM, 10, FALSE), 1)</f>
        <v>0.36062666551192585</v>
      </c>
      <c r="X14" s="7">
        <f>$B14 * IFERROR(VLOOKUP("transport|NOx|Minor restricted activity days", US_national_yearly!$D:$AM, 32, FALSE) / VLOOKUP("transport|NOx|Minor restricted activity days", US_national_yearly!$D:$AM, 10, FALSE), 1)</f>
        <v>0.36274393353656731</v>
      </c>
      <c r="Y14" s="7">
        <f>$B14 * IFERROR(VLOOKUP("transport|NOx|Minor restricted activity days", US_national_yearly!$D:$AM, 33, FALSE) / VLOOKUP("transport|NOx|Minor restricted activity days", US_national_yearly!$D:$AM, 10, FALSE), 1)</f>
        <v>0.36486120156120877</v>
      </c>
      <c r="Z14" s="7">
        <f>$B14 * IFERROR(VLOOKUP("transport|NOx|Minor restricted activity days", US_national_yearly!$D:$AM, 34, FALSE) / VLOOKUP("transport|NOx|Minor restricted activity days", US_national_yearly!$D:$AM, 10, FALSE), 1)</f>
        <v>0.36697846958585023</v>
      </c>
      <c r="AA14" s="7">
        <f>$B14 * IFERROR(VLOOKUP("transport|NOx|Minor restricted activity days", US_national_yearly!$D:$AM, 35, FALSE) / VLOOKUP("transport|NOx|Minor restricted activity days", US_national_yearly!$D:$AM, 10, FALSE), 1)</f>
        <v>0.36909573761049169</v>
      </c>
      <c r="AB14" s="7">
        <f>$B14 * IFERROR(VLOOKUP("transport|NOx|Minor restricted activity days", US_national_yearly!$D:$AM, 36, FALSE) / VLOOKUP("transport|NOx|Minor restricted activity days", US_national_yearly!$D:$AM, 10, FALSE), 1)</f>
        <v>0.37121300563513315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5.4759341944111035E-2</v>
      </c>
      <c r="C15" s="7">
        <f>$B15 * IFERROR(VLOOKUP("transport|NOx|Work loss days", US_national_yearly!$D:$AM, 11, FALSE) / VLOOKUP("transport|NOx|Work loss days", US_national_yearly!$D:$AM, 10, FALSE), 1)</f>
        <v>5.4881151154399198E-2</v>
      </c>
      <c r="D15" s="7">
        <f>$B15 * IFERROR(VLOOKUP("transport|NOx|Work loss days", US_national_yearly!$D:$AM, 12, FALSE) / VLOOKUP("transport|NOx|Work loss days", US_national_yearly!$D:$AM, 10, FALSE), 1)</f>
        <v>5.5002960364687374E-2</v>
      </c>
      <c r="E15" s="7">
        <f>$B15 * IFERROR(VLOOKUP("transport|NOx|Work loss days", US_national_yearly!$D:$AM, 13, FALSE) / VLOOKUP("transport|NOx|Work loss days", US_national_yearly!$D:$AM, 10, FALSE), 1)</f>
        <v>5.5124769574975536E-2</v>
      </c>
      <c r="F15" s="7">
        <f>$B15 * IFERROR(VLOOKUP("transport|NOx|Work loss days", US_national_yearly!$D:$AM, 14, FALSE) / VLOOKUP("transport|NOx|Work loss days", US_national_yearly!$D:$AM, 10, FALSE), 1)</f>
        <v>5.5246578785263713E-2</v>
      </c>
      <c r="G15" s="7">
        <f>$B15 * IFERROR(VLOOKUP("transport|NOx|Work loss days", US_national_yearly!$D:$AM, 15, FALSE) / VLOOKUP("transport|NOx|Work loss days", US_national_yearly!$D:$AM, 10, FALSE), 1)</f>
        <v>5.5424421271371087E-2</v>
      </c>
      <c r="H15" s="7">
        <f>$B15 * IFERROR(VLOOKUP("transport|NOx|Work loss days", US_national_yearly!$D:$AM, 16, FALSE) / VLOOKUP("transport|NOx|Work loss days", US_national_yearly!$D:$AM, 10, FALSE), 1)</f>
        <v>5.5602263757478468E-2</v>
      </c>
      <c r="I15" s="7">
        <f>$B15 * IFERROR(VLOOKUP("transport|NOx|Work loss days", US_national_yearly!$D:$AM, 17, FALSE) / VLOOKUP("transport|NOx|Work loss days", US_national_yearly!$D:$AM, 10, FALSE), 1)</f>
        <v>5.5890358946582501E-2</v>
      </c>
      <c r="J15" s="7">
        <f>$B15 * IFERROR(VLOOKUP("transport|NOx|Work loss days", US_national_yearly!$D:$AM, 18, FALSE) / VLOOKUP("transport|NOx|Work loss days", US_national_yearly!$D:$AM, 10, FALSE), 1)</f>
        <v>5.6178454135686541E-2</v>
      </c>
      <c r="K15" s="7">
        <f>$B15 * IFERROR(VLOOKUP("transport|NOx|Work loss days", US_national_yearly!$D:$AM, 19, FALSE) / VLOOKUP("transport|NOx|Work loss days", US_national_yearly!$D:$AM, 10, FALSE), 1)</f>
        <v>5.6466549324790567E-2</v>
      </c>
      <c r="L15" s="7">
        <f>$B15 * IFERROR(VLOOKUP("transport|NOx|Work loss days", US_national_yearly!$D:$AM, 20, FALSE) / VLOOKUP("transport|NOx|Work loss days", US_national_yearly!$D:$AM, 10, FALSE), 1)</f>
        <v>5.67546445138946E-2</v>
      </c>
      <c r="M15" s="7">
        <f>$B15 * IFERROR(VLOOKUP("transport|NOx|Work loss days", US_national_yearly!$D:$AM, 21, FALSE) / VLOOKUP("transport|NOx|Work loss days", US_national_yearly!$D:$AM, 10, FALSE), 1)</f>
        <v>5.704273970299864E-2</v>
      </c>
      <c r="N15" s="7">
        <f>$B15 * IFERROR(VLOOKUP("transport|NOx|Work loss days", US_national_yearly!$D:$AM, 22, FALSE) / VLOOKUP("transport|NOx|Work loss days", US_national_yearly!$D:$AM, 10, FALSE), 1)</f>
        <v>5.741767791330929E-2</v>
      </c>
      <c r="O15" s="7">
        <f>$B15 * IFERROR(VLOOKUP("transport|NOx|Work loss days", US_national_yearly!$D:$AM, 23, FALSE) / VLOOKUP("transport|NOx|Work loss days", US_national_yearly!$D:$AM, 10, FALSE), 1)</f>
        <v>5.7792616123619932E-2</v>
      </c>
      <c r="P15" s="7">
        <f>$B15 * IFERROR(VLOOKUP("transport|NOx|Work loss days", US_national_yearly!$D:$AM, 24, FALSE) / VLOOKUP("transport|NOx|Work loss days", US_national_yearly!$D:$AM, 10, FALSE), 1)</f>
        <v>5.8167554333930581E-2</v>
      </c>
      <c r="Q15" s="7">
        <f>$B15 * IFERROR(VLOOKUP("transport|NOx|Work loss days", US_national_yearly!$D:$AM, 25, FALSE) / VLOOKUP("transport|NOx|Work loss days", US_national_yearly!$D:$AM, 10, FALSE), 1)</f>
        <v>5.8542492544241216E-2</v>
      </c>
      <c r="R15" s="7">
        <f>$B15 * IFERROR(VLOOKUP("transport|NOx|Work loss days", US_national_yearly!$D:$AM, 26, FALSE) / VLOOKUP("transport|NOx|Work loss days", US_national_yearly!$D:$AM, 10, FALSE), 1)</f>
        <v>5.8917430754551879E-2</v>
      </c>
      <c r="S15" s="7">
        <f>$B15 * IFERROR(VLOOKUP("transport|NOx|Work loss days", US_national_yearly!$D:$AM, 27, FALSE) / VLOOKUP("transport|NOx|Work loss days", US_national_yearly!$D:$AM, 10, FALSE), 1)</f>
        <v>5.9335438918697046E-2</v>
      </c>
      <c r="T15" s="7">
        <f>$B15 * IFERROR(VLOOKUP("transport|NOx|Work loss days", US_national_yearly!$D:$AM, 28, FALSE) / VLOOKUP("transport|NOx|Work loss days", US_national_yearly!$D:$AM, 10, FALSE), 1)</f>
        <v>5.9753447082842213E-2</v>
      </c>
      <c r="U15" s="7">
        <f>$B15 * IFERROR(VLOOKUP("transport|NOx|Work loss days", US_national_yearly!$D:$AM, 29, FALSE) / VLOOKUP("transport|NOx|Work loss days", US_national_yearly!$D:$AM, 10, FALSE), 1)</f>
        <v>6.0171455246987367E-2</v>
      </c>
      <c r="V15" s="7">
        <f>$B15 * IFERROR(VLOOKUP("transport|NOx|Work loss days", US_national_yearly!$D:$AM, 30, FALSE) / VLOOKUP("transport|NOx|Work loss days", US_national_yearly!$D:$AM, 10, FALSE), 1)</f>
        <v>6.0589463411132541E-2</v>
      </c>
      <c r="W15" s="7">
        <f>$B15 * IFERROR(VLOOKUP("transport|NOx|Work loss days", US_national_yearly!$D:$AM, 31, FALSE) / VLOOKUP("transport|NOx|Work loss days", US_national_yearly!$D:$AM, 10, FALSE), 1)</f>
        <v>6.1007471575277708E-2</v>
      </c>
      <c r="X15" s="7">
        <f>$B15 * IFERROR(VLOOKUP("transport|NOx|Work loss days", US_national_yearly!$D:$AM, 32, FALSE) / VLOOKUP("transport|NOx|Work loss days", US_national_yearly!$D:$AM, 10, FALSE), 1)</f>
        <v>6.1370280374922863E-2</v>
      </c>
      <c r="Y15" s="7">
        <f>$B15 * IFERROR(VLOOKUP("transport|NOx|Work loss days", US_national_yearly!$D:$AM, 33, FALSE) / VLOOKUP("transport|NOx|Work loss days", US_national_yearly!$D:$AM, 10, FALSE), 1)</f>
        <v>6.1733089174568025E-2</v>
      </c>
      <c r="Z15" s="7">
        <f>$B15 * IFERROR(VLOOKUP("transport|NOx|Work loss days", US_national_yearly!$D:$AM, 34, FALSE) / VLOOKUP("transport|NOx|Work loss days", US_national_yearly!$D:$AM, 10, FALSE), 1)</f>
        <v>6.2095897974213179E-2</v>
      </c>
      <c r="AA15" s="7">
        <f>$B15 * IFERROR(VLOOKUP("transport|NOx|Work loss days", US_national_yearly!$D:$AM, 35, FALSE) / VLOOKUP("transport|NOx|Work loss days", US_national_yearly!$D:$AM, 10, FALSE), 1)</f>
        <v>6.2458706773858341E-2</v>
      </c>
      <c r="AB15" s="7">
        <f>$B15 * IFERROR(VLOOKUP("transport|NOx|Work loss days", US_national_yearly!$D:$AM, 36, FALSE) / VLOOKUP("transport|NOx|Work loss days", US_national_yearly!$D:$AM, 10, FALSE), 1)</f>
        <v>6.2821515573503503E-2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1.0190123348454786E-4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1.0489556370194933E-4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1.0788989391935078E-4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1.1088422413675224E-4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1.1387855435415371E-4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1.1672267287452761E-4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1.1956679139490152E-4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1.2195847565917638E-4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1.2435015992345126E-4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1.2674184418772614E-4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1.2913352845200099E-4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1.3152521271627589E-4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1.3302081213467282E-4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1.3451641155306978E-4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1.3601201097146668E-4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1.3750761038986364E-4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1.3900320980826057E-4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1.3968561075299613E-4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1.4036801169773169E-4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1.4105041264246722E-4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1.4173281358720278E-4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1.4241521453193834E-4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1.4279499431626161E-4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1.4317477410058488E-4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1.4355455388490813E-4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1.439343336692314E-4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1.4431411345355464E-4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4.1704069474929918E-3</v>
      </c>
      <c r="C2" s="7">
        <f>$B2 * IFERROR(VLOOKUP("transport|SO2|Premature mortality", US_national_yearly!$D:$AM, 11, FALSE) / VLOOKUP("transport|SO2|Premature mortality", US_national_yearly!$D:$AM, 10, FALSE), 1)</f>
        <v>4.223222895024129E-3</v>
      </c>
      <c r="D2" s="7">
        <f>$B2 * IFERROR(VLOOKUP("transport|SO2|Premature mortality", US_national_yearly!$D:$AM, 12, FALSE) / VLOOKUP("transport|SO2|Premature mortality", US_national_yearly!$D:$AM, 10, FALSE), 1)</f>
        <v>4.2760388425552671E-3</v>
      </c>
      <c r="E2" s="7">
        <f>$B2 * IFERROR(VLOOKUP("transport|SO2|Premature mortality", US_national_yearly!$D:$AM, 13, FALSE) / VLOOKUP("transport|SO2|Premature mortality", US_national_yearly!$D:$AM, 10, FALSE), 1)</f>
        <v>4.3288547900864043E-3</v>
      </c>
      <c r="F2" s="7">
        <f>$B2 * IFERROR(VLOOKUP("transport|SO2|Premature mortality", US_national_yearly!$D:$AM, 14, FALSE) / VLOOKUP("transport|SO2|Premature mortality", US_national_yearly!$D:$AM, 10, FALSE), 1)</f>
        <v>4.3816707376175415E-3</v>
      </c>
      <c r="G2" s="7">
        <f>$B2 * IFERROR(VLOOKUP("transport|SO2|Premature mortality", US_national_yearly!$D:$AM, 15, FALSE) / VLOOKUP("transport|SO2|Premature mortality", US_national_yearly!$D:$AM, 10, FALSE), 1)</f>
        <v>4.4834440752268626E-3</v>
      </c>
      <c r="H2" s="7">
        <f>$B2 * IFERROR(VLOOKUP("transport|SO2|Premature mortality", US_national_yearly!$D:$AM, 16, FALSE) / VLOOKUP("transport|SO2|Premature mortality", US_national_yearly!$D:$AM, 10, FALSE), 1)</f>
        <v>4.5852174128361827E-3</v>
      </c>
      <c r="I2" s="7">
        <f>$B2 * IFERROR(VLOOKUP("transport|SO2|Premature mortality", US_national_yearly!$D:$AM, 17, FALSE) / VLOOKUP("transport|SO2|Premature mortality", US_national_yearly!$D:$AM, 10, FALSE), 1)</f>
        <v>4.6524754703898882E-3</v>
      </c>
      <c r="J2" s="7">
        <f>$B2 * IFERROR(VLOOKUP("transport|SO2|Premature mortality", US_national_yearly!$D:$AM, 18, FALSE) / VLOOKUP("transport|SO2|Premature mortality", US_national_yearly!$D:$AM, 10, FALSE), 1)</f>
        <v>4.7197335279435928E-3</v>
      </c>
      <c r="K2" s="7">
        <f>$B2 * IFERROR(VLOOKUP("transport|SO2|Premature mortality", US_national_yearly!$D:$AM, 19, FALSE) / VLOOKUP("transport|SO2|Premature mortality", US_national_yearly!$D:$AM, 10, FALSE), 1)</f>
        <v>4.7869915854972973E-3</v>
      </c>
      <c r="L2" s="7">
        <f>$B2 * IFERROR(VLOOKUP("transport|SO2|Premature mortality", US_national_yearly!$D:$AM, 20, FALSE) / VLOOKUP("transport|SO2|Premature mortality", US_national_yearly!$D:$AM, 10, FALSE), 1)</f>
        <v>4.8542496430510019E-3</v>
      </c>
      <c r="M2" s="7">
        <f>$B2 * IFERROR(VLOOKUP("transport|SO2|Premature mortality", US_national_yearly!$D:$AM, 21, FALSE) / VLOOKUP("transport|SO2|Premature mortality", US_national_yearly!$D:$AM, 10, FALSE), 1)</f>
        <v>4.9215077006047074E-3</v>
      </c>
      <c r="N2" s="7">
        <f>$B2 * IFERROR(VLOOKUP("transport|SO2|Premature mortality", US_national_yearly!$D:$AM, 22, FALSE) / VLOOKUP("transport|SO2|Premature mortality", US_national_yearly!$D:$AM, 10, FALSE), 1)</f>
        <v>4.9740594985167369E-3</v>
      </c>
      <c r="O2" s="7">
        <f>$B2 * IFERROR(VLOOKUP("transport|SO2|Premature mortality", US_national_yearly!$D:$AM, 23, FALSE) / VLOOKUP("transport|SO2|Premature mortality", US_national_yearly!$D:$AM, 10, FALSE), 1)</f>
        <v>5.0266112964287655E-3</v>
      </c>
      <c r="P2" s="7">
        <f>$B2 * IFERROR(VLOOKUP("transport|SO2|Premature mortality", US_national_yearly!$D:$AM, 24, FALSE) / VLOOKUP("transport|SO2|Premature mortality", US_national_yearly!$D:$AM, 10, FALSE), 1)</f>
        <v>5.079163094340795E-3</v>
      </c>
      <c r="Q2" s="7">
        <f>$B2 * IFERROR(VLOOKUP("transport|SO2|Premature mortality", US_national_yearly!$D:$AM, 25, FALSE) / VLOOKUP("transport|SO2|Premature mortality", US_national_yearly!$D:$AM, 10, FALSE), 1)</f>
        <v>5.1317148922528245E-3</v>
      </c>
      <c r="R2" s="7">
        <f>$B2 * IFERROR(VLOOKUP("transport|SO2|Premature mortality", US_national_yearly!$D:$AM, 26, FALSE) / VLOOKUP("transport|SO2|Premature mortality", US_national_yearly!$D:$AM, 10, FALSE), 1)</f>
        <v>5.1842666901648522E-3</v>
      </c>
      <c r="S2" s="7">
        <f>$B2 * IFERROR(VLOOKUP("transport|SO2|Premature mortality", US_national_yearly!$D:$AM, 27, FALSE) / VLOOKUP("transport|SO2|Premature mortality", US_national_yearly!$D:$AM, 10, FALSE), 1)</f>
        <v>5.2124088776844043E-3</v>
      </c>
      <c r="T2" s="7">
        <f>$B2 * IFERROR(VLOOKUP("transport|SO2|Premature mortality", US_national_yearly!$D:$AM, 28, FALSE) / VLOOKUP("transport|SO2|Premature mortality", US_national_yearly!$D:$AM, 10, FALSE), 1)</f>
        <v>5.2405510652039555E-3</v>
      </c>
      <c r="U2" s="7">
        <f>$B2 * IFERROR(VLOOKUP("transport|SO2|Premature mortality", US_national_yearly!$D:$AM, 29, FALSE) / VLOOKUP("transport|SO2|Premature mortality", US_national_yearly!$D:$AM, 10, FALSE), 1)</f>
        <v>5.2686932527235067E-3</v>
      </c>
      <c r="V2" s="7">
        <f>$B2 * IFERROR(VLOOKUP("transport|SO2|Premature mortality", US_national_yearly!$D:$AM, 30, FALSE) / VLOOKUP("transport|SO2|Premature mortality", US_national_yearly!$D:$AM, 10, FALSE), 1)</f>
        <v>5.296835440243057E-3</v>
      </c>
      <c r="W2" s="7">
        <f>$B2 * IFERROR(VLOOKUP("transport|SO2|Premature mortality", US_national_yearly!$D:$AM, 31, FALSE) / VLOOKUP("transport|SO2|Premature mortality", US_national_yearly!$D:$AM, 10, FALSE), 1)</f>
        <v>5.3249776277626091E-3</v>
      </c>
      <c r="X2" s="7">
        <f>$B2 * IFERROR(VLOOKUP("transport|SO2|Premature mortality", US_national_yearly!$D:$AM, 32, FALSE) / VLOOKUP("transport|SO2|Premature mortality", US_national_yearly!$D:$AM, 10, FALSE), 1)</f>
        <v>5.3306947992376834E-3</v>
      </c>
      <c r="Y2" s="7">
        <f>$B2 * IFERROR(VLOOKUP("transport|SO2|Premature mortality", US_national_yearly!$D:$AM, 33, FALSE) / VLOOKUP("transport|SO2|Premature mortality", US_national_yearly!$D:$AM, 10, FALSE), 1)</f>
        <v>5.3364119707127594E-3</v>
      </c>
      <c r="Z2" s="7">
        <f>$B2 * IFERROR(VLOOKUP("transport|SO2|Premature mortality", US_national_yearly!$D:$AM, 34, FALSE) / VLOOKUP("transport|SO2|Premature mortality", US_national_yearly!$D:$AM, 10, FALSE), 1)</f>
        <v>5.3421291421878354E-3</v>
      </c>
      <c r="AA2" s="7">
        <f>$B2 * IFERROR(VLOOKUP("transport|SO2|Premature mortality", US_national_yearly!$D:$AM, 35, FALSE) / VLOOKUP("transport|SO2|Premature mortality", US_national_yearly!$D:$AM, 10, FALSE), 1)</f>
        <v>5.3478463136629106E-3</v>
      </c>
      <c r="AB2" s="7">
        <f>$B2 * IFERROR(VLOOKUP("transport|SO2|Premature mortality", US_national_yearly!$D:$AM, 36, FALSE) / VLOOKUP("transport|SO2|Premature mortality", US_national_yearly!$D:$AM, 10, FALSE), 1)</f>
        <v>5.3535634851379858E-3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1.1477891388351209E-5</v>
      </c>
      <c r="C3" s="7">
        <f>$B3 * IFERROR(VLOOKUP("transport|SO2|Infant mortality", US_national_yearly!$D:$AM, 11, FALSE) / VLOOKUP("transport|SO2|Infant mortality", US_national_yearly!$D:$AM, 10, FALSE), 1)</f>
        <v>1.1379294207693941E-5</v>
      </c>
      <c r="D3" s="7">
        <f>$B3 * IFERROR(VLOOKUP("transport|SO2|Infant mortality", US_national_yearly!$D:$AM, 12, FALSE) / VLOOKUP("transport|SO2|Infant mortality", US_national_yearly!$D:$AM, 10, FALSE), 1)</f>
        <v>1.1280697027036672E-5</v>
      </c>
      <c r="E3" s="7">
        <f>$B3 * IFERROR(VLOOKUP("transport|SO2|Infant mortality", US_national_yearly!$D:$AM, 13, FALSE) / VLOOKUP("transport|SO2|Infant mortality", US_national_yearly!$D:$AM, 10, FALSE), 1)</f>
        <v>1.1182099846379402E-5</v>
      </c>
      <c r="F3" s="7">
        <f>$B3 * IFERROR(VLOOKUP("transport|SO2|Infant mortality", US_national_yearly!$D:$AM, 14, FALSE) / VLOOKUP("transport|SO2|Infant mortality", US_national_yearly!$D:$AM, 10, FALSE), 1)</f>
        <v>1.1083502665722133E-5</v>
      </c>
      <c r="G3" s="7">
        <f>$B3 * IFERROR(VLOOKUP("transport|SO2|Infant mortality", US_national_yearly!$D:$AM, 15, FALSE) / VLOOKUP("transport|SO2|Infant mortality", US_national_yearly!$D:$AM, 10, FALSE), 1)</f>
        <v>7.3825054581952311E-6</v>
      </c>
      <c r="H3" s="7">
        <f>$B3 * IFERROR(VLOOKUP("transport|SO2|Infant mortality", US_national_yearly!$D:$AM, 16, FALSE) / VLOOKUP("transport|SO2|Infant mortality", US_national_yearly!$D:$AM, 10, FALSE), 1)</f>
        <v>3.6815082506683334E-6</v>
      </c>
      <c r="I3" s="7">
        <f>$B3 * IFERROR(VLOOKUP("transport|SO2|Infant mortality", US_national_yearly!$D:$AM, 17, FALSE) / VLOOKUP("transport|SO2|Infant mortality", US_national_yearly!$D:$AM, 10, FALSE), 1)</f>
        <v>3.6584130376918486E-6</v>
      </c>
      <c r="J3" s="7">
        <f>$B3 * IFERROR(VLOOKUP("transport|SO2|Infant mortality", US_national_yearly!$D:$AM, 18, FALSE) / VLOOKUP("transport|SO2|Infant mortality", US_national_yearly!$D:$AM, 10, FALSE), 1)</f>
        <v>3.6353178247153638E-6</v>
      </c>
      <c r="K3" s="7">
        <f>$B3 * IFERROR(VLOOKUP("transport|SO2|Infant mortality", US_national_yearly!$D:$AM, 19, FALSE) / VLOOKUP("transport|SO2|Infant mortality", US_national_yearly!$D:$AM, 10, FALSE), 1)</f>
        <v>3.612222611738879E-6</v>
      </c>
      <c r="L3" s="7">
        <f>$B3 * IFERROR(VLOOKUP("transport|SO2|Infant mortality", US_national_yearly!$D:$AM, 20, FALSE) / VLOOKUP("transport|SO2|Infant mortality", US_national_yearly!$D:$AM, 10, FALSE), 1)</f>
        <v>3.589127398762395E-6</v>
      </c>
      <c r="M3" s="7">
        <f>$B3 * IFERROR(VLOOKUP("transport|SO2|Infant mortality", US_national_yearly!$D:$AM, 21, FALSE) / VLOOKUP("transport|SO2|Infant mortality", US_national_yearly!$D:$AM, 10, FALSE), 1)</f>
        <v>3.5660321857859102E-6</v>
      </c>
      <c r="N3" s="7">
        <f>$B3 * IFERROR(VLOOKUP("transport|SO2|Infant mortality", US_national_yearly!$D:$AM, 22, FALSE) / VLOOKUP("transport|SO2|Infant mortality", US_national_yearly!$D:$AM, 10, FALSE), 1)</f>
        <v>3.5515354935066296E-6</v>
      </c>
      <c r="O3" s="7">
        <f>$B3 * IFERROR(VLOOKUP("transport|SO2|Infant mortality", US_national_yearly!$D:$AM, 23, FALSE) / VLOOKUP("transport|SO2|Infant mortality", US_national_yearly!$D:$AM, 10, FALSE), 1)</f>
        <v>3.5370388012273485E-6</v>
      </c>
      <c r="P3" s="7">
        <f>$B3 * IFERROR(VLOOKUP("transport|SO2|Infant mortality", US_national_yearly!$D:$AM, 24, FALSE) / VLOOKUP("transport|SO2|Infant mortality", US_national_yearly!$D:$AM, 10, FALSE), 1)</f>
        <v>3.522542108948067E-6</v>
      </c>
      <c r="Q3" s="7">
        <f>$B3 * IFERROR(VLOOKUP("transport|SO2|Infant mortality", US_national_yearly!$D:$AM, 25, FALSE) / VLOOKUP("transport|SO2|Infant mortality", US_national_yearly!$D:$AM, 10, FALSE), 1)</f>
        <v>3.5080454166687864E-6</v>
      </c>
      <c r="R3" s="7">
        <f>$B3 * IFERROR(VLOOKUP("transport|SO2|Infant mortality", US_national_yearly!$D:$AM, 26, FALSE) / VLOOKUP("transport|SO2|Infant mortality", US_national_yearly!$D:$AM, 10, FALSE), 1)</f>
        <v>3.4935487243895049E-6</v>
      </c>
      <c r="S3" s="7">
        <f>$B3 * IFERROR(VLOOKUP("transport|SO2|Infant mortality", US_national_yearly!$D:$AM, 27, FALSE) / VLOOKUP("transport|SO2|Infant mortality", US_national_yearly!$D:$AM, 10, FALSE), 1)</f>
        <v>3.4753472440754692E-6</v>
      </c>
      <c r="T3" s="7">
        <f>$B3 * IFERROR(VLOOKUP("transport|SO2|Infant mortality", US_national_yearly!$D:$AM, 28, FALSE) / VLOOKUP("transport|SO2|Infant mortality", US_national_yearly!$D:$AM, 10, FALSE), 1)</f>
        <v>3.4571457637614339E-6</v>
      </c>
      <c r="U3" s="7">
        <f>$B3 * IFERROR(VLOOKUP("transport|SO2|Infant mortality", US_national_yearly!$D:$AM, 29, FALSE) / VLOOKUP("transport|SO2|Infant mortality", US_national_yearly!$D:$AM, 10, FALSE), 1)</f>
        <v>3.4389442834473969E-6</v>
      </c>
      <c r="V3" s="7">
        <f>$B3 * IFERROR(VLOOKUP("transport|SO2|Infant mortality", US_national_yearly!$D:$AM, 30, FALSE) / VLOOKUP("transport|SO2|Infant mortality", US_national_yearly!$D:$AM, 10, FALSE), 1)</f>
        <v>3.420742803133362E-6</v>
      </c>
      <c r="W3" s="7">
        <f>$B3 * IFERROR(VLOOKUP("transport|SO2|Infant mortality", US_national_yearly!$D:$AM, 31, FALSE) / VLOOKUP("transport|SO2|Infant mortality", US_national_yearly!$D:$AM, 10, FALSE), 1)</f>
        <v>3.4025413228193259E-6</v>
      </c>
      <c r="X3" s="7">
        <f>$B3 * IFERROR(VLOOKUP("transport|SO2|Infant mortality", US_national_yearly!$D:$AM, 32, FALSE) / VLOOKUP("transport|SO2|Infant mortality", US_national_yearly!$D:$AM, 10, FALSE), 1)</f>
        <v>3.3826414865474467E-6</v>
      </c>
      <c r="Y3" s="7">
        <f>$B3 * IFERROR(VLOOKUP("transport|SO2|Infant mortality", US_national_yearly!$D:$AM, 33, FALSE) / VLOOKUP("transport|SO2|Infant mortality", US_national_yearly!$D:$AM, 10, FALSE), 1)</f>
        <v>3.3627416502755666E-6</v>
      </c>
      <c r="Z3" s="7">
        <f>$B3 * IFERROR(VLOOKUP("transport|SO2|Infant mortality", US_national_yearly!$D:$AM, 34, FALSE) / VLOOKUP("transport|SO2|Infant mortality", US_national_yearly!$D:$AM, 10, FALSE), 1)</f>
        <v>3.3428418140036874E-6</v>
      </c>
      <c r="AA3" s="7">
        <f>$B3 * IFERROR(VLOOKUP("transport|SO2|Infant mortality", US_national_yearly!$D:$AM, 35, FALSE) / VLOOKUP("transport|SO2|Infant mortality", US_national_yearly!$D:$AM, 10, FALSE), 1)</f>
        <v>3.3229419777318069E-6</v>
      </c>
      <c r="AB3" s="7">
        <f>$B3 * IFERROR(VLOOKUP("transport|SO2|Infant mortality", US_national_yearly!$D:$AM, 36, FALSE) / VLOOKUP("transport|SO2|Infant mortality", US_national_yearly!$D:$AM, 10, FALSE), 1)</f>
        <v>3.3030421414599277E-6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1.3023315413578034E-2</v>
      </c>
      <c r="C6" s="7">
        <f>$B6 * IFERROR(VLOOKUP("transport|SO2|Asthma symptoms cough", US_national_yearly!$D:$AM, 11, FALSE) / VLOOKUP("transport|SO2|Asthma symptoms cough", US_national_yearly!$D:$AM, 10, FALSE), 1)</f>
        <v>1.3023315413578034E-2</v>
      </c>
      <c r="D6" s="7">
        <f>$B6 * IFERROR(VLOOKUP("transport|SO2|Asthma symptoms cough", US_national_yearly!$D:$AM, 12, FALSE) / VLOOKUP("transport|SO2|Asthma symptoms cough", US_national_yearly!$D:$AM, 10, FALSE), 1)</f>
        <v>1.3023315413578034E-2</v>
      </c>
      <c r="E6" s="7">
        <f>$B6 * IFERROR(VLOOKUP("transport|SO2|Asthma symptoms cough", US_national_yearly!$D:$AM, 13, FALSE) / VLOOKUP("transport|SO2|Asthma symptoms cough", US_national_yearly!$D:$AM, 10, FALSE), 1)</f>
        <v>1.3023315413578034E-2</v>
      </c>
      <c r="F6" s="7">
        <f>$B6 * IFERROR(VLOOKUP("transport|SO2|Asthma symptoms cough", US_national_yearly!$D:$AM, 14, FALSE) / VLOOKUP("transport|SO2|Asthma symptoms cough", US_national_yearly!$D:$AM, 10, FALSE), 1)</f>
        <v>1.3023315413578034E-2</v>
      </c>
      <c r="G6" s="7">
        <f>$B6 * IFERROR(VLOOKUP("transport|SO2|Asthma symptoms cough", US_national_yearly!$D:$AM, 15, FALSE) / VLOOKUP("transport|SO2|Asthma symptoms cough", US_national_yearly!$D:$AM, 10, FALSE), 1)</f>
        <v>1.3023315413578034E-2</v>
      </c>
      <c r="H6" s="7">
        <f>$B6 * IFERROR(VLOOKUP("transport|SO2|Asthma symptoms cough", US_national_yearly!$D:$AM, 16, FALSE) / VLOOKUP("transport|SO2|Asthma symptoms cough", US_national_yearly!$D:$AM, 10, FALSE), 1)</f>
        <v>1.3023315413578034E-2</v>
      </c>
      <c r="I6" s="7">
        <f>$B6 * IFERROR(VLOOKUP("transport|SO2|Asthma symptoms cough", US_national_yearly!$D:$AM, 17, FALSE) / VLOOKUP("transport|SO2|Asthma symptoms cough", US_national_yearly!$D:$AM, 10, FALSE), 1)</f>
        <v>1.3023315413578034E-2</v>
      </c>
      <c r="J6" s="7">
        <f>$B6 * IFERROR(VLOOKUP("transport|SO2|Asthma symptoms cough", US_national_yearly!$D:$AM, 18, FALSE) / VLOOKUP("transport|SO2|Asthma symptoms cough", US_national_yearly!$D:$AM, 10, FALSE), 1)</f>
        <v>1.3023315413578034E-2</v>
      </c>
      <c r="K6" s="7">
        <f>$B6 * IFERROR(VLOOKUP("transport|SO2|Asthma symptoms cough", US_national_yearly!$D:$AM, 19, FALSE) / VLOOKUP("transport|SO2|Asthma symptoms cough", US_national_yearly!$D:$AM, 10, FALSE), 1)</f>
        <v>1.3023315413578034E-2</v>
      </c>
      <c r="L6" s="7">
        <f>$B6 * IFERROR(VLOOKUP("transport|SO2|Asthma symptoms cough", US_national_yearly!$D:$AM, 20, FALSE) / VLOOKUP("transport|SO2|Asthma symptoms cough", US_national_yearly!$D:$AM, 10, FALSE), 1)</f>
        <v>1.3023315413578034E-2</v>
      </c>
      <c r="M6" s="7">
        <f>$B6 * IFERROR(VLOOKUP("transport|SO2|Asthma symptoms cough", US_national_yearly!$D:$AM, 21, FALSE) / VLOOKUP("transport|SO2|Asthma symptoms cough", US_national_yearly!$D:$AM, 10, FALSE), 1)</f>
        <v>1.3023315413578034E-2</v>
      </c>
      <c r="N6" s="7">
        <f>$B6 * IFERROR(VLOOKUP("transport|SO2|Asthma symptoms cough", US_national_yearly!$D:$AM, 22, FALSE) / VLOOKUP("transport|SO2|Asthma symptoms cough", US_national_yearly!$D:$AM, 10, FALSE), 1)</f>
        <v>1.3023315413578034E-2</v>
      </c>
      <c r="O6" s="7">
        <f>$B6 * IFERROR(VLOOKUP("transport|SO2|Asthma symptoms cough", US_national_yearly!$D:$AM, 23, FALSE) / VLOOKUP("transport|SO2|Asthma symptoms cough", US_national_yearly!$D:$AM, 10, FALSE), 1)</f>
        <v>1.3023315413578034E-2</v>
      </c>
      <c r="P6" s="7">
        <f>$B6 * IFERROR(VLOOKUP("transport|SO2|Asthma symptoms cough", US_national_yearly!$D:$AM, 24, FALSE) / VLOOKUP("transport|SO2|Asthma symptoms cough", US_national_yearly!$D:$AM, 10, FALSE), 1)</f>
        <v>1.3023315413578034E-2</v>
      </c>
      <c r="Q6" s="7">
        <f>$B6 * IFERROR(VLOOKUP("transport|SO2|Asthma symptoms cough", US_national_yearly!$D:$AM, 25, FALSE) / VLOOKUP("transport|SO2|Asthma symptoms cough", US_national_yearly!$D:$AM, 10, FALSE), 1)</f>
        <v>1.3023315413578034E-2</v>
      </c>
      <c r="R6" s="7">
        <f>$B6 * IFERROR(VLOOKUP("transport|SO2|Asthma symptoms cough", US_national_yearly!$D:$AM, 26, FALSE) / VLOOKUP("transport|SO2|Asthma symptoms cough", US_national_yearly!$D:$AM, 10, FALSE), 1)</f>
        <v>1.3023315413578034E-2</v>
      </c>
      <c r="S6" s="7">
        <f>$B6 * IFERROR(VLOOKUP("transport|SO2|Asthma symptoms cough", US_national_yearly!$D:$AM, 27, FALSE) / VLOOKUP("transport|SO2|Asthma symptoms cough", US_national_yearly!$D:$AM, 10, FALSE), 1)</f>
        <v>1.3023315413578034E-2</v>
      </c>
      <c r="T6" s="7">
        <f>$B6 * IFERROR(VLOOKUP("transport|SO2|Asthma symptoms cough", US_national_yearly!$D:$AM, 28, FALSE) / VLOOKUP("transport|SO2|Asthma symptoms cough", US_national_yearly!$D:$AM, 10, FALSE), 1)</f>
        <v>1.3023315413578034E-2</v>
      </c>
      <c r="U6" s="7">
        <f>$B6 * IFERROR(VLOOKUP("transport|SO2|Asthma symptoms cough", US_national_yearly!$D:$AM, 29, FALSE) / VLOOKUP("transport|SO2|Asthma symptoms cough", US_national_yearly!$D:$AM, 10, FALSE), 1)</f>
        <v>1.3023315413578034E-2</v>
      </c>
      <c r="V6" s="7">
        <f>$B6 * IFERROR(VLOOKUP("transport|SO2|Asthma symptoms cough", US_national_yearly!$D:$AM, 30, FALSE) / VLOOKUP("transport|SO2|Asthma symptoms cough", US_national_yearly!$D:$AM, 10, FALSE), 1)</f>
        <v>1.3023315413578034E-2</v>
      </c>
      <c r="W6" s="7">
        <f>$B6 * IFERROR(VLOOKUP("transport|SO2|Asthma symptoms cough", US_national_yearly!$D:$AM, 31, FALSE) / VLOOKUP("transport|SO2|Asthma symptoms cough", US_national_yearly!$D:$AM, 10, FALSE), 1)</f>
        <v>1.3023315413578034E-2</v>
      </c>
      <c r="X6" s="7">
        <f>$B6 * IFERROR(VLOOKUP("transport|SO2|Asthma symptoms cough", US_national_yearly!$D:$AM, 32, FALSE) / VLOOKUP("transport|SO2|Asthma symptoms cough", US_national_yearly!$D:$AM, 10, FALSE), 1)</f>
        <v>1.3023315413578034E-2</v>
      </c>
      <c r="Y6" s="7">
        <f>$B6 * IFERROR(VLOOKUP("transport|SO2|Asthma symptoms cough", US_national_yearly!$D:$AM, 33, FALSE) / VLOOKUP("transport|SO2|Asthma symptoms cough", US_national_yearly!$D:$AM, 10, FALSE), 1)</f>
        <v>1.3023315413578034E-2</v>
      </c>
      <c r="Z6" s="7">
        <f>$B6 * IFERROR(VLOOKUP("transport|SO2|Asthma symptoms cough", US_national_yearly!$D:$AM, 34, FALSE) / VLOOKUP("transport|SO2|Asthma symptoms cough", US_national_yearly!$D:$AM, 10, FALSE), 1)</f>
        <v>1.3023315413578034E-2</v>
      </c>
      <c r="AA6" s="7">
        <f>$B6 * IFERROR(VLOOKUP("transport|SO2|Asthma symptoms cough", US_national_yearly!$D:$AM, 35, FALSE) / VLOOKUP("transport|SO2|Asthma symptoms cough", US_national_yearly!$D:$AM, 10, FALSE), 1)</f>
        <v>1.3023315413578034E-2</v>
      </c>
      <c r="AB6" s="7">
        <f>$B6 * IFERROR(VLOOKUP("transport|SO2|Asthma symptoms cough", US_national_yearly!$D:$AM, 36, FALSE) / VLOOKUP("transport|SO2|Asthma symptoms cough", US_national_yearly!$D:$AM, 10, FALSE), 1)</f>
        <v>1.3023315413578034E-2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1.7537751697300284E-2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1.7537751697300284E-2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1.7537751697300284E-2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1.7537751697300284E-2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1.7537751697300284E-2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1.7537751697300284E-2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1.7537751697300284E-2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1.7537751697300284E-2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1.7537751697300284E-2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1.7537751697300284E-2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1.7537751697300284E-2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1.7537751697300284E-2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1.7537751697300284E-2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1.7537751697300284E-2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1.7537751697300284E-2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1.7537751697300284E-2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1.7537751697300284E-2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1.7537751697300284E-2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1.7537751697300284E-2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1.7537751697300284E-2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1.7537751697300284E-2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1.7537751697300284E-2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1.7537751697300284E-2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1.7537751697300284E-2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1.7537751697300284E-2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1.7537751697300284E-2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1.7537751697300284E-2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2.6794827406141673E-2</v>
      </c>
      <c r="C8" s="7">
        <f>$B8 * IFERROR(VLOOKUP("transport|SO2|Asthma symptoms wheeze", US_national_yearly!$D:$AM, 11, FALSE) / VLOOKUP("transport|SO2|Asthma symptoms wheeze", US_national_yearly!$D:$AM, 10, FALSE), 1)</f>
        <v>2.6794827406141673E-2</v>
      </c>
      <c r="D8" s="7">
        <f>$B8 * IFERROR(VLOOKUP("transport|SO2|Asthma symptoms wheeze", US_national_yearly!$D:$AM, 12, FALSE) / VLOOKUP("transport|SO2|Asthma symptoms wheeze", US_national_yearly!$D:$AM, 10, FALSE), 1)</f>
        <v>2.6794827406141673E-2</v>
      </c>
      <c r="E8" s="7">
        <f>$B8 * IFERROR(VLOOKUP("transport|SO2|Asthma symptoms wheeze", US_national_yearly!$D:$AM, 13, FALSE) / VLOOKUP("transport|SO2|Asthma symptoms wheeze", US_national_yearly!$D:$AM, 10, FALSE), 1)</f>
        <v>2.6794827406141673E-2</v>
      </c>
      <c r="F8" s="7">
        <f>$B8 * IFERROR(VLOOKUP("transport|SO2|Asthma symptoms wheeze", US_national_yearly!$D:$AM, 14, FALSE) / VLOOKUP("transport|SO2|Asthma symptoms wheeze", US_national_yearly!$D:$AM, 10, FALSE), 1)</f>
        <v>2.6794827406141673E-2</v>
      </c>
      <c r="G8" s="7">
        <f>$B8 * IFERROR(VLOOKUP("transport|SO2|Asthma symptoms wheeze", US_national_yearly!$D:$AM, 15, FALSE) / VLOOKUP("transport|SO2|Asthma symptoms wheeze", US_national_yearly!$D:$AM, 10, FALSE), 1)</f>
        <v>2.6794827406141673E-2</v>
      </c>
      <c r="H8" s="7">
        <f>$B8 * IFERROR(VLOOKUP("transport|SO2|Asthma symptoms wheeze", US_national_yearly!$D:$AM, 16, FALSE) / VLOOKUP("transport|SO2|Asthma symptoms wheeze", US_national_yearly!$D:$AM, 10, FALSE), 1)</f>
        <v>2.6794827406141673E-2</v>
      </c>
      <c r="I8" s="7">
        <f>$B8 * IFERROR(VLOOKUP("transport|SO2|Asthma symptoms wheeze", US_national_yearly!$D:$AM, 17, FALSE) / VLOOKUP("transport|SO2|Asthma symptoms wheeze", US_national_yearly!$D:$AM, 10, FALSE), 1)</f>
        <v>2.6794827406141673E-2</v>
      </c>
      <c r="J8" s="7">
        <f>$B8 * IFERROR(VLOOKUP("transport|SO2|Asthma symptoms wheeze", US_national_yearly!$D:$AM, 18, FALSE) / VLOOKUP("transport|SO2|Asthma symptoms wheeze", US_national_yearly!$D:$AM, 10, FALSE), 1)</f>
        <v>2.6794827406141673E-2</v>
      </c>
      <c r="K8" s="7">
        <f>$B8 * IFERROR(VLOOKUP("transport|SO2|Asthma symptoms wheeze", US_national_yearly!$D:$AM, 19, FALSE) / VLOOKUP("transport|SO2|Asthma symptoms wheeze", US_national_yearly!$D:$AM, 10, FALSE), 1)</f>
        <v>2.6794827406141673E-2</v>
      </c>
      <c r="L8" s="7">
        <f>$B8 * IFERROR(VLOOKUP("transport|SO2|Asthma symptoms wheeze", US_national_yearly!$D:$AM, 20, FALSE) / VLOOKUP("transport|SO2|Asthma symptoms wheeze", US_national_yearly!$D:$AM, 10, FALSE), 1)</f>
        <v>2.6794827406141673E-2</v>
      </c>
      <c r="M8" s="7">
        <f>$B8 * IFERROR(VLOOKUP("transport|SO2|Asthma symptoms wheeze", US_national_yearly!$D:$AM, 21, FALSE) / VLOOKUP("transport|SO2|Asthma symptoms wheeze", US_national_yearly!$D:$AM, 10, FALSE), 1)</f>
        <v>2.6794827406141673E-2</v>
      </c>
      <c r="N8" s="7">
        <f>$B8 * IFERROR(VLOOKUP("transport|SO2|Asthma symptoms wheeze", US_national_yearly!$D:$AM, 22, FALSE) / VLOOKUP("transport|SO2|Asthma symptoms wheeze", US_national_yearly!$D:$AM, 10, FALSE), 1)</f>
        <v>2.6794827406141673E-2</v>
      </c>
      <c r="O8" s="7">
        <f>$B8 * IFERROR(VLOOKUP("transport|SO2|Asthma symptoms wheeze", US_national_yearly!$D:$AM, 23, FALSE) / VLOOKUP("transport|SO2|Asthma symptoms wheeze", US_national_yearly!$D:$AM, 10, FALSE), 1)</f>
        <v>2.6794827406141673E-2</v>
      </c>
      <c r="P8" s="7">
        <f>$B8 * IFERROR(VLOOKUP("transport|SO2|Asthma symptoms wheeze", US_national_yearly!$D:$AM, 24, FALSE) / VLOOKUP("transport|SO2|Asthma symptoms wheeze", US_national_yearly!$D:$AM, 10, FALSE), 1)</f>
        <v>2.6794827406141673E-2</v>
      </c>
      <c r="Q8" s="7">
        <f>$B8 * IFERROR(VLOOKUP("transport|SO2|Asthma symptoms wheeze", US_national_yearly!$D:$AM, 25, FALSE) / VLOOKUP("transport|SO2|Asthma symptoms wheeze", US_national_yearly!$D:$AM, 10, FALSE), 1)</f>
        <v>2.6794827406141673E-2</v>
      </c>
      <c r="R8" s="7">
        <f>$B8 * IFERROR(VLOOKUP("transport|SO2|Asthma symptoms wheeze", US_national_yearly!$D:$AM, 26, FALSE) / VLOOKUP("transport|SO2|Asthma symptoms wheeze", US_national_yearly!$D:$AM, 10, FALSE), 1)</f>
        <v>2.6794827406141673E-2</v>
      </c>
      <c r="S8" s="7">
        <f>$B8 * IFERROR(VLOOKUP("transport|SO2|Asthma symptoms wheeze", US_national_yearly!$D:$AM, 27, FALSE) / VLOOKUP("transport|SO2|Asthma symptoms wheeze", US_national_yearly!$D:$AM, 10, FALSE), 1)</f>
        <v>2.6794827406141673E-2</v>
      </c>
      <c r="T8" s="7">
        <f>$B8 * IFERROR(VLOOKUP("transport|SO2|Asthma symptoms wheeze", US_national_yearly!$D:$AM, 28, FALSE) / VLOOKUP("transport|SO2|Asthma symptoms wheeze", US_national_yearly!$D:$AM, 10, FALSE), 1)</f>
        <v>2.6794827406141673E-2</v>
      </c>
      <c r="U8" s="7">
        <f>$B8 * IFERROR(VLOOKUP("transport|SO2|Asthma symptoms wheeze", US_national_yearly!$D:$AM, 29, FALSE) / VLOOKUP("transport|SO2|Asthma symptoms wheeze", US_national_yearly!$D:$AM, 10, FALSE), 1)</f>
        <v>2.6794827406141673E-2</v>
      </c>
      <c r="V8" s="7">
        <f>$B8 * IFERROR(VLOOKUP("transport|SO2|Asthma symptoms wheeze", US_national_yearly!$D:$AM, 30, FALSE) / VLOOKUP("transport|SO2|Asthma symptoms wheeze", US_national_yearly!$D:$AM, 10, FALSE), 1)</f>
        <v>2.6794827406141673E-2</v>
      </c>
      <c r="W8" s="7">
        <f>$B8 * IFERROR(VLOOKUP("transport|SO2|Asthma symptoms wheeze", US_national_yearly!$D:$AM, 31, FALSE) / VLOOKUP("transport|SO2|Asthma symptoms wheeze", US_national_yearly!$D:$AM, 10, FALSE), 1)</f>
        <v>2.6794827406141673E-2</v>
      </c>
      <c r="X8" s="7">
        <f>$B8 * IFERROR(VLOOKUP("transport|SO2|Asthma symptoms wheeze", US_national_yearly!$D:$AM, 32, FALSE) / VLOOKUP("transport|SO2|Asthma symptoms wheeze", US_national_yearly!$D:$AM, 10, FALSE), 1)</f>
        <v>2.6794827406141673E-2</v>
      </c>
      <c r="Y8" s="7">
        <f>$B8 * IFERROR(VLOOKUP("transport|SO2|Asthma symptoms wheeze", US_national_yearly!$D:$AM, 33, FALSE) / VLOOKUP("transport|SO2|Asthma symptoms wheeze", US_national_yearly!$D:$AM, 10, FALSE), 1)</f>
        <v>2.6794827406141673E-2</v>
      </c>
      <c r="Z8" s="7">
        <f>$B8 * IFERROR(VLOOKUP("transport|SO2|Asthma symptoms wheeze", US_national_yearly!$D:$AM, 34, FALSE) / VLOOKUP("transport|SO2|Asthma symptoms wheeze", US_national_yearly!$D:$AM, 10, FALSE), 1)</f>
        <v>2.6794827406141673E-2</v>
      </c>
      <c r="AA8" s="7">
        <f>$B8 * IFERROR(VLOOKUP("transport|SO2|Asthma symptoms wheeze", US_national_yearly!$D:$AM, 35, FALSE) / VLOOKUP("transport|SO2|Asthma symptoms wheeze", US_national_yearly!$D:$AM, 10, FALSE), 1)</f>
        <v>2.6794827406141673E-2</v>
      </c>
      <c r="AB8" s="7">
        <f>$B8 * IFERROR(VLOOKUP("transport|SO2|Asthma symptoms wheeze", US_national_yearly!$D:$AM, 36, FALSE) / VLOOKUP("transport|SO2|Asthma symptoms wheeze", US_national_yearly!$D:$AM, 10, FALSE), 1)</f>
        <v>2.6794827406141673E-2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2.9061206351486171E-4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2.9232610790740966E-4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2.9404015229995761E-4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2.9575419669250551E-4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2.9746824108505346E-4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2.9933683858250344E-4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3.0120543607995337E-4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3.0304809569537528E-4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3.0489075531079729E-4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3.0673341492621915E-4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3.0857607454164111E-4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3.1041873415706296E-4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3.1176381879600268E-4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3.1310890343494235E-4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3.1445398807388201E-4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3.1579907271282173E-4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3.1714415735176139E-4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3.1842726546445584E-4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3.1971037357715024E-4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3.2099348168984464E-4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3.2227658980253909E-4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3.2355969791523354E-4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3.2477715685286332E-4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3.2599461579049311E-4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3.272120747281229E-4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3.2842953366575268E-4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3.2964699260338258E-4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1.995189096967589E-3</v>
      </c>
      <c r="C13" s="7">
        <f>$B13 * IFERROR(VLOOKUP("transport|SO2|Non-fatal heart attacks", US_national_yearly!$D:$AM, 11, FALSE) / VLOOKUP("transport|SO2|Non-fatal heart attacks", US_national_yearly!$D:$AM, 10, FALSE), 1)</f>
        <v>2.0537606019304026E-3</v>
      </c>
      <c r="D13" s="7">
        <f>$B13 * IFERROR(VLOOKUP("transport|SO2|Non-fatal heart attacks", US_national_yearly!$D:$AM, 12, FALSE) / VLOOKUP("transport|SO2|Non-fatal heart attacks", US_national_yearly!$D:$AM, 10, FALSE), 1)</f>
        <v>2.1123321068932167E-3</v>
      </c>
      <c r="E13" s="7">
        <f>$B13 * IFERROR(VLOOKUP("transport|SO2|Non-fatal heart attacks", US_national_yearly!$D:$AM, 13, FALSE) / VLOOKUP("transport|SO2|Non-fatal heart attacks", US_national_yearly!$D:$AM, 10, FALSE), 1)</f>
        <v>2.1709036118560303E-3</v>
      </c>
      <c r="F13" s="7">
        <f>$B13 * IFERROR(VLOOKUP("transport|SO2|Non-fatal heart attacks", US_national_yearly!$D:$AM, 14, FALSE) / VLOOKUP("transport|SO2|Non-fatal heart attacks", US_national_yearly!$D:$AM, 10, FALSE), 1)</f>
        <v>2.2294751168188435E-3</v>
      </c>
      <c r="G13" s="7">
        <f>$B13 * IFERROR(VLOOKUP("transport|SO2|Non-fatal heart attacks", US_national_yearly!$D:$AM, 15, FALSE) / VLOOKUP("transport|SO2|Non-fatal heart attacks", US_national_yearly!$D:$AM, 10, FALSE), 1)</f>
        <v>2.2847134788377536E-3</v>
      </c>
      <c r="H13" s="7">
        <f>$B13 * IFERROR(VLOOKUP("transport|SO2|Non-fatal heart attacks", US_national_yearly!$D:$AM, 16, FALSE) / VLOOKUP("transport|SO2|Non-fatal heart attacks", US_national_yearly!$D:$AM, 10, FALSE), 1)</f>
        <v>2.3399518408566636E-3</v>
      </c>
      <c r="I13" s="7">
        <f>$B13 * IFERROR(VLOOKUP("transport|SO2|Non-fatal heart attacks", US_national_yearly!$D:$AM, 17, FALSE) / VLOOKUP("transport|SO2|Non-fatal heart attacks", US_national_yearly!$D:$AM, 10, FALSE), 1)</f>
        <v>2.3844014058562613E-3</v>
      </c>
      <c r="J13" s="7">
        <f>$B13 * IFERROR(VLOOKUP("transport|SO2|Non-fatal heart attacks", US_national_yearly!$D:$AM, 18, FALSE) / VLOOKUP("transport|SO2|Non-fatal heart attacks", US_national_yearly!$D:$AM, 10, FALSE), 1)</f>
        <v>2.4288509708558594E-3</v>
      </c>
      <c r="K13" s="7">
        <f>$B13 * IFERROR(VLOOKUP("transport|SO2|Non-fatal heart attacks", US_national_yearly!$D:$AM, 19, FALSE) / VLOOKUP("transport|SO2|Non-fatal heart attacks", US_national_yearly!$D:$AM, 10, FALSE), 1)</f>
        <v>2.4733005358554571E-3</v>
      </c>
      <c r="L13" s="7">
        <f>$B13 * IFERROR(VLOOKUP("transport|SO2|Non-fatal heart attacks", US_national_yearly!$D:$AM, 20, FALSE) / VLOOKUP("transport|SO2|Non-fatal heart attacks", US_national_yearly!$D:$AM, 10, FALSE), 1)</f>
        <v>2.5177501008550557E-3</v>
      </c>
      <c r="M13" s="7">
        <f>$B13 * IFERROR(VLOOKUP("transport|SO2|Non-fatal heart attacks", US_national_yearly!$D:$AM, 21, FALSE) / VLOOKUP("transport|SO2|Non-fatal heart attacks", US_national_yearly!$D:$AM, 10, FALSE), 1)</f>
        <v>2.5621996658546538E-3</v>
      </c>
      <c r="N13" s="7">
        <f>$B13 * IFERROR(VLOOKUP("transport|SO2|Non-fatal heart attacks", US_national_yearly!$D:$AM, 22, FALSE) / VLOOKUP("transport|SO2|Non-fatal heart attacks", US_national_yearly!$D:$AM, 10, FALSE), 1)</f>
        <v>2.5910613054308867E-3</v>
      </c>
      <c r="O13" s="7">
        <f>$B13 * IFERROR(VLOOKUP("transport|SO2|Non-fatal heart attacks", US_national_yearly!$D:$AM, 23, FALSE) / VLOOKUP("transport|SO2|Non-fatal heart attacks", US_national_yearly!$D:$AM, 10, FALSE), 1)</f>
        <v>2.619922945007121E-3</v>
      </c>
      <c r="P13" s="7">
        <f>$B13 * IFERROR(VLOOKUP("transport|SO2|Non-fatal heart attacks", US_national_yearly!$D:$AM, 24, FALSE) / VLOOKUP("transport|SO2|Non-fatal heart attacks", US_national_yearly!$D:$AM, 10, FALSE), 1)</f>
        <v>2.6487845845833548E-3</v>
      </c>
      <c r="Q13" s="7">
        <f>$B13 * IFERROR(VLOOKUP("transport|SO2|Non-fatal heart attacks", US_national_yearly!$D:$AM, 25, FALSE) / VLOOKUP("transport|SO2|Non-fatal heart attacks", US_national_yearly!$D:$AM, 10, FALSE), 1)</f>
        <v>2.6776462241595886E-3</v>
      </c>
      <c r="R13" s="7">
        <f>$B13 * IFERROR(VLOOKUP("transport|SO2|Non-fatal heart attacks", US_national_yearly!$D:$AM, 26, FALSE) / VLOOKUP("transport|SO2|Non-fatal heart attacks", US_national_yearly!$D:$AM, 10, FALSE), 1)</f>
        <v>2.7065078637358219E-3</v>
      </c>
      <c r="S13" s="7">
        <f>$B13 * IFERROR(VLOOKUP("transport|SO2|Non-fatal heart attacks", US_national_yearly!$D:$AM, 27, FALSE) / VLOOKUP("transport|SO2|Non-fatal heart attacks", US_national_yearly!$D:$AM, 10, FALSE), 1)</f>
        <v>2.7215763634179393E-3</v>
      </c>
      <c r="T13" s="7">
        <f>$B13 * IFERROR(VLOOKUP("transport|SO2|Non-fatal heart attacks", US_national_yearly!$D:$AM, 28, FALSE) / VLOOKUP("transport|SO2|Non-fatal heart attacks", US_national_yearly!$D:$AM, 10, FALSE), 1)</f>
        <v>2.736644863100057E-3</v>
      </c>
      <c r="U13" s="7">
        <f>$B13 * IFERROR(VLOOKUP("transport|SO2|Non-fatal heart attacks", US_national_yearly!$D:$AM, 29, FALSE) / VLOOKUP("transport|SO2|Non-fatal heart attacks", US_national_yearly!$D:$AM, 10, FALSE), 1)</f>
        <v>2.7517133627821743E-3</v>
      </c>
      <c r="V13" s="7">
        <f>$B13 * IFERROR(VLOOKUP("transport|SO2|Non-fatal heart attacks", US_national_yearly!$D:$AM, 30, FALSE) / VLOOKUP("transport|SO2|Non-fatal heart attacks", US_national_yearly!$D:$AM, 10, FALSE), 1)</f>
        <v>2.7667818624642912E-3</v>
      </c>
      <c r="W13" s="7">
        <f>$B13 * IFERROR(VLOOKUP("transport|SO2|Non-fatal heart attacks", US_national_yearly!$D:$AM, 31, FALSE) / VLOOKUP("transport|SO2|Non-fatal heart attacks", US_national_yearly!$D:$AM, 10, FALSE), 1)</f>
        <v>2.7818503621464094E-3</v>
      </c>
      <c r="X13" s="7">
        <f>$B13 * IFERROR(VLOOKUP("transport|SO2|Non-fatal heart attacks", US_national_yearly!$D:$AM, 32, FALSE) / VLOOKUP("transport|SO2|Non-fatal heart attacks", US_national_yearly!$D:$AM, 10, FALSE), 1)</f>
        <v>2.793225761306709E-3</v>
      </c>
      <c r="Y13" s="7">
        <f>$B13 * IFERROR(VLOOKUP("transport|SO2|Non-fatal heart attacks", US_national_yearly!$D:$AM, 33, FALSE) / VLOOKUP("transport|SO2|Non-fatal heart attacks", US_national_yearly!$D:$AM, 10, FALSE), 1)</f>
        <v>2.8046011604670089E-3</v>
      </c>
      <c r="Z13" s="7">
        <f>$B13 * IFERROR(VLOOKUP("transport|SO2|Non-fatal heart attacks", US_national_yearly!$D:$AM, 34, FALSE) / VLOOKUP("transport|SO2|Non-fatal heart attacks", US_national_yearly!$D:$AM, 10, FALSE), 1)</f>
        <v>2.8159765596273089E-3</v>
      </c>
      <c r="AA13" s="7">
        <f>$B13 * IFERROR(VLOOKUP("transport|SO2|Non-fatal heart attacks", US_national_yearly!$D:$AM, 35, FALSE) / VLOOKUP("transport|SO2|Non-fatal heart attacks", US_national_yearly!$D:$AM, 10, FALSE), 1)</f>
        <v>2.8273519587876089E-3</v>
      </c>
      <c r="AB13" s="7">
        <f>$B13 * IFERROR(VLOOKUP("transport|SO2|Non-fatal heart attacks", US_national_yearly!$D:$AM, 36, FALSE) / VLOOKUP("transport|SO2|Non-fatal heart attacks", US_national_yearly!$D:$AM, 10, FALSE), 1)</f>
        <v>2.8387273579479088E-3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1.7854258072936116</v>
      </c>
      <c r="C14" s="7">
        <f>$B14 * IFERROR(VLOOKUP("transport|SO2|Minor restricted activity days", US_national_yearly!$D:$AM, 11, FALSE) / VLOOKUP("transport|SO2|Minor restricted activity days", US_national_yearly!$D:$AM, 10, FALSE), 1)</f>
        <v>1.7899262708636274</v>
      </c>
      <c r="D14" s="7">
        <f>$B14 * IFERROR(VLOOKUP("transport|SO2|Minor restricted activity days", US_national_yearly!$D:$AM, 12, FALSE) / VLOOKUP("transport|SO2|Minor restricted activity days", US_national_yearly!$D:$AM, 10, FALSE), 1)</f>
        <v>1.7944267344336431</v>
      </c>
      <c r="E14" s="7">
        <f>$B14 * IFERROR(VLOOKUP("transport|SO2|Minor restricted activity days", US_national_yearly!$D:$AM, 13, FALSE) / VLOOKUP("transport|SO2|Minor restricted activity days", US_national_yearly!$D:$AM, 10, FALSE), 1)</f>
        <v>1.7989271980036592</v>
      </c>
      <c r="F14" s="7">
        <f>$B14 * IFERROR(VLOOKUP("transport|SO2|Minor restricted activity days", US_national_yearly!$D:$AM, 14, FALSE) / VLOOKUP("transport|SO2|Minor restricted activity days", US_national_yearly!$D:$AM, 10, FALSE), 1)</f>
        <v>1.8034276615736746</v>
      </c>
      <c r="G14" s="7">
        <f>$B14 * IFERROR(VLOOKUP("transport|SO2|Minor restricted activity days", US_national_yearly!$D:$AM, 15, FALSE) / VLOOKUP("transport|SO2|Minor restricted activity days", US_national_yearly!$D:$AM, 10, FALSE), 1)</f>
        <v>1.8100519018207282</v>
      </c>
      <c r="H14" s="7">
        <f>$B14 * IFERROR(VLOOKUP("transport|SO2|Minor restricted activity days", US_national_yearly!$D:$AM, 16, FALSE) / VLOOKUP("transport|SO2|Minor restricted activity days", US_national_yearly!$D:$AM, 10, FALSE), 1)</f>
        <v>1.8166761420677815</v>
      </c>
      <c r="I14" s="7">
        <f>$B14 * IFERROR(VLOOKUP("transport|SO2|Minor restricted activity days", US_national_yearly!$D:$AM, 17, FALSE) / VLOOKUP("transport|SO2|Minor restricted activity days", US_national_yearly!$D:$AM, 10, FALSE), 1)</f>
        <v>1.8279731663575971</v>
      </c>
      <c r="J14" s="7">
        <f>$B14 * IFERROR(VLOOKUP("transport|SO2|Minor restricted activity days", US_national_yearly!$D:$AM, 18, FALSE) / VLOOKUP("transport|SO2|Minor restricted activity days", US_national_yearly!$D:$AM, 10, FALSE), 1)</f>
        <v>1.8392701906474129</v>
      </c>
      <c r="K14" s="7">
        <f>$B14 * IFERROR(VLOOKUP("transport|SO2|Minor restricted activity days", US_national_yearly!$D:$AM, 19, FALSE) / VLOOKUP("transport|SO2|Minor restricted activity days", US_national_yearly!$D:$AM, 10, FALSE), 1)</f>
        <v>1.850567214937229</v>
      </c>
      <c r="L14" s="7">
        <f>$B14 * IFERROR(VLOOKUP("transport|SO2|Minor restricted activity days", US_national_yearly!$D:$AM, 20, FALSE) / VLOOKUP("transport|SO2|Minor restricted activity days", US_national_yearly!$D:$AM, 10, FALSE), 1)</f>
        <v>1.8618642392270448</v>
      </c>
      <c r="M14" s="7">
        <f>$B14 * IFERROR(VLOOKUP("transport|SO2|Minor restricted activity days", US_national_yearly!$D:$AM, 21, FALSE) / VLOOKUP("transport|SO2|Minor restricted activity days", US_national_yearly!$D:$AM, 10, FALSE), 1)</f>
        <v>1.8731612635168606</v>
      </c>
      <c r="N14" s="7">
        <f>$B14 * IFERROR(VLOOKUP("transport|SO2|Minor restricted activity days", US_national_yearly!$D:$AM, 22, FALSE) / VLOOKUP("transport|SO2|Minor restricted activity days", US_national_yearly!$D:$AM, 10, FALSE), 1)</f>
        <v>1.8886137800363521</v>
      </c>
      <c r="O14" s="7">
        <f>$B14 * IFERROR(VLOOKUP("transport|SO2|Minor restricted activity days", US_national_yearly!$D:$AM, 23, FALSE) / VLOOKUP("transport|SO2|Minor restricted activity days", US_national_yearly!$D:$AM, 10, FALSE), 1)</f>
        <v>1.9040662965558435</v>
      </c>
      <c r="P14" s="7">
        <f>$B14 * IFERROR(VLOOKUP("transport|SO2|Minor restricted activity days", US_national_yearly!$D:$AM, 24, FALSE) / VLOOKUP("transport|SO2|Minor restricted activity days", US_national_yearly!$D:$AM, 10, FALSE), 1)</f>
        <v>1.9195188130753351</v>
      </c>
      <c r="Q14" s="7">
        <f>$B14 * IFERROR(VLOOKUP("transport|SO2|Minor restricted activity days", US_national_yearly!$D:$AM, 25, FALSE) / VLOOKUP("transport|SO2|Minor restricted activity days", US_national_yearly!$D:$AM, 10, FALSE), 1)</f>
        <v>1.9349713295948265</v>
      </c>
      <c r="R14" s="7">
        <f>$B14 * IFERROR(VLOOKUP("transport|SO2|Minor restricted activity days", US_national_yearly!$D:$AM, 26, FALSE) / VLOOKUP("transport|SO2|Minor restricted activity days", US_national_yearly!$D:$AM, 10, FALSE), 1)</f>
        <v>1.9504238461143182</v>
      </c>
      <c r="S14" s="7">
        <f>$B14 * IFERROR(VLOOKUP("transport|SO2|Minor restricted activity days", US_national_yearly!$D:$AM, 27, FALSE) / VLOOKUP("transport|SO2|Minor restricted activity days", US_national_yearly!$D:$AM, 10, FALSE), 1)</f>
        <v>1.9661791991043807</v>
      </c>
      <c r="T14" s="7">
        <f>$B14 * IFERROR(VLOOKUP("transport|SO2|Minor restricted activity days", US_national_yearly!$D:$AM, 28, FALSE) / VLOOKUP("transport|SO2|Minor restricted activity days", US_national_yearly!$D:$AM, 10, FALSE), 1)</f>
        <v>1.9819345520944434</v>
      </c>
      <c r="U14" s="7">
        <f>$B14 * IFERROR(VLOOKUP("transport|SO2|Minor restricted activity days", US_national_yearly!$D:$AM, 29, FALSE) / VLOOKUP("transport|SO2|Minor restricted activity days", US_national_yearly!$D:$AM, 10, FALSE), 1)</f>
        <v>1.9976899050845058</v>
      </c>
      <c r="V14" s="7">
        <f>$B14 * IFERROR(VLOOKUP("transport|SO2|Minor restricted activity days", US_national_yearly!$D:$AM, 30, FALSE) / VLOOKUP("transport|SO2|Minor restricted activity days", US_national_yearly!$D:$AM, 10, FALSE), 1)</f>
        <v>2.0134452580745688</v>
      </c>
      <c r="W14" s="7">
        <f>$B14 * IFERROR(VLOOKUP("transport|SO2|Minor restricted activity days", US_national_yearly!$D:$AM, 31, FALSE) / VLOOKUP("transport|SO2|Minor restricted activity days", US_national_yearly!$D:$AM, 10, FALSE), 1)</f>
        <v>2.0292006110646317</v>
      </c>
      <c r="X14" s="7">
        <f>$B14 * IFERROR(VLOOKUP("transport|SO2|Minor restricted activity days", US_national_yearly!$D:$AM, 32, FALSE) / VLOOKUP("transport|SO2|Minor restricted activity days", US_national_yearly!$D:$AM, 10, FALSE), 1)</f>
        <v>2.0430561884939595</v>
      </c>
      <c r="Y14" s="7">
        <f>$B14 * IFERROR(VLOOKUP("transport|SO2|Minor restricted activity days", US_national_yearly!$D:$AM, 33, FALSE) / VLOOKUP("transport|SO2|Minor restricted activity days", US_national_yearly!$D:$AM, 10, FALSE), 1)</f>
        <v>2.0569117659232878</v>
      </c>
      <c r="Z14" s="7">
        <f>$B14 * IFERROR(VLOOKUP("transport|SO2|Minor restricted activity days", US_national_yearly!$D:$AM, 34, FALSE) / VLOOKUP("transport|SO2|Minor restricted activity days", US_national_yearly!$D:$AM, 10, FALSE), 1)</f>
        <v>2.0707673433526166</v>
      </c>
      <c r="AA14" s="7">
        <f>$B14 * IFERROR(VLOOKUP("transport|SO2|Minor restricted activity days", US_national_yearly!$D:$AM, 35, FALSE) / VLOOKUP("transport|SO2|Minor restricted activity days", US_national_yearly!$D:$AM, 10, FALSE), 1)</f>
        <v>2.0846229207819444</v>
      </c>
      <c r="AB14" s="7">
        <f>$B14 * IFERROR(VLOOKUP("transport|SO2|Minor restricted activity days", US_national_yearly!$D:$AM, 36, FALSE) / VLOOKUP("transport|SO2|Minor restricted activity days", US_national_yearly!$D:$AM, 10, FALSE), 1)</f>
        <v>2.0984784982112732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0.30469484042969347</v>
      </c>
      <c r="C15" s="7">
        <f>$B15 * IFERROR(VLOOKUP("transport|SO2|Work loss days", US_national_yearly!$D:$AM, 11, FALSE) / VLOOKUP("transport|SO2|Work loss days", US_national_yearly!$D:$AM, 10, FALSE), 1)</f>
        <v>0.30568200328572437</v>
      </c>
      <c r="D15" s="7">
        <f>$B15 * IFERROR(VLOOKUP("transport|SO2|Work loss days", US_national_yearly!$D:$AM, 12, FALSE) / VLOOKUP("transport|SO2|Work loss days", US_national_yearly!$D:$AM, 10, FALSE), 1)</f>
        <v>0.30666916614175527</v>
      </c>
      <c r="E15" s="7">
        <f>$B15 * IFERROR(VLOOKUP("transport|SO2|Work loss days", US_national_yearly!$D:$AM, 13, FALSE) / VLOOKUP("transport|SO2|Work loss days", US_national_yearly!$D:$AM, 10, FALSE), 1)</f>
        <v>0.30765632899778617</v>
      </c>
      <c r="F15" s="7">
        <f>$B15 * IFERROR(VLOOKUP("transport|SO2|Work loss days", US_national_yearly!$D:$AM, 14, FALSE) / VLOOKUP("transport|SO2|Work loss days", US_national_yearly!$D:$AM, 10, FALSE), 1)</f>
        <v>0.30864349185381712</v>
      </c>
      <c r="G15" s="7">
        <f>$B15 * IFERROR(VLOOKUP("transport|SO2|Work loss days", US_national_yearly!$D:$AM, 15, FALSE) / VLOOKUP("transport|SO2|Work loss days", US_national_yearly!$D:$AM, 10, FALSE), 1)</f>
        <v>0.30993334091231711</v>
      </c>
      <c r="H15" s="7">
        <f>$B15 * IFERROR(VLOOKUP("transport|SO2|Work loss days", US_national_yearly!$D:$AM, 16, FALSE) / VLOOKUP("transport|SO2|Work loss days", US_national_yearly!$D:$AM, 10, FALSE), 1)</f>
        <v>0.31122318997081705</v>
      </c>
      <c r="I15" s="7">
        <f>$B15 * IFERROR(VLOOKUP("transport|SO2|Work loss days", US_national_yearly!$D:$AM, 17, FALSE) / VLOOKUP("transport|SO2|Work loss days", US_national_yearly!$D:$AM, 10, FALSE), 1)</f>
        <v>0.31311006599365826</v>
      </c>
      <c r="J15" s="7">
        <f>$B15 * IFERROR(VLOOKUP("transport|SO2|Work loss days", US_national_yearly!$D:$AM, 18, FALSE) / VLOOKUP("transport|SO2|Work loss days", US_national_yearly!$D:$AM, 10, FALSE), 1)</f>
        <v>0.31499694201649936</v>
      </c>
      <c r="K15" s="7">
        <f>$B15 * IFERROR(VLOOKUP("transport|SO2|Work loss days", US_national_yearly!$D:$AM, 19, FALSE) / VLOOKUP("transport|SO2|Work loss days", US_national_yearly!$D:$AM, 10, FALSE), 1)</f>
        <v>0.31688381803934051</v>
      </c>
      <c r="L15" s="7">
        <f>$B15 * IFERROR(VLOOKUP("transport|SO2|Work loss days", US_national_yearly!$D:$AM, 20, FALSE) / VLOOKUP("transport|SO2|Work loss days", US_national_yearly!$D:$AM, 10, FALSE), 1)</f>
        <v>0.31877069406218167</v>
      </c>
      <c r="M15" s="7">
        <f>$B15 * IFERROR(VLOOKUP("transport|SO2|Work loss days", US_national_yearly!$D:$AM, 21, FALSE) / VLOOKUP("transport|SO2|Work loss days", US_national_yearly!$D:$AM, 10, FALSE), 1)</f>
        <v>0.32065757008502288</v>
      </c>
      <c r="N15" s="7">
        <f>$B15 * IFERROR(VLOOKUP("transport|SO2|Work loss days", US_national_yearly!$D:$AM, 22, FALSE) / VLOOKUP("transport|SO2|Work loss days", US_national_yearly!$D:$AM, 10, FALSE), 1)</f>
        <v>0.32302340684831526</v>
      </c>
      <c r="O15" s="7">
        <f>$B15 * IFERROR(VLOOKUP("transport|SO2|Work loss days", US_national_yearly!$D:$AM, 23, FALSE) / VLOOKUP("transport|SO2|Work loss days", US_national_yearly!$D:$AM, 10, FALSE), 1)</f>
        <v>0.3253892436116077</v>
      </c>
      <c r="P15" s="7">
        <f>$B15 * IFERROR(VLOOKUP("transport|SO2|Work loss days", US_national_yearly!$D:$AM, 24, FALSE) / VLOOKUP("transport|SO2|Work loss days", US_national_yearly!$D:$AM, 10, FALSE), 1)</f>
        <v>0.32775508037490003</v>
      </c>
      <c r="Q15" s="7">
        <f>$B15 * IFERROR(VLOOKUP("transport|SO2|Work loss days", US_national_yearly!$D:$AM, 25, FALSE) / VLOOKUP("transport|SO2|Work loss days", US_national_yearly!$D:$AM, 10, FALSE), 1)</f>
        <v>0.33012091713819247</v>
      </c>
      <c r="R15" s="7">
        <f>$B15 * IFERROR(VLOOKUP("transport|SO2|Work loss days", US_national_yearly!$D:$AM, 26, FALSE) / VLOOKUP("transport|SO2|Work loss days", US_national_yearly!$D:$AM, 10, FALSE), 1)</f>
        <v>0.33248675390148491</v>
      </c>
      <c r="S15" s="7">
        <f>$B15 * IFERROR(VLOOKUP("transport|SO2|Work loss days", US_national_yearly!$D:$AM, 27, FALSE) / VLOOKUP("transport|SO2|Work loss days", US_national_yearly!$D:$AM, 10, FALSE), 1)</f>
        <v>0.3351305686844</v>
      </c>
      <c r="T15" s="7">
        <f>$B15 * IFERROR(VLOOKUP("transport|SO2|Work loss days", US_national_yearly!$D:$AM, 28, FALSE) / VLOOKUP("transport|SO2|Work loss days", US_national_yearly!$D:$AM, 10, FALSE), 1)</f>
        <v>0.33777438346731514</v>
      </c>
      <c r="U15" s="7">
        <f>$B15 * IFERROR(VLOOKUP("transport|SO2|Work loss days", US_national_yearly!$D:$AM, 29, FALSE) / VLOOKUP("transport|SO2|Work loss days", US_national_yearly!$D:$AM, 10, FALSE), 1)</f>
        <v>0.34041819825023023</v>
      </c>
      <c r="V15" s="7">
        <f>$B15 * IFERROR(VLOOKUP("transport|SO2|Work loss days", US_national_yearly!$D:$AM, 30, FALSE) / VLOOKUP("transport|SO2|Work loss days", US_national_yearly!$D:$AM, 10, FALSE), 1)</f>
        <v>0.34306201303314532</v>
      </c>
      <c r="W15" s="7">
        <f>$B15 * IFERROR(VLOOKUP("transport|SO2|Work loss days", US_national_yearly!$D:$AM, 31, FALSE) / VLOOKUP("transport|SO2|Work loss days", US_national_yearly!$D:$AM, 10, FALSE), 1)</f>
        <v>0.34570582781606046</v>
      </c>
      <c r="X15" s="7">
        <f>$B15 * IFERROR(VLOOKUP("transport|SO2|Work loss days", US_national_yearly!$D:$AM, 32, FALSE) / VLOOKUP("transport|SO2|Work loss days", US_national_yearly!$D:$AM, 10, FALSE), 1)</f>
        <v>0.34807960907663682</v>
      </c>
      <c r="Y15" s="7">
        <f>$B15 * IFERROR(VLOOKUP("transport|SO2|Work loss days", US_national_yearly!$D:$AM, 33, FALSE) / VLOOKUP("transport|SO2|Work loss days", US_national_yearly!$D:$AM, 10, FALSE), 1)</f>
        <v>0.35045339033721329</v>
      </c>
      <c r="Z15" s="7">
        <f>$B15 * IFERROR(VLOOKUP("transport|SO2|Work loss days", US_national_yearly!$D:$AM, 34, FALSE) / VLOOKUP("transport|SO2|Work loss days", US_national_yearly!$D:$AM, 10, FALSE), 1)</f>
        <v>0.35282717159778976</v>
      </c>
      <c r="AA15" s="7">
        <f>$B15 * IFERROR(VLOOKUP("transport|SO2|Work loss days", US_national_yearly!$D:$AM, 35, FALSE) / VLOOKUP("transport|SO2|Work loss days", US_national_yearly!$D:$AM, 10, FALSE), 1)</f>
        <v>0.35520095285836623</v>
      </c>
      <c r="AB15" s="7">
        <f>$B15 * IFERROR(VLOOKUP("transport|SO2|Work loss days", US_national_yearly!$D:$AM, 36, FALSE) / VLOOKUP("transport|SO2|Work loss days", US_national_yearly!$D:$AM, 10, FALSE), 1)</f>
        <v>0.35757473411894264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5.1587638997605066E-4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5.3147846751720545E-4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5.4708054505836034E-4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5.6268262259951513E-4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5.7828470014067014E-4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5.9323000689940502E-4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6.0817531365814012E-4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6.2098052499922219E-4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6.3378573634030437E-4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6.4659094768138655E-4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6.5939615902246872E-4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6.7220137036355068E-4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6.8080355548859209E-4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6.8940574061363339E-4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6.9800792573867468E-4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7.0661011086371587E-4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7.1521229598875728E-4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7.1973643288837609E-4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7.2426056978799479E-4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7.287847066876136E-4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7.333088435872323E-4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7.3783298048685111E-4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7.4087018314410483E-4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7.4390738580135845E-4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7.4694458845861217E-4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7.49981791115866E-4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7.5301899377311961E-4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8.906448307801974E-3</v>
      </c>
      <c r="C2" s="7">
        <f>$B2 * IFERROR(VLOOKUP("electricity|PM25|Premature mortality", US_national_yearly!$D:$AM, 11, FALSE) / VLOOKUP("electricity|PM25|Premature mortality", US_national_yearly!$D:$AM, 10, FALSE), 1)</f>
        <v>9.0167656939416294E-3</v>
      </c>
      <c r="D2" s="7">
        <f>$B2 * IFERROR(VLOOKUP("electricity|PM25|Premature mortality", US_national_yearly!$D:$AM, 12, FALSE) / VLOOKUP("electricity|PM25|Premature mortality", US_national_yearly!$D:$AM, 10, FALSE), 1)</f>
        <v>9.1270830800812847E-3</v>
      </c>
      <c r="E2" s="7">
        <f>$B2 * IFERROR(VLOOKUP("electricity|PM25|Premature mortality", US_national_yearly!$D:$AM, 13, FALSE) / VLOOKUP("electricity|PM25|Premature mortality", US_national_yearly!$D:$AM, 10, FALSE), 1)</f>
        <v>9.2374004662209401E-3</v>
      </c>
      <c r="F2" s="7">
        <f>$B2 * IFERROR(VLOOKUP("electricity|PM25|Premature mortality", US_national_yearly!$D:$AM, 14, FALSE) / VLOOKUP("electricity|PM25|Premature mortality", US_national_yearly!$D:$AM, 10, FALSE), 1)</f>
        <v>9.3477178523605972E-3</v>
      </c>
      <c r="G2" s="7">
        <f>$B2 * IFERROR(VLOOKUP("electricity|PM25|Premature mortality", US_national_yearly!$D:$AM, 15, FALSE) / VLOOKUP("electricity|PM25|Premature mortality", US_national_yearly!$D:$AM, 10, FALSE), 1)</f>
        <v>9.5643870656022603E-3</v>
      </c>
      <c r="H2" s="7">
        <f>$B2 * IFERROR(VLOOKUP("electricity|PM25|Premature mortality", US_national_yearly!$D:$AM, 16, FALSE) / VLOOKUP("electricity|PM25|Premature mortality", US_national_yearly!$D:$AM, 10, FALSE), 1)</f>
        <v>9.7810562788439269E-3</v>
      </c>
      <c r="I2" s="7">
        <f>$B2 * IFERROR(VLOOKUP("electricity|PM25|Premature mortality", US_national_yearly!$D:$AM, 17, FALSE) / VLOOKUP("electricity|PM25|Premature mortality", US_national_yearly!$D:$AM, 10, FALSE), 1)</f>
        <v>9.9266381636900665E-3</v>
      </c>
      <c r="J2" s="7">
        <f>$B2 * IFERROR(VLOOKUP("electricity|PM25|Premature mortality", US_national_yearly!$D:$AM, 18, FALSE) / VLOOKUP("electricity|PM25|Premature mortality", US_national_yearly!$D:$AM, 10, FALSE), 1)</f>
        <v>1.0072220048536206E-2</v>
      </c>
      <c r="K2" s="7">
        <f>$B2 * IFERROR(VLOOKUP("electricity|PM25|Premature mortality", US_national_yearly!$D:$AM, 19, FALSE) / VLOOKUP("electricity|PM25|Premature mortality", US_national_yearly!$D:$AM, 10, FALSE), 1)</f>
        <v>1.0217801933382346E-2</v>
      </c>
      <c r="L2" s="7">
        <f>$B2 * IFERROR(VLOOKUP("electricity|PM25|Premature mortality", US_national_yearly!$D:$AM, 20, FALSE) / VLOOKUP("electricity|PM25|Premature mortality", US_national_yearly!$D:$AM, 10, FALSE), 1)</f>
        <v>1.0363383818228485E-2</v>
      </c>
      <c r="M2" s="7">
        <f>$B2 * IFERROR(VLOOKUP("electricity|PM25|Premature mortality", US_national_yearly!$D:$AM, 21, FALSE) / VLOOKUP("electricity|PM25|Premature mortality", US_national_yearly!$D:$AM, 10, FALSE), 1)</f>
        <v>1.0508965703074625E-2</v>
      </c>
      <c r="N2" s="7">
        <f>$B2 * IFERROR(VLOOKUP("electricity|PM25|Premature mortality", US_national_yearly!$D:$AM, 22, FALSE) / VLOOKUP("electricity|PM25|Premature mortality", US_national_yearly!$D:$AM, 10, FALSE), 1)</f>
        <v>1.0625010947568559E-2</v>
      </c>
      <c r="O2" s="7">
        <f>$B2 * IFERROR(VLOOKUP("electricity|PM25|Premature mortality", US_national_yearly!$D:$AM, 23, FALSE) / VLOOKUP("electricity|PM25|Premature mortality", US_national_yearly!$D:$AM, 10, FALSE), 1)</f>
        <v>1.074105619206249E-2</v>
      </c>
      <c r="P2" s="7">
        <f>$B2 * IFERROR(VLOOKUP("electricity|PM25|Premature mortality", US_national_yearly!$D:$AM, 24, FALSE) / VLOOKUP("electricity|PM25|Premature mortality", US_national_yearly!$D:$AM, 10, FALSE), 1)</f>
        <v>1.0857101436556424E-2</v>
      </c>
      <c r="Q2" s="7">
        <f>$B2 * IFERROR(VLOOKUP("electricity|PM25|Premature mortality", US_national_yearly!$D:$AM, 25, FALSE) / VLOOKUP("electricity|PM25|Premature mortality", US_national_yearly!$D:$AM, 10, FALSE), 1)</f>
        <v>1.0973146681050356E-2</v>
      </c>
      <c r="R2" s="7">
        <f>$B2 * IFERROR(VLOOKUP("electricity|PM25|Premature mortality", US_national_yearly!$D:$AM, 26, FALSE) / VLOOKUP("electricity|PM25|Premature mortality", US_national_yearly!$D:$AM, 10, FALSE), 1)</f>
        <v>1.108919192554429E-2</v>
      </c>
      <c r="S2" s="7">
        <f>$B2 * IFERROR(VLOOKUP("electricity|PM25|Premature mortality", US_national_yearly!$D:$AM, 27, FALSE) / VLOOKUP("electricity|PM25|Premature mortality", US_national_yearly!$D:$AM, 10, FALSE), 1)</f>
        <v>1.1155593636417003E-2</v>
      </c>
      <c r="T2" s="7">
        <f>$B2 * IFERROR(VLOOKUP("electricity|PM25|Premature mortality", US_national_yearly!$D:$AM, 28, FALSE) / VLOOKUP("electricity|PM25|Premature mortality", US_national_yearly!$D:$AM, 10, FALSE), 1)</f>
        <v>1.1221995347289715E-2</v>
      </c>
      <c r="U2" s="7">
        <f>$B2 * IFERROR(VLOOKUP("electricity|PM25|Premature mortality", US_national_yearly!$D:$AM, 29, FALSE) / VLOOKUP("electricity|PM25|Premature mortality", US_national_yearly!$D:$AM, 10, FALSE), 1)</f>
        <v>1.128839705816243E-2</v>
      </c>
      <c r="V2" s="7">
        <f>$B2 * IFERROR(VLOOKUP("electricity|PM25|Premature mortality", US_national_yearly!$D:$AM, 30, FALSE) / VLOOKUP("electricity|PM25|Premature mortality", US_national_yearly!$D:$AM, 10, FALSE), 1)</f>
        <v>1.1354798769035142E-2</v>
      </c>
      <c r="W2" s="7">
        <f>$B2 * IFERROR(VLOOKUP("electricity|PM25|Premature mortality", US_national_yearly!$D:$AM, 31, FALSE) / VLOOKUP("electricity|PM25|Premature mortality", US_national_yearly!$D:$AM, 10, FALSE), 1)</f>
        <v>1.1421200479907856E-2</v>
      </c>
      <c r="X2" s="7">
        <f>$B2 * IFERROR(VLOOKUP("electricity|PM25|Premature mortality", US_national_yearly!$D:$AM, 32, FALSE) / VLOOKUP("electricity|PM25|Premature mortality", US_national_yearly!$D:$AM, 10, FALSE), 1)</f>
        <v>1.1439646445861875E-2</v>
      </c>
      <c r="Y2" s="7">
        <f>$B2 * IFERROR(VLOOKUP("electricity|PM25|Premature mortality", US_national_yearly!$D:$AM, 33, FALSE) / VLOOKUP("electricity|PM25|Premature mortality", US_national_yearly!$D:$AM, 10, FALSE), 1)</f>
        <v>1.1458092411815895E-2</v>
      </c>
      <c r="Z2" s="7">
        <f>$B2 * IFERROR(VLOOKUP("electricity|PM25|Premature mortality", US_national_yearly!$D:$AM, 34, FALSE) / VLOOKUP("electricity|PM25|Premature mortality", US_national_yearly!$D:$AM, 10, FALSE), 1)</f>
        <v>1.1476538377769916E-2</v>
      </c>
      <c r="AA2" s="7">
        <f>$B2 * IFERROR(VLOOKUP("electricity|PM25|Premature mortality", US_national_yearly!$D:$AM, 35, FALSE) / VLOOKUP("electricity|PM25|Premature mortality", US_national_yearly!$D:$AM, 10, FALSE), 1)</f>
        <v>1.1494984343723938E-2</v>
      </c>
      <c r="AB2" s="7">
        <f>$B2 * IFERROR(VLOOKUP("electricity|PM25|Premature mortality", US_national_yearly!$D:$AM, 36, FALSE) / VLOOKUP("electricity|PM25|Premature mortality", US_national_yearly!$D:$AM, 10, FALSE), 1)</f>
        <v>1.1513430309677958E-2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2.2659578103535635E-5</v>
      </c>
      <c r="C3" s="7">
        <f>$B3 * IFERROR(VLOOKUP("electricity|PM25|Infant mortality", US_national_yearly!$D:$AM, 11, FALSE) / VLOOKUP("electricity|PM25|Infant mortality", US_national_yearly!$D:$AM, 10, FALSE), 1)</f>
        <v>2.2462145256596539E-5</v>
      </c>
      <c r="D3" s="7">
        <f>$B3 * IFERROR(VLOOKUP("electricity|PM25|Infant mortality", US_national_yearly!$D:$AM, 12, FALSE) / VLOOKUP("electricity|PM25|Infant mortality", US_national_yearly!$D:$AM, 10, FALSE), 1)</f>
        <v>2.2264712409657449E-5</v>
      </c>
      <c r="E3" s="7">
        <f>$B3 * IFERROR(VLOOKUP("electricity|PM25|Infant mortality", US_national_yearly!$D:$AM, 13, FALSE) / VLOOKUP("electricity|PM25|Infant mortality", US_national_yearly!$D:$AM, 10, FALSE), 1)</f>
        <v>2.2067279562718353E-5</v>
      </c>
      <c r="F3" s="7">
        <f>$B3 * IFERROR(VLOOKUP("electricity|PM25|Infant mortality", US_national_yearly!$D:$AM, 14, FALSE) / VLOOKUP("electricity|PM25|Infant mortality", US_national_yearly!$D:$AM, 10, FALSE), 1)</f>
        <v>2.1869846715779257E-5</v>
      </c>
      <c r="G3" s="7">
        <f>$B3 * IFERROR(VLOOKUP("electricity|PM25|Infant mortality", US_national_yearly!$D:$AM, 15, FALSE) / VLOOKUP("electricity|PM25|Infant mortality", US_national_yearly!$D:$AM, 10, FALSE), 1)</f>
        <v>1.4503400693431385E-5</v>
      </c>
      <c r="H3" s="7">
        <f>$B3 * IFERROR(VLOOKUP("electricity|PM25|Infant mortality", US_national_yearly!$D:$AM, 16, FALSE) / VLOOKUP("electricity|PM25|Infant mortality", US_national_yearly!$D:$AM, 10, FALSE), 1)</f>
        <v>7.1369546710835132E-6</v>
      </c>
      <c r="I3" s="7">
        <f>$B3 * IFERROR(VLOOKUP("electricity|PM25|Infant mortality", US_national_yearly!$D:$AM, 17, FALSE) / VLOOKUP("electricity|PM25|Infant mortality", US_national_yearly!$D:$AM, 10, FALSE), 1)</f>
        <v>7.0865645007793478E-6</v>
      </c>
      <c r="J3" s="7">
        <f>$B3 * IFERROR(VLOOKUP("electricity|PM25|Infant mortality", US_national_yearly!$D:$AM, 18, FALSE) / VLOOKUP("electricity|PM25|Infant mortality", US_national_yearly!$D:$AM, 10, FALSE), 1)</f>
        <v>7.036174330475185E-6</v>
      </c>
      <c r="K3" s="7">
        <f>$B3 * IFERROR(VLOOKUP("electricity|PM25|Infant mortality", US_national_yearly!$D:$AM, 19, FALSE) / VLOOKUP("electricity|PM25|Infant mortality", US_national_yearly!$D:$AM, 10, FALSE), 1)</f>
        <v>6.9857841601710204E-6</v>
      </c>
      <c r="L3" s="7">
        <f>$B3 * IFERROR(VLOOKUP("electricity|PM25|Infant mortality", US_national_yearly!$D:$AM, 20, FALSE) / VLOOKUP("electricity|PM25|Infant mortality", US_national_yearly!$D:$AM, 10, FALSE), 1)</f>
        <v>6.9353939898668559E-6</v>
      </c>
      <c r="M3" s="7">
        <f>$B3 * IFERROR(VLOOKUP("electricity|PM25|Infant mortality", US_national_yearly!$D:$AM, 21, FALSE) / VLOOKUP("electricity|PM25|Infant mortality", US_national_yearly!$D:$AM, 10, FALSE), 1)</f>
        <v>6.8850038195626922E-6</v>
      </c>
      <c r="N3" s="7">
        <f>$B3 * IFERROR(VLOOKUP("electricity|PM25|Infant mortality", US_national_yearly!$D:$AM, 22, FALSE) / VLOOKUP("electricity|PM25|Infant mortality", US_national_yearly!$D:$AM, 10, FALSE), 1)</f>
        <v>6.8525962498704031E-6</v>
      </c>
      <c r="O3" s="7">
        <f>$B3 * IFERROR(VLOOKUP("electricity|PM25|Infant mortality", US_national_yearly!$D:$AM, 23, FALSE) / VLOOKUP("electricity|PM25|Infant mortality", US_national_yearly!$D:$AM, 10, FALSE), 1)</f>
        <v>6.820188680178114E-6</v>
      </c>
      <c r="P3" s="7">
        <f>$B3 * IFERROR(VLOOKUP("electricity|PM25|Infant mortality", US_national_yearly!$D:$AM, 24, FALSE) / VLOOKUP("electricity|PM25|Infant mortality", US_national_yearly!$D:$AM, 10, FALSE), 1)</f>
        <v>6.7877811104858241E-6</v>
      </c>
      <c r="Q3" s="7">
        <f>$B3 * IFERROR(VLOOKUP("electricity|PM25|Infant mortality", US_national_yearly!$D:$AM, 25, FALSE) / VLOOKUP("electricity|PM25|Infant mortality", US_national_yearly!$D:$AM, 10, FALSE), 1)</f>
        <v>6.7553735407935351E-6</v>
      </c>
      <c r="R3" s="7">
        <f>$B3 * IFERROR(VLOOKUP("electricity|PM25|Infant mortality", US_national_yearly!$D:$AM, 26, FALSE) / VLOOKUP("electricity|PM25|Infant mortality", US_national_yearly!$D:$AM, 10, FALSE), 1)</f>
        <v>6.7229659711012452E-6</v>
      </c>
      <c r="S3" s="7">
        <f>$B3 * IFERROR(VLOOKUP("electricity|PM25|Infant mortality", US_national_yearly!$D:$AM, 27, FALSE) / VLOOKUP("electricity|PM25|Infant mortality", US_national_yearly!$D:$AM, 10, FALSE), 1)</f>
        <v>6.6841409784135709E-6</v>
      </c>
      <c r="T3" s="7">
        <f>$B3 * IFERROR(VLOOKUP("electricity|PM25|Infant mortality", US_national_yearly!$D:$AM, 28, FALSE) / VLOOKUP("electricity|PM25|Infant mortality", US_national_yearly!$D:$AM, 10, FALSE), 1)</f>
        <v>6.6453159857258975E-6</v>
      </c>
      <c r="U3" s="7">
        <f>$B3 * IFERROR(VLOOKUP("electricity|PM25|Infant mortality", US_national_yearly!$D:$AM, 29, FALSE) / VLOOKUP("electricity|PM25|Infant mortality", US_national_yearly!$D:$AM, 10, FALSE), 1)</f>
        <v>6.6064909930382241E-6</v>
      </c>
      <c r="V3" s="7">
        <f>$B3 * IFERROR(VLOOKUP("electricity|PM25|Infant mortality", US_national_yearly!$D:$AM, 30, FALSE) / VLOOKUP("electricity|PM25|Infant mortality", US_national_yearly!$D:$AM, 10, FALSE), 1)</f>
        <v>6.5676660003505507E-6</v>
      </c>
      <c r="W3" s="7">
        <f>$B3 * IFERROR(VLOOKUP("electricity|PM25|Infant mortality", US_national_yearly!$D:$AM, 31, FALSE) / VLOOKUP("electricity|PM25|Infant mortality", US_national_yearly!$D:$AM, 10, FALSE), 1)</f>
        <v>6.5288410076628764E-6</v>
      </c>
      <c r="X3" s="7">
        <f>$B3 * IFERROR(VLOOKUP("electricity|PM25|Infant mortality", US_national_yearly!$D:$AM, 32, FALSE) / VLOOKUP("electricity|PM25|Infant mortality", US_national_yearly!$D:$AM, 10, FALSE), 1)</f>
        <v>6.4887202252420755E-6</v>
      </c>
      <c r="Y3" s="7">
        <f>$B3 * IFERROR(VLOOKUP("electricity|PM25|Infant mortality", US_national_yearly!$D:$AM, 33, FALSE) / VLOOKUP("electricity|PM25|Infant mortality", US_national_yearly!$D:$AM, 10, FALSE), 1)</f>
        <v>6.4485994428212745E-6</v>
      </c>
      <c r="Z3" s="7">
        <f>$B3 * IFERROR(VLOOKUP("electricity|PM25|Infant mortality", US_national_yearly!$D:$AM, 34, FALSE) / VLOOKUP("electricity|PM25|Infant mortality", US_national_yearly!$D:$AM, 10, FALSE), 1)</f>
        <v>6.4084786604004736E-6</v>
      </c>
      <c r="AA3" s="7">
        <f>$B3 * IFERROR(VLOOKUP("electricity|PM25|Infant mortality", US_national_yearly!$D:$AM, 35, FALSE) / VLOOKUP("electricity|PM25|Infant mortality", US_national_yearly!$D:$AM, 10, FALSE), 1)</f>
        <v>6.3683578779796727E-6</v>
      </c>
      <c r="AB3" s="7">
        <f>$B3 * IFERROR(VLOOKUP("electricity|PM25|Infant mortality", US_national_yearly!$D:$AM, 36, FALSE) / VLOOKUP("electricity|PM25|Infant mortality", US_national_yearly!$D:$AM, 10, FALSE), 1)</f>
        <v>6.3282370955588717E-6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2.5113902490792702E-2</v>
      </c>
      <c r="C6" s="7">
        <f>$B6 * IFERROR(VLOOKUP("electricity|PM25|Asthma symptoms cough", US_national_yearly!$D:$AM, 11, FALSE) / VLOOKUP("electricity|PM25|Asthma symptoms cough", US_national_yearly!$D:$AM, 10, FALSE), 1)</f>
        <v>2.5113902490792702E-2</v>
      </c>
      <c r="D6" s="7">
        <f>$B6 * IFERROR(VLOOKUP("electricity|PM25|Asthma symptoms cough", US_national_yearly!$D:$AM, 12, FALSE) / VLOOKUP("electricity|PM25|Asthma symptoms cough", US_national_yearly!$D:$AM, 10, FALSE), 1)</f>
        <v>2.5113902490792702E-2</v>
      </c>
      <c r="E6" s="7">
        <f>$B6 * IFERROR(VLOOKUP("electricity|PM25|Asthma symptoms cough", US_national_yearly!$D:$AM, 13, FALSE) / VLOOKUP("electricity|PM25|Asthma symptoms cough", US_national_yearly!$D:$AM, 10, FALSE), 1)</f>
        <v>2.5113902490792702E-2</v>
      </c>
      <c r="F6" s="7">
        <f>$B6 * IFERROR(VLOOKUP("electricity|PM25|Asthma symptoms cough", US_national_yearly!$D:$AM, 14, FALSE) / VLOOKUP("electricity|PM25|Asthma symptoms cough", US_national_yearly!$D:$AM, 10, FALSE), 1)</f>
        <v>2.5113902490792702E-2</v>
      </c>
      <c r="G6" s="7">
        <f>$B6 * IFERROR(VLOOKUP("electricity|PM25|Asthma symptoms cough", US_national_yearly!$D:$AM, 15, FALSE) / VLOOKUP("electricity|PM25|Asthma symptoms cough", US_national_yearly!$D:$AM, 10, FALSE), 1)</f>
        <v>2.5113902490792702E-2</v>
      </c>
      <c r="H6" s="7">
        <f>$B6 * IFERROR(VLOOKUP("electricity|PM25|Asthma symptoms cough", US_national_yearly!$D:$AM, 16, FALSE) / VLOOKUP("electricity|PM25|Asthma symptoms cough", US_national_yearly!$D:$AM, 10, FALSE), 1)</f>
        <v>2.5113902490792702E-2</v>
      </c>
      <c r="I6" s="7">
        <f>$B6 * IFERROR(VLOOKUP("electricity|PM25|Asthma symptoms cough", US_national_yearly!$D:$AM, 17, FALSE) / VLOOKUP("electricity|PM25|Asthma symptoms cough", US_national_yearly!$D:$AM, 10, FALSE), 1)</f>
        <v>2.5113902490792702E-2</v>
      </c>
      <c r="J6" s="7">
        <f>$B6 * IFERROR(VLOOKUP("electricity|PM25|Asthma symptoms cough", US_national_yearly!$D:$AM, 18, FALSE) / VLOOKUP("electricity|PM25|Asthma symptoms cough", US_national_yearly!$D:$AM, 10, FALSE), 1)</f>
        <v>2.5113902490792702E-2</v>
      </c>
      <c r="K6" s="7">
        <f>$B6 * IFERROR(VLOOKUP("electricity|PM25|Asthma symptoms cough", US_national_yearly!$D:$AM, 19, FALSE) / VLOOKUP("electricity|PM25|Asthma symptoms cough", US_national_yearly!$D:$AM, 10, FALSE), 1)</f>
        <v>2.5113902490792702E-2</v>
      </c>
      <c r="L6" s="7">
        <f>$B6 * IFERROR(VLOOKUP("electricity|PM25|Asthma symptoms cough", US_national_yearly!$D:$AM, 20, FALSE) / VLOOKUP("electricity|PM25|Asthma symptoms cough", US_national_yearly!$D:$AM, 10, FALSE), 1)</f>
        <v>2.5113902490792702E-2</v>
      </c>
      <c r="M6" s="7">
        <f>$B6 * IFERROR(VLOOKUP("electricity|PM25|Asthma symptoms cough", US_national_yearly!$D:$AM, 21, FALSE) / VLOOKUP("electricity|PM25|Asthma symptoms cough", US_national_yearly!$D:$AM, 10, FALSE), 1)</f>
        <v>2.5113902490792702E-2</v>
      </c>
      <c r="N6" s="7">
        <f>$B6 * IFERROR(VLOOKUP("electricity|PM25|Asthma symptoms cough", US_national_yearly!$D:$AM, 22, FALSE) / VLOOKUP("electricity|PM25|Asthma symptoms cough", US_national_yearly!$D:$AM, 10, FALSE), 1)</f>
        <v>2.5113902490792702E-2</v>
      </c>
      <c r="O6" s="7">
        <f>$B6 * IFERROR(VLOOKUP("electricity|PM25|Asthma symptoms cough", US_national_yearly!$D:$AM, 23, FALSE) / VLOOKUP("electricity|PM25|Asthma symptoms cough", US_national_yearly!$D:$AM, 10, FALSE), 1)</f>
        <v>2.5113902490792702E-2</v>
      </c>
      <c r="P6" s="7">
        <f>$B6 * IFERROR(VLOOKUP("electricity|PM25|Asthma symptoms cough", US_national_yearly!$D:$AM, 24, FALSE) / VLOOKUP("electricity|PM25|Asthma symptoms cough", US_national_yearly!$D:$AM, 10, FALSE), 1)</f>
        <v>2.5113902490792702E-2</v>
      </c>
      <c r="Q6" s="7">
        <f>$B6 * IFERROR(VLOOKUP("electricity|PM25|Asthma symptoms cough", US_national_yearly!$D:$AM, 25, FALSE) / VLOOKUP("electricity|PM25|Asthma symptoms cough", US_national_yearly!$D:$AM, 10, FALSE), 1)</f>
        <v>2.5113902490792702E-2</v>
      </c>
      <c r="R6" s="7">
        <f>$B6 * IFERROR(VLOOKUP("electricity|PM25|Asthma symptoms cough", US_national_yearly!$D:$AM, 26, FALSE) / VLOOKUP("electricity|PM25|Asthma symptoms cough", US_national_yearly!$D:$AM, 10, FALSE), 1)</f>
        <v>2.5113902490792702E-2</v>
      </c>
      <c r="S6" s="7">
        <f>$B6 * IFERROR(VLOOKUP("electricity|PM25|Asthma symptoms cough", US_national_yearly!$D:$AM, 27, FALSE) / VLOOKUP("electricity|PM25|Asthma symptoms cough", US_national_yearly!$D:$AM, 10, FALSE), 1)</f>
        <v>2.5113902490792702E-2</v>
      </c>
      <c r="T6" s="7">
        <f>$B6 * IFERROR(VLOOKUP("electricity|PM25|Asthma symptoms cough", US_national_yearly!$D:$AM, 28, FALSE) / VLOOKUP("electricity|PM25|Asthma symptoms cough", US_national_yearly!$D:$AM, 10, FALSE), 1)</f>
        <v>2.5113902490792702E-2</v>
      </c>
      <c r="U6" s="7">
        <f>$B6 * IFERROR(VLOOKUP("electricity|PM25|Asthma symptoms cough", US_national_yearly!$D:$AM, 29, FALSE) / VLOOKUP("electricity|PM25|Asthma symptoms cough", US_national_yearly!$D:$AM, 10, FALSE), 1)</f>
        <v>2.5113902490792702E-2</v>
      </c>
      <c r="V6" s="7">
        <f>$B6 * IFERROR(VLOOKUP("electricity|PM25|Asthma symptoms cough", US_national_yearly!$D:$AM, 30, FALSE) / VLOOKUP("electricity|PM25|Asthma symptoms cough", US_national_yearly!$D:$AM, 10, FALSE), 1)</f>
        <v>2.5113902490792702E-2</v>
      </c>
      <c r="W6" s="7">
        <f>$B6 * IFERROR(VLOOKUP("electricity|PM25|Asthma symptoms cough", US_national_yearly!$D:$AM, 31, FALSE) / VLOOKUP("electricity|PM25|Asthma symptoms cough", US_national_yearly!$D:$AM, 10, FALSE), 1)</f>
        <v>2.5113902490792702E-2</v>
      </c>
      <c r="X6" s="7">
        <f>$B6 * IFERROR(VLOOKUP("electricity|PM25|Asthma symptoms cough", US_national_yearly!$D:$AM, 32, FALSE) / VLOOKUP("electricity|PM25|Asthma symptoms cough", US_national_yearly!$D:$AM, 10, FALSE), 1)</f>
        <v>2.5113902490792702E-2</v>
      </c>
      <c r="Y6" s="7">
        <f>$B6 * IFERROR(VLOOKUP("electricity|PM25|Asthma symptoms cough", US_national_yearly!$D:$AM, 33, FALSE) / VLOOKUP("electricity|PM25|Asthma symptoms cough", US_national_yearly!$D:$AM, 10, FALSE), 1)</f>
        <v>2.5113902490792702E-2</v>
      </c>
      <c r="Z6" s="7">
        <f>$B6 * IFERROR(VLOOKUP("electricity|PM25|Asthma symptoms cough", US_national_yearly!$D:$AM, 34, FALSE) / VLOOKUP("electricity|PM25|Asthma symptoms cough", US_national_yearly!$D:$AM, 10, FALSE), 1)</f>
        <v>2.5113902490792702E-2</v>
      </c>
      <c r="AA6" s="7">
        <f>$B6 * IFERROR(VLOOKUP("electricity|PM25|Asthma symptoms cough", US_national_yearly!$D:$AM, 35, FALSE) / VLOOKUP("electricity|PM25|Asthma symptoms cough", US_national_yearly!$D:$AM, 10, FALSE), 1)</f>
        <v>2.5113902490792702E-2</v>
      </c>
      <c r="AB6" s="7">
        <f>$B6 * IFERROR(VLOOKUP("electricity|PM25|Asthma symptoms cough", US_national_yearly!$D:$AM, 36, FALSE) / VLOOKUP("electricity|PM25|Asthma symptoms cough", US_national_yearly!$D:$AM, 10, FALSE), 1)</f>
        <v>2.5113902490792702E-2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3.3819311522758966E-2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3.3819311522758966E-2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3.3819311522758966E-2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3.3819311522758966E-2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3.3819311522758966E-2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3.3819311522758966E-2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3.3819311522758966E-2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3.3819311522758966E-2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3.3819311522758966E-2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3.3819311522758966E-2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3.3819311522758966E-2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3.3819311522758966E-2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3.3819311522758966E-2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3.3819311522758966E-2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3.3819311522758966E-2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3.3819311522758966E-2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3.3819311522758966E-2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3.3819311522758966E-2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3.3819311522758966E-2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3.3819311522758966E-2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3.3819311522758966E-2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3.3819311522758966E-2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3.3819311522758966E-2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3.3819311522758966E-2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3.3819311522758966E-2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3.3819311522758966E-2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3.3819311522758966E-2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5.1670898017719985E-2</v>
      </c>
      <c r="C8" s="7">
        <f>$B8 * IFERROR(VLOOKUP("electricity|PM25|Asthma symptoms wheeze", US_national_yearly!$D:$AM, 11, FALSE) / VLOOKUP("electricity|PM25|Asthma symptoms wheeze", US_national_yearly!$D:$AM, 10, FALSE), 1)</f>
        <v>5.1670898017719985E-2</v>
      </c>
      <c r="D8" s="7">
        <f>$B8 * IFERROR(VLOOKUP("electricity|PM25|Asthma symptoms wheeze", US_national_yearly!$D:$AM, 12, FALSE) / VLOOKUP("electricity|PM25|Asthma symptoms wheeze", US_national_yearly!$D:$AM, 10, FALSE), 1)</f>
        <v>5.1670898017719985E-2</v>
      </c>
      <c r="E8" s="7">
        <f>$B8 * IFERROR(VLOOKUP("electricity|PM25|Asthma symptoms wheeze", US_national_yearly!$D:$AM, 13, FALSE) / VLOOKUP("electricity|PM25|Asthma symptoms wheeze", US_national_yearly!$D:$AM, 10, FALSE), 1)</f>
        <v>5.1670898017719985E-2</v>
      </c>
      <c r="F8" s="7">
        <f>$B8 * IFERROR(VLOOKUP("electricity|PM25|Asthma symptoms wheeze", US_national_yearly!$D:$AM, 14, FALSE) / VLOOKUP("electricity|PM25|Asthma symptoms wheeze", US_national_yearly!$D:$AM, 10, FALSE), 1)</f>
        <v>5.1670898017719985E-2</v>
      </c>
      <c r="G8" s="7">
        <f>$B8 * IFERROR(VLOOKUP("electricity|PM25|Asthma symptoms wheeze", US_national_yearly!$D:$AM, 15, FALSE) / VLOOKUP("electricity|PM25|Asthma symptoms wheeze", US_national_yearly!$D:$AM, 10, FALSE), 1)</f>
        <v>5.1670898017719985E-2</v>
      </c>
      <c r="H8" s="7">
        <f>$B8 * IFERROR(VLOOKUP("electricity|PM25|Asthma symptoms wheeze", US_national_yearly!$D:$AM, 16, FALSE) / VLOOKUP("electricity|PM25|Asthma symptoms wheeze", US_national_yearly!$D:$AM, 10, FALSE), 1)</f>
        <v>5.1670898017719985E-2</v>
      </c>
      <c r="I8" s="7">
        <f>$B8 * IFERROR(VLOOKUP("electricity|PM25|Asthma symptoms wheeze", US_national_yearly!$D:$AM, 17, FALSE) / VLOOKUP("electricity|PM25|Asthma symptoms wheeze", US_national_yearly!$D:$AM, 10, FALSE), 1)</f>
        <v>5.1670898017719985E-2</v>
      </c>
      <c r="J8" s="7">
        <f>$B8 * IFERROR(VLOOKUP("electricity|PM25|Asthma symptoms wheeze", US_national_yearly!$D:$AM, 18, FALSE) / VLOOKUP("electricity|PM25|Asthma symptoms wheeze", US_national_yearly!$D:$AM, 10, FALSE), 1)</f>
        <v>5.1670898017719985E-2</v>
      </c>
      <c r="K8" s="7">
        <f>$B8 * IFERROR(VLOOKUP("electricity|PM25|Asthma symptoms wheeze", US_national_yearly!$D:$AM, 19, FALSE) / VLOOKUP("electricity|PM25|Asthma symptoms wheeze", US_national_yearly!$D:$AM, 10, FALSE), 1)</f>
        <v>5.1670898017719985E-2</v>
      </c>
      <c r="L8" s="7">
        <f>$B8 * IFERROR(VLOOKUP("electricity|PM25|Asthma symptoms wheeze", US_national_yearly!$D:$AM, 20, FALSE) / VLOOKUP("electricity|PM25|Asthma symptoms wheeze", US_national_yearly!$D:$AM, 10, FALSE), 1)</f>
        <v>5.1670898017719985E-2</v>
      </c>
      <c r="M8" s="7">
        <f>$B8 * IFERROR(VLOOKUP("electricity|PM25|Asthma symptoms wheeze", US_national_yearly!$D:$AM, 21, FALSE) / VLOOKUP("electricity|PM25|Asthma symptoms wheeze", US_national_yearly!$D:$AM, 10, FALSE), 1)</f>
        <v>5.1670898017719985E-2</v>
      </c>
      <c r="N8" s="7">
        <f>$B8 * IFERROR(VLOOKUP("electricity|PM25|Asthma symptoms wheeze", US_national_yearly!$D:$AM, 22, FALSE) / VLOOKUP("electricity|PM25|Asthma symptoms wheeze", US_national_yearly!$D:$AM, 10, FALSE), 1)</f>
        <v>5.1670898017719985E-2</v>
      </c>
      <c r="O8" s="7">
        <f>$B8 * IFERROR(VLOOKUP("electricity|PM25|Asthma symptoms wheeze", US_national_yearly!$D:$AM, 23, FALSE) / VLOOKUP("electricity|PM25|Asthma symptoms wheeze", US_national_yearly!$D:$AM, 10, FALSE), 1)</f>
        <v>5.1670898017719985E-2</v>
      </c>
      <c r="P8" s="7">
        <f>$B8 * IFERROR(VLOOKUP("electricity|PM25|Asthma symptoms wheeze", US_national_yearly!$D:$AM, 24, FALSE) / VLOOKUP("electricity|PM25|Asthma symptoms wheeze", US_national_yearly!$D:$AM, 10, FALSE), 1)</f>
        <v>5.1670898017719985E-2</v>
      </c>
      <c r="Q8" s="7">
        <f>$B8 * IFERROR(VLOOKUP("electricity|PM25|Asthma symptoms wheeze", US_national_yearly!$D:$AM, 25, FALSE) / VLOOKUP("electricity|PM25|Asthma symptoms wheeze", US_national_yearly!$D:$AM, 10, FALSE), 1)</f>
        <v>5.1670898017719985E-2</v>
      </c>
      <c r="R8" s="7">
        <f>$B8 * IFERROR(VLOOKUP("electricity|PM25|Asthma symptoms wheeze", US_national_yearly!$D:$AM, 26, FALSE) / VLOOKUP("electricity|PM25|Asthma symptoms wheeze", US_national_yearly!$D:$AM, 10, FALSE), 1)</f>
        <v>5.1670898017719985E-2</v>
      </c>
      <c r="S8" s="7">
        <f>$B8 * IFERROR(VLOOKUP("electricity|PM25|Asthma symptoms wheeze", US_national_yearly!$D:$AM, 27, FALSE) / VLOOKUP("electricity|PM25|Asthma symptoms wheeze", US_national_yearly!$D:$AM, 10, FALSE), 1)</f>
        <v>5.1670898017719985E-2</v>
      </c>
      <c r="T8" s="7">
        <f>$B8 * IFERROR(VLOOKUP("electricity|PM25|Asthma symptoms wheeze", US_national_yearly!$D:$AM, 28, FALSE) / VLOOKUP("electricity|PM25|Asthma symptoms wheeze", US_national_yearly!$D:$AM, 10, FALSE), 1)</f>
        <v>5.1670898017719985E-2</v>
      </c>
      <c r="U8" s="7">
        <f>$B8 * IFERROR(VLOOKUP("electricity|PM25|Asthma symptoms wheeze", US_national_yearly!$D:$AM, 29, FALSE) / VLOOKUP("electricity|PM25|Asthma symptoms wheeze", US_national_yearly!$D:$AM, 10, FALSE), 1)</f>
        <v>5.1670898017719985E-2</v>
      </c>
      <c r="V8" s="7">
        <f>$B8 * IFERROR(VLOOKUP("electricity|PM25|Asthma symptoms wheeze", US_national_yearly!$D:$AM, 30, FALSE) / VLOOKUP("electricity|PM25|Asthma symptoms wheeze", US_national_yearly!$D:$AM, 10, FALSE), 1)</f>
        <v>5.1670898017719985E-2</v>
      </c>
      <c r="W8" s="7">
        <f>$B8 * IFERROR(VLOOKUP("electricity|PM25|Asthma symptoms wheeze", US_national_yearly!$D:$AM, 31, FALSE) / VLOOKUP("electricity|PM25|Asthma symptoms wheeze", US_national_yearly!$D:$AM, 10, FALSE), 1)</f>
        <v>5.1670898017719985E-2</v>
      </c>
      <c r="X8" s="7">
        <f>$B8 * IFERROR(VLOOKUP("electricity|PM25|Asthma symptoms wheeze", US_national_yearly!$D:$AM, 32, FALSE) / VLOOKUP("electricity|PM25|Asthma symptoms wheeze", US_national_yearly!$D:$AM, 10, FALSE), 1)</f>
        <v>5.1670898017719985E-2</v>
      </c>
      <c r="Y8" s="7">
        <f>$B8 * IFERROR(VLOOKUP("electricity|PM25|Asthma symptoms wheeze", US_national_yearly!$D:$AM, 33, FALSE) / VLOOKUP("electricity|PM25|Asthma symptoms wheeze", US_national_yearly!$D:$AM, 10, FALSE), 1)</f>
        <v>5.1670898017719985E-2</v>
      </c>
      <c r="Z8" s="7">
        <f>$B8 * IFERROR(VLOOKUP("electricity|PM25|Asthma symptoms wheeze", US_national_yearly!$D:$AM, 34, FALSE) / VLOOKUP("electricity|PM25|Asthma symptoms wheeze", US_national_yearly!$D:$AM, 10, FALSE), 1)</f>
        <v>5.1670898017719985E-2</v>
      </c>
      <c r="AA8" s="7">
        <f>$B8 * IFERROR(VLOOKUP("electricity|PM25|Asthma symptoms wheeze", US_national_yearly!$D:$AM, 35, FALSE) / VLOOKUP("electricity|PM25|Asthma symptoms wheeze", US_national_yearly!$D:$AM, 10, FALSE), 1)</f>
        <v>5.1670898017719985E-2</v>
      </c>
      <c r="AB8" s="7">
        <f>$B8 * IFERROR(VLOOKUP("electricity|PM25|Asthma symptoms wheeze", US_national_yearly!$D:$AM, 36, FALSE) / VLOOKUP("electricity|PM25|Asthma symptoms wheeze", US_national_yearly!$D:$AM, 10, FALSE), 1)</f>
        <v>5.1670898017719985E-2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6.3237143608957825E-4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6.3584687251644974E-4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6.3932230894332101E-4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6.4279774537019272E-4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6.46273181797064E-4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6.4999876421793985E-4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6.537243466388158E-4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6.5705277393038894E-4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6.6038120122196198E-4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6.6370962851353501E-4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6.6703805580510815E-4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6.703664830966813E-4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6.7261162549506984E-4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6.748567678934585E-4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6.7710191029184727E-4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6.7934705269023581E-4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6.8159219508862447E-4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6.8368435381661657E-4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6.8577651254460846E-4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6.8786867127260045E-4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6.8996083000059255E-4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6.9205298872858432E-4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6.9412173528927339E-4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6.9619048184996234E-4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6.982592284106513E-4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7.0032797497134025E-4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7.0239672153202932E-4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4.1600473778602579E-3</v>
      </c>
      <c r="C13" s="7">
        <f>$B13 * IFERROR(VLOOKUP("electricity|PM25|Non-fatal heart attacks", US_national_yearly!$D:$AM, 11, FALSE) / VLOOKUP("electricity|PM25|Non-fatal heart attacks", US_national_yearly!$D:$AM, 10, FALSE), 1)</f>
        <v>4.2805424089328659E-3</v>
      </c>
      <c r="D13" s="7">
        <f>$B13 * IFERROR(VLOOKUP("electricity|PM25|Non-fatal heart attacks", US_national_yearly!$D:$AM, 12, FALSE) / VLOOKUP("electricity|PM25|Non-fatal heart attacks", US_national_yearly!$D:$AM, 10, FALSE), 1)</f>
        <v>4.4010374400054748E-3</v>
      </c>
      <c r="E13" s="7">
        <f>$B13 * IFERROR(VLOOKUP("electricity|PM25|Non-fatal heart attacks", US_national_yearly!$D:$AM, 13, FALSE) / VLOOKUP("electricity|PM25|Non-fatal heart attacks", US_national_yearly!$D:$AM, 10, FALSE), 1)</f>
        <v>4.5215324710780819E-3</v>
      </c>
      <c r="F13" s="7">
        <f>$B13 * IFERROR(VLOOKUP("electricity|PM25|Non-fatal heart attacks", US_national_yearly!$D:$AM, 14, FALSE) / VLOOKUP("electricity|PM25|Non-fatal heart attacks", US_national_yearly!$D:$AM, 10, FALSE), 1)</f>
        <v>4.6420275021506908E-3</v>
      </c>
      <c r="G13" s="7">
        <f>$B13 * IFERROR(VLOOKUP("electricity|PM25|Non-fatal heart attacks", US_national_yearly!$D:$AM, 15, FALSE) / VLOOKUP("electricity|PM25|Non-fatal heart attacks", US_national_yearly!$D:$AM, 10, FALSE), 1)</f>
        <v>4.7563974088058181E-3</v>
      </c>
      <c r="H13" s="7">
        <f>$B13 * IFERROR(VLOOKUP("electricity|PM25|Non-fatal heart attacks", US_national_yearly!$D:$AM, 16, FALSE) / VLOOKUP("electricity|PM25|Non-fatal heart attacks", US_national_yearly!$D:$AM, 10, FALSE), 1)</f>
        <v>4.8707673154609436E-3</v>
      </c>
      <c r="I13" s="7">
        <f>$B13 * IFERROR(VLOOKUP("electricity|PM25|Non-fatal heart attacks", US_national_yearly!$D:$AM, 17, FALSE) / VLOOKUP("electricity|PM25|Non-fatal heart attacks", US_national_yearly!$D:$AM, 10, FALSE), 1)</f>
        <v>4.9640796572846032E-3</v>
      </c>
      <c r="J13" s="7">
        <f>$B13 * IFERROR(VLOOKUP("electricity|PM25|Non-fatal heart attacks", US_national_yearly!$D:$AM, 18, FALSE) / VLOOKUP("electricity|PM25|Non-fatal heart attacks", US_national_yearly!$D:$AM, 10, FALSE), 1)</f>
        <v>5.0573919991082628E-3</v>
      </c>
      <c r="K13" s="7">
        <f>$B13 * IFERROR(VLOOKUP("electricity|PM25|Non-fatal heart attacks", US_national_yearly!$D:$AM, 19, FALSE) / VLOOKUP("electricity|PM25|Non-fatal heart attacks", US_national_yearly!$D:$AM, 10, FALSE), 1)</f>
        <v>5.1507043409319206E-3</v>
      </c>
      <c r="L13" s="7">
        <f>$B13 * IFERROR(VLOOKUP("electricity|PM25|Non-fatal heart attacks", US_national_yearly!$D:$AM, 20, FALSE) / VLOOKUP("electricity|PM25|Non-fatal heart attacks", US_national_yearly!$D:$AM, 10, FALSE), 1)</f>
        <v>5.2440166827555793E-3</v>
      </c>
      <c r="M13" s="7">
        <f>$B13 * IFERROR(VLOOKUP("electricity|PM25|Non-fatal heart attacks", US_national_yearly!$D:$AM, 21, FALSE) / VLOOKUP("electricity|PM25|Non-fatal heart attacks", US_national_yearly!$D:$AM, 10, FALSE), 1)</f>
        <v>5.3373290245792388E-3</v>
      </c>
      <c r="N13" s="7">
        <f>$B13 * IFERROR(VLOOKUP("electricity|PM25|Non-fatal heart attacks", US_national_yearly!$D:$AM, 22, FALSE) / VLOOKUP("electricity|PM25|Non-fatal heart attacks", US_national_yearly!$D:$AM, 10, FALSE), 1)</f>
        <v>5.3978766884681577E-3</v>
      </c>
      <c r="O13" s="7">
        <f>$B13 * IFERROR(VLOOKUP("electricity|PM25|Non-fatal heart attacks", US_national_yearly!$D:$AM, 23, FALSE) / VLOOKUP("electricity|PM25|Non-fatal heart attacks", US_national_yearly!$D:$AM, 10, FALSE), 1)</f>
        <v>5.4584243523570757E-3</v>
      </c>
      <c r="P13" s="7">
        <f>$B13 * IFERROR(VLOOKUP("electricity|PM25|Non-fatal heart attacks", US_national_yearly!$D:$AM, 24, FALSE) / VLOOKUP("electricity|PM25|Non-fatal heart attacks", US_national_yearly!$D:$AM, 10, FALSE), 1)</f>
        <v>5.5189720162459937E-3</v>
      </c>
      <c r="Q13" s="7">
        <f>$B13 * IFERROR(VLOOKUP("electricity|PM25|Non-fatal heart attacks", US_national_yearly!$D:$AM, 25, FALSE) / VLOOKUP("electricity|PM25|Non-fatal heart attacks", US_national_yearly!$D:$AM, 10, FALSE), 1)</f>
        <v>5.5795196801349117E-3</v>
      </c>
      <c r="R13" s="7">
        <f>$B13 * IFERROR(VLOOKUP("electricity|PM25|Non-fatal heart attacks", US_national_yearly!$D:$AM, 26, FALSE) / VLOOKUP("electricity|PM25|Non-fatal heart attacks", US_national_yearly!$D:$AM, 10, FALSE), 1)</f>
        <v>5.6400673440238306E-3</v>
      </c>
      <c r="S13" s="7">
        <f>$B13 * IFERROR(VLOOKUP("electricity|PM25|Non-fatal heart attacks", US_national_yearly!$D:$AM, 27, FALSE) / VLOOKUP("electricity|PM25|Non-fatal heart attacks", US_national_yearly!$D:$AM, 10, FALSE), 1)</f>
        <v>5.6734003884763252E-3</v>
      </c>
      <c r="T13" s="7">
        <f>$B13 * IFERROR(VLOOKUP("electricity|PM25|Non-fatal heart attacks", US_national_yearly!$D:$AM, 28, FALSE) / VLOOKUP("electricity|PM25|Non-fatal heart attacks", US_national_yearly!$D:$AM, 10, FALSE), 1)</f>
        <v>5.7067334329288207E-3</v>
      </c>
      <c r="U13" s="7">
        <f>$B13 * IFERROR(VLOOKUP("electricity|PM25|Non-fatal heart attacks", US_national_yearly!$D:$AM, 29, FALSE) / VLOOKUP("electricity|PM25|Non-fatal heart attacks", US_national_yearly!$D:$AM, 10, FALSE), 1)</f>
        <v>5.7400664773813153E-3</v>
      </c>
      <c r="V13" s="7">
        <f>$B13 * IFERROR(VLOOKUP("electricity|PM25|Non-fatal heart attacks", US_national_yearly!$D:$AM, 30, FALSE) / VLOOKUP("electricity|PM25|Non-fatal heart attacks", US_national_yearly!$D:$AM, 10, FALSE), 1)</f>
        <v>5.7733995218338099E-3</v>
      </c>
      <c r="W13" s="7">
        <f>$B13 * IFERROR(VLOOKUP("electricity|PM25|Non-fatal heart attacks", US_national_yearly!$D:$AM, 31, FALSE) / VLOOKUP("electricity|PM25|Non-fatal heart attacks", US_national_yearly!$D:$AM, 10, FALSE), 1)</f>
        <v>5.8067325662863054E-3</v>
      </c>
      <c r="X13" s="7">
        <f>$B13 * IFERROR(VLOOKUP("electricity|PM25|Non-fatal heart attacks", US_national_yearly!$D:$AM, 32, FALSE) / VLOOKUP("electricity|PM25|Non-fatal heart attacks", US_national_yearly!$D:$AM, 10, FALSE), 1)</f>
        <v>5.832809533142809E-3</v>
      </c>
      <c r="Y13" s="7">
        <f>$B13 * IFERROR(VLOOKUP("electricity|PM25|Non-fatal heart attacks", US_national_yearly!$D:$AM, 33, FALSE) / VLOOKUP("electricity|PM25|Non-fatal heart attacks", US_national_yearly!$D:$AM, 10, FALSE), 1)</f>
        <v>5.8588864999993143E-3</v>
      </c>
      <c r="Z13" s="7">
        <f>$B13 * IFERROR(VLOOKUP("electricity|PM25|Non-fatal heart attacks", US_national_yearly!$D:$AM, 34, FALSE) / VLOOKUP("electricity|PM25|Non-fatal heart attacks", US_national_yearly!$D:$AM, 10, FALSE), 1)</f>
        <v>5.8849634668558188E-3</v>
      </c>
      <c r="AA13" s="7">
        <f>$B13 * IFERROR(VLOOKUP("electricity|PM25|Non-fatal heart attacks", US_national_yearly!$D:$AM, 35, FALSE) / VLOOKUP("electricity|PM25|Non-fatal heart attacks", US_national_yearly!$D:$AM, 10, FALSE), 1)</f>
        <v>5.911040433712325E-3</v>
      </c>
      <c r="AB13" s="7">
        <f>$B13 * IFERROR(VLOOKUP("electricity|PM25|Non-fatal heart attacks", US_national_yearly!$D:$AM, 36, FALSE) / VLOOKUP("electricity|PM25|Non-fatal heart attacks", US_national_yearly!$D:$AM, 10, FALSE), 1)</f>
        <v>5.9371174005688294E-3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3.2283539742104534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3.2355207030309843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3.242687431851516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3.2498541606720468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3.2570208894925785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3.267655484625815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3.278290079759052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3.2970678789327388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3.3158456781064265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3.3346234772801133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3.353401276453801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3.3721790756274879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3.3982292986723324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3.4242795217171778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3.4503297447620227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3.4763799678068681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3.5024301908517126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3.5287051102793483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3.5549800297069836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3.5812549491346193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3.607529868562255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3.6338047879898903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3.6563278783037494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3.6788509686176094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3.7013740589314694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3.7238971492453277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3.7464202395591881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0.54225303300270811</v>
      </c>
      <c r="C15" s="7">
        <f>$B15 * IFERROR(VLOOKUP("electricity|PM25|Work loss days", US_national_yearly!$D:$AM, 11, FALSE) / VLOOKUP("electricity|PM25|Work loss days", US_national_yearly!$D:$AM, 10, FALSE), 1)</f>
        <v>0.54380472140151603</v>
      </c>
      <c r="D15" s="7">
        <f>$B15 * IFERROR(VLOOKUP("electricity|PM25|Work loss days", US_national_yearly!$D:$AM, 12, FALSE) / VLOOKUP("electricity|PM25|Work loss days", US_national_yearly!$D:$AM, 10, FALSE), 1)</f>
        <v>0.54535640980032407</v>
      </c>
      <c r="E15" s="7">
        <f>$B15 * IFERROR(VLOOKUP("electricity|PM25|Work loss days", US_national_yearly!$D:$AM, 13, FALSE) / VLOOKUP("electricity|PM25|Work loss days", US_national_yearly!$D:$AM, 10, FALSE), 1)</f>
        <v>0.54690809819913211</v>
      </c>
      <c r="F15" s="7">
        <f>$B15 * IFERROR(VLOOKUP("electricity|PM25|Work loss days", US_national_yearly!$D:$AM, 14, FALSE) / VLOOKUP("electricity|PM25|Work loss days", US_national_yearly!$D:$AM, 10, FALSE), 1)</f>
        <v>0.54845978659794004</v>
      </c>
      <c r="G15" s="7">
        <f>$B15 * IFERROR(VLOOKUP("electricity|PM25|Work loss days", US_national_yearly!$D:$AM, 15, FALSE) / VLOOKUP("electricity|PM25|Work loss days", US_national_yearly!$D:$AM, 10, FALSE), 1)</f>
        <v>0.55046991926291078</v>
      </c>
      <c r="H15" s="7">
        <f>$B15 * IFERROR(VLOOKUP("electricity|PM25|Work loss days", US_national_yearly!$D:$AM, 16, FALSE) / VLOOKUP("electricity|PM25|Work loss days", US_national_yearly!$D:$AM, 10, FALSE), 1)</f>
        <v>0.55248005192788152</v>
      </c>
      <c r="I15" s="7">
        <f>$B15 * IFERROR(VLOOKUP("electricity|PM25|Work loss days", US_national_yearly!$D:$AM, 17, FALSE) / VLOOKUP("electricity|PM25|Work loss days", US_national_yearly!$D:$AM, 10, FALSE), 1)</f>
        <v>0.55550194314117429</v>
      </c>
      <c r="J15" s="7">
        <f>$B15 * IFERROR(VLOOKUP("electricity|PM25|Work loss days", US_national_yearly!$D:$AM, 18, FALSE) / VLOOKUP("electricity|PM25|Work loss days", US_national_yearly!$D:$AM, 10, FALSE), 1)</f>
        <v>0.55852383435446684</v>
      </c>
      <c r="K15" s="7">
        <f>$B15 * IFERROR(VLOOKUP("electricity|PM25|Work loss days", US_national_yearly!$D:$AM, 19, FALSE) / VLOOKUP("electricity|PM25|Work loss days", US_national_yearly!$D:$AM, 10, FALSE), 1)</f>
        <v>0.56154572556775961</v>
      </c>
      <c r="L15" s="7">
        <f>$B15 * IFERROR(VLOOKUP("electricity|PM25|Work loss days", US_national_yearly!$D:$AM, 20, FALSE) / VLOOKUP("electricity|PM25|Work loss days", US_national_yearly!$D:$AM, 10, FALSE), 1)</f>
        <v>0.56456761678105227</v>
      </c>
      <c r="M15" s="7">
        <f>$B15 * IFERROR(VLOOKUP("electricity|PM25|Work loss days", US_national_yearly!$D:$AM, 21, FALSE) / VLOOKUP("electricity|PM25|Work loss days", US_national_yearly!$D:$AM, 10, FALSE), 1)</f>
        <v>0.56758950799434504</v>
      </c>
      <c r="N15" s="7">
        <f>$B15 * IFERROR(VLOOKUP("electricity|PM25|Work loss days", US_national_yearly!$D:$AM, 22, FALSE) / VLOOKUP("electricity|PM25|Work loss days", US_national_yearly!$D:$AM, 10, FALSE), 1)</f>
        <v>0.5714909793378754</v>
      </c>
      <c r="O15" s="7">
        <f>$B15 * IFERROR(VLOOKUP("electricity|PM25|Work loss days", US_national_yearly!$D:$AM, 23, FALSE) / VLOOKUP("electricity|PM25|Work loss days", US_national_yearly!$D:$AM, 10, FALSE), 1)</f>
        <v>0.57539245068140588</v>
      </c>
      <c r="P15" s="7">
        <f>$B15 * IFERROR(VLOOKUP("electricity|PM25|Work loss days", US_national_yearly!$D:$AM, 24, FALSE) / VLOOKUP("electricity|PM25|Work loss days", US_national_yearly!$D:$AM, 10, FALSE), 1)</f>
        <v>0.57929392202493613</v>
      </c>
      <c r="Q15" s="7">
        <f>$B15 * IFERROR(VLOOKUP("electricity|PM25|Work loss days", US_national_yearly!$D:$AM, 25, FALSE) / VLOOKUP("electricity|PM25|Work loss days", US_national_yearly!$D:$AM, 10, FALSE), 1)</f>
        <v>0.58319539336846649</v>
      </c>
      <c r="R15" s="7">
        <f>$B15 * IFERROR(VLOOKUP("electricity|PM25|Work loss days", US_national_yearly!$D:$AM, 26, FALSE) / VLOOKUP("electricity|PM25|Work loss days", US_national_yearly!$D:$AM, 10, FALSE), 1)</f>
        <v>0.58709686471199685</v>
      </c>
      <c r="S15" s="7">
        <f>$B15 * IFERROR(VLOOKUP("electricity|PM25|Work loss days", US_national_yearly!$D:$AM, 27, FALSE) / VLOOKUP("electricity|PM25|Work loss days", US_national_yearly!$D:$AM, 10, FALSE), 1)</f>
        <v>0.59142612023509011</v>
      </c>
      <c r="T15" s="7">
        <f>$B15 * IFERROR(VLOOKUP("electricity|PM25|Work loss days", US_national_yearly!$D:$AM, 28, FALSE) / VLOOKUP("electricity|PM25|Work loss days", US_national_yearly!$D:$AM, 10, FALSE), 1)</f>
        <v>0.59575537575818349</v>
      </c>
      <c r="U15" s="7">
        <f>$B15 * IFERROR(VLOOKUP("electricity|PM25|Work loss days", US_national_yearly!$D:$AM, 29, FALSE) / VLOOKUP("electricity|PM25|Work loss days", US_national_yearly!$D:$AM, 10, FALSE), 1)</f>
        <v>0.60008463128127676</v>
      </c>
      <c r="V15" s="7">
        <f>$B15 * IFERROR(VLOOKUP("electricity|PM25|Work loss days", US_national_yearly!$D:$AM, 30, FALSE) / VLOOKUP("electricity|PM25|Work loss days", US_national_yearly!$D:$AM, 10, FALSE), 1)</f>
        <v>0.60441388680437014</v>
      </c>
      <c r="W15" s="7">
        <f>$B15 * IFERROR(VLOOKUP("electricity|PM25|Work loss days", US_national_yearly!$D:$AM, 31, FALSE) / VLOOKUP("electricity|PM25|Work loss days", US_national_yearly!$D:$AM, 10, FALSE), 1)</f>
        <v>0.6087431423274634</v>
      </c>
      <c r="X15" s="7">
        <f>$B15 * IFERROR(VLOOKUP("electricity|PM25|Work loss days", US_national_yearly!$D:$AM, 32, FALSE) / VLOOKUP("electricity|PM25|Work loss days", US_national_yearly!$D:$AM, 10, FALSE), 1)</f>
        <v>0.61256225606679715</v>
      </c>
      <c r="Y15" s="7">
        <f>$B15 * IFERROR(VLOOKUP("electricity|PM25|Work loss days", US_national_yearly!$D:$AM, 33, FALSE) / VLOOKUP("electricity|PM25|Work loss days", US_national_yearly!$D:$AM, 10, FALSE), 1)</f>
        <v>0.61638136980613056</v>
      </c>
      <c r="Z15" s="7">
        <f>$B15 * IFERROR(VLOOKUP("electricity|PM25|Work loss days", US_national_yearly!$D:$AM, 34, FALSE) / VLOOKUP("electricity|PM25|Work loss days", US_national_yearly!$D:$AM, 10, FALSE), 1)</f>
        <v>0.6202004835454642</v>
      </c>
      <c r="AA15" s="7">
        <f>$B15 * IFERROR(VLOOKUP("electricity|PM25|Work loss days", US_national_yearly!$D:$AM, 35, FALSE) / VLOOKUP("electricity|PM25|Work loss days", US_national_yearly!$D:$AM, 10, FALSE), 1)</f>
        <v>0.62401959728479794</v>
      </c>
      <c r="AB15" s="7">
        <f>$B15 * IFERROR(VLOOKUP("electricity|PM25|Work loss days", US_national_yearly!$D:$AM, 36, FALSE) / VLOOKUP("electricity|PM25|Work loss days", US_national_yearly!$D:$AM, 10, FALSE), 1)</f>
        <v>0.62783871102413158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1.0715495250731479E-3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1.1033476598965107E-3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1.1351457947198736E-3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1.1669439295432364E-3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1.1987420643665993E-3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1.2294113160723551E-3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1.260080567778111E-3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1.2866487110729727E-3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1.3132168543678344E-3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1.3397849976626958E-3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1.3663531409575573E-3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1.3929212842524188E-3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1.4107809991354896E-3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1.4286407140185601E-3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1.4465004289016304E-3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1.4643601437847012E-3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1.4822198586677718E-3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1.4920766591511947E-3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1.5019334596346173E-3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1.5117902601180402E-3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1.521647060601463E-3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1.5315038610848857E-3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1.5383804989012276E-3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1.5452571367175695E-3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1.5521337745339114E-3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1.5590104123502535E-3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1.5658870501665957E-3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1.2481698917391799E-4</v>
      </c>
      <c r="C2" s="7">
        <f>$B2 * IFERROR(VLOOKUP("electricity|NOx|Premature mortality", US_national_yearly!$D:$AM, 11, FALSE) / VLOOKUP("electricity|NOx|Premature mortality", US_national_yearly!$D:$AM, 10, FALSE), 1)</f>
        <v>1.2670554931758175E-4</v>
      </c>
      <c r="D2" s="7">
        <f>$B2 * IFERROR(VLOOKUP("electricity|NOx|Premature mortality", US_national_yearly!$D:$AM, 12, FALSE) / VLOOKUP("electricity|NOx|Premature mortality", US_national_yearly!$D:$AM, 10, FALSE), 1)</f>
        <v>1.2859410946124554E-4</v>
      </c>
      <c r="E2" s="7">
        <f>$B2 * IFERROR(VLOOKUP("electricity|NOx|Premature mortality", US_national_yearly!$D:$AM, 13, FALSE) / VLOOKUP("electricity|NOx|Premature mortality", US_national_yearly!$D:$AM, 10, FALSE), 1)</f>
        <v>1.304826696049093E-4</v>
      </c>
      <c r="F2" s="7">
        <f>$B2 * IFERROR(VLOOKUP("electricity|NOx|Premature mortality", US_national_yearly!$D:$AM, 14, FALSE) / VLOOKUP("electricity|NOx|Premature mortality", US_national_yearly!$D:$AM, 10, FALSE), 1)</f>
        <v>1.3237122974857303E-4</v>
      </c>
      <c r="G2" s="7">
        <f>$B2 * IFERROR(VLOOKUP("electricity|NOx|Premature mortality", US_national_yearly!$D:$AM, 15, FALSE) / VLOOKUP("electricity|NOx|Premature mortality", US_national_yearly!$D:$AM, 10, FALSE), 1)</f>
        <v>1.3574489370568442E-4</v>
      </c>
      <c r="H2" s="7">
        <f>$B2 * IFERROR(VLOOKUP("electricity|NOx|Premature mortality", US_national_yearly!$D:$AM, 16, FALSE) / VLOOKUP("electricity|NOx|Premature mortality", US_national_yearly!$D:$AM, 10, FALSE), 1)</f>
        <v>1.3911855766279575E-4</v>
      </c>
      <c r="I2" s="7">
        <f>$B2 * IFERROR(VLOOKUP("electricity|NOx|Premature mortality", US_national_yearly!$D:$AM, 17, FALSE) / VLOOKUP("electricity|NOx|Premature mortality", US_national_yearly!$D:$AM, 10, FALSE), 1)</f>
        <v>1.413604959348767E-4</v>
      </c>
      <c r="J2" s="7">
        <f>$B2 * IFERROR(VLOOKUP("electricity|NOx|Premature mortality", US_national_yearly!$D:$AM, 18, FALSE) / VLOOKUP("electricity|NOx|Premature mortality", US_national_yearly!$D:$AM, 10, FALSE), 1)</f>
        <v>1.4360243420695769E-4</v>
      </c>
      <c r="K2" s="7">
        <f>$B2 * IFERROR(VLOOKUP("electricity|NOx|Premature mortality", US_national_yearly!$D:$AM, 19, FALSE) / VLOOKUP("electricity|NOx|Premature mortality", US_national_yearly!$D:$AM, 10, FALSE), 1)</f>
        <v>1.4584437247903867E-4</v>
      </c>
      <c r="L2" s="7">
        <f>$B2 * IFERROR(VLOOKUP("electricity|NOx|Premature mortality", US_national_yearly!$D:$AM, 20, FALSE) / VLOOKUP("electricity|NOx|Premature mortality", US_national_yearly!$D:$AM, 10, FALSE), 1)</f>
        <v>1.4808631075111962E-4</v>
      </c>
      <c r="M2" s="7">
        <f>$B2 * IFERROR(VLOOKUP("electricity|NOx|Premature mortality", US_national_yearly!$D:$AM, 21, FALSE) / VLOOKUP("electricity|NOx|Premature mortality", US_national_yearly!$D:$AM, 10, FALSE), 1)</f>
        <v>1.5032824902320061E-4</v>
      </c>
      <c r="N2" s="7">
        <f>$B2 * IFERROR(VLOOKUP("electricity|NOx|Premature mortality", US_national_yearly!$D:$AM, 22, FALSE) / VLOOKUP("electricity|NOx|Premature mortality", US_national_yearly!$D:$AM, 10, FALSE), 1)</f>
        <v>1.520581635791293E-4</v>
      </c>
      <c r="O2" s="7">
        <f>$B2 * IFERROR(VLOOKUP("electricity|NOx|Premature mortality", US_national_yearly!$D:$AM, 23, FALSE) / VLOOKUP("electricity|NOx|Premature mortality", US_national_yearly!$D:$AM, 10, FALSE), 1)</f>
        <v>1.5378807813505807E-4</v>
      </c>
      <c r="P2" s="7">
        <f>$B2 * IFERROR(VLOOKUP("electricity|NOx|Premature mortality", US_national_yearly!$D:$AM, 24, FALSE) / VLOOKUP("electricity|NOx|Premature mortality", US_national_yearly!$D:$AM, 10, FALSE), 1)</f>
        <v>1.5551799269098679E-4</v>
      </c>
      <c r="Q2" s="7">
        <f>$B2 * IFERROR(VLOOKUP("electricity|NOx|Premature mortality", US_national_yearly!$D:$AM, 25, FALSE) / VLOOKUP("electricity|NOx|Premature mortality", US_national_yearly!$D:$AM, 10, FALSE), 1)</f>
        <v>1.5724790724691554E-4</v>
      </c>
      <c r="R2" s="7">
        <f>$B2 * IFERROR(VLOOKUP("electricity|NOx|Premature mortality", US_national_yearly!$D:$AM, 26, FALSE) / VLOOKUP("electricity|NOx|Premature mortality", US_national_yearly!$D:$AM, 10, FALSE), 1)</f>
        <v>1.5897782180284423E-4</v>
      </c>
      <c r="S2" s="7">
        <f>$B2 * IFERROR(VLOOKUP("electricity|NOx|Premature mortality", US_national_yearly!$D:$AM, 27, FALSE) / VLOOKUP("electricity|NOx|Premature mortality", US_national_yearly!$D:$AM, 10, FALSE), 1)</f>
        <v>1.5987174108663527E-4</v>
      </c>
      <c r="T2" s="7">
        <f>$B2 * IFERROR(VLOOKUP("electricity|NOx|Premature mortality", US_national_yearly!$D:$AM, 28, FALSE) / VLOOKUP("electricity|NOx|Premature mortality", US_national_yearly!$D:$AM, 10, FALSE), 1)</f>
        <v>1.6076566037042628E-4</v>
      </c>
      <c r="U2" s="7">
        <f>$B2 * IFERROR(VLOOKUP("electricity|NOx|Premature mortality", US_national_yearly!$D:$AM, 29, FALSE) / VLOOKUP("electricity|NOx|Premature mortality", US_national_yearly!$D:$AM, 10, FALSE), 1)</f>
        <v>1.6165957965421737E-4</v>
      </c>
      <c r="V2" s="7">
        <f>$B2 * IFERROR(VLOOKUP("electricity|NOx|Premature mortality", US_national_yearly!$D:$AM, 30, FALSE) / VLOOKUP("electricity|NOx|Premature mortality", US_national_yearly!$D:$AM, 10, FALSE), 1)</f>
        <v>1.6255349893800838E-4</v>
      </c>
      <c r="W2" s="7">
        <f>$B2 * IFERROR(VLOOKUP("electricity|NOx|Premature mortality", US_national_yearly!$D:$AM, 31, FALSE) / VLOOKUP("electricity|NOx|Premature mortality", US_national_yearly!$D:$AM, 10, FALSE), 1)</f>
        <v>1.6344741822179942E-4</v>
      </c>
      <c r="X2" s="7">
        <f>$B2 * IFERROR(VLOOKUP("electricity|NOx|Premature mortality", US_national_yearly!$D:$AM, 32, FALSE) / VLOOKUP("electricity|NOx|Premature mortality", US_national_yearly!$D:$AM, 10, FALSE), 1)</f>
        <v>1.6364965053451987E-4</v>
      </c>
      <c r="Y2" s="7">
        <f>$B2 * IFERROR(VLOOKUP("electricity|NOx|Premature mortality", US_national_yearly!$D:$AM, 33, FALSE) / VLOOKUP("electricity|NOx|Premature mortality", US_national_yearly!$D:$AM, 10, FALSE), 1)</f>
        <v>1.6385188284724029E-4</v>
      </c>
      <c r="Z2" s="7">
        <f>$B2 * IFERROR(VLOOKUP("electricity|NOx|Premature mortality", US_national_yearly!$D:$AM, 34, FALSE) / VLOOKUP("electricity|NOx|Premature mortality", US_national_yearly!$D:$AM, 10, FALSE), 1)</f>
        <v>1.6405411515996074E-4</v>
      </c>
      <c r="AA2" s="7">
        <f>$B2 * IFERROR(VLOOKUP("electricity|NOx|Premature mortality", US_national_yearly!$D:$AM, 35, FALSE) / VLOOKUP("electricity|NOx|Premature mortality", US_national_yearly!$D:$AM, 10, FALSE), 1)</f>
        <v>1.6425634747268116E-4</v>
      </c>
      <c r="AB2" s="7">
        <f>$B2 * IFERROR(VLOOKUP("electricity|NOx|Premature mortality", US_national_yearly!$D:$AM, 36, FALSE) / VLOOKUP("electricity|NOx|Premature mortality", US_national_yearly!$D:$AM, 10, FALSE), 1)</f>
        <v>1.644585797854016E-4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2.9604761439451929E-7</v>
      </c>
      <c r="C3" s="7">
        <f>$B3 * IFERROR(VLOOKUP("electricity|NOx|Infant mortality", US_national_yearly!$D:$AM, 11, FALSE) / VLOOKUP("electricity|NOx|Infant mortality", US_national_yearly!$D:$AM, 10, FALSE), 1)</f>
        <v>2.932779198146087E-7</v>
      </c>
      <c r="D3" s="7">
        <f>$B3 * IFERROR(VLOOKUP("electricity|NOx|Infant mortality", US_national_yearly!$D:$AM, 12, FALSE) / VLOOKUP("electricity|NOx|Infant mortality", US_national_yearly!$D:$AM, 10, FALSE), 1)</f>
        <v>2.905082252346981E-7</v>
      </c>
      <c r="E3" s="7">
        <f>$B3 * IFERROR(VLOOKUP("electricity|NOx|Infant mortality", US_national_yearly!$D:$AM, 13, FALSE) / VLOOKUP("electricity|NOx|Infant mortality", US_national_yearly!$D:$AM, 10, FALSE), 1)</f>
        <v>2.8773853065478751E-7</v>
      </c>
      <c r="F3" s="7">
        <f>$B3 * IFERROR(VLOOKUP("electricity|NOx|Infant mortality", US_national_yearly!$D:$AM, 14, FALSE) / VLOOKUP("electricity|NOx|Infant mortality", US_national_yearly!$D:$AM, 10, FALSE), 1)</f>
        <v>2.8496883607487687E-7</v>
      </c>
      <c r="G3" s="7">
        <f>$B3 * IFERROR(VLOOKUP("electricity|NOx|Infant mortality", US_national_yearly!$D:$AM, 15, FALSE) / VLOOKUP("electricity|NOx|Infant mortality", US_national_yearly!$D:$AM, 10, FALSE), 1)</f>
        <v>1.8880597228580221E-7</v>
      </c>
      <c r="H3" s="7">
        <f>$B3 * IFERROR(VLOOKUP("electricity|NOx|Infant mortality", US_national_yearly!$D:$AM, 16, FALSE) / VLOOKUP("electricity|NOx|Infant mortality", US_national_yearly!$D:$AM, 10, FALSE), 1)</f>
        <v>9.2643108496727555E-8</v>
      </c>
      <c r="I3" s="7">
        <f>$B3 * IFERROR(VLOOKUP("electricity|NOx|Infant mortality", US_national_yearly!$D:$AM, 17, FALSE) / VLOOKUP("electricity|NOx|Infant mortality", US_national_yearly!$D:$AM, 10, FALSE), 1)</f>
        <v>9.1969357186154051E-8</v>
      </c>
      <c r="J3" s="7">
        <f>$B3 * IFERROR(VLOOKUP("electricity|NOx|Infant mortality", US_national_yearly!$D:$AM, 18, FALSE) / VLOOKUP("electricity|NOx|Infant mortality", US_national_yearly!$D:$AM, 10, FALSE), 1)</f>
        <v>9.1295605875580547E-8</v>
      </c>
      <c r="K3" s="7">
        <f>$B3 * IFERROR(VLOOKUP("electricity|NOx|Infant mortality", US_national_yearly!$D:$AM, 19, FALSE) / VLOOKUP("electricity|NOx|Infant mortality", US_national_yearly!$D:$AM, 10, FALSE), 1)</f>
        <v>9.0621854565007043E-8</v>
      </c>
      <c r="L3" s="7">
        <f>$B3 * IFERROR(VLOOKUP("electricity|NOx|Infant mortality", US_national_yearly!$D:$AM, 20, FALSE) / VLOOKUP("electricity|NOx|Infant mortality", US_national_yearly!$D:$AM, 10, FALSE), 1)</f>
        <v>8.9948103254433539E-8</v>
      </c>
      <c r="M3" s="7">
        <f>$B3 * IFERROR(VLOOKUP("electricity|NOx|Infant mortality", US_national_yearly!$D:$AM, 21, FALSE) / VLOOKUP("electricity|NOx|Infant mortality", US_national_yearly!$D:$AM, 10, FALSE), 1)</f>
        <v>8.9274351943860008E-8</v>
      </c>
      <c r="N3" s="7">
        <f>$B3 * IFERROR(VLOOKUP("electricity|NOx|Infant mortality", US_national_yearly!$D:$AM, 22, FALSE) / VLOOKUP("electricity|NOx|Infant mortality", US_national_yearly!$D:$AM, 10, FALSE), 1)</f>
        <v>8.8821923098978299E-8</v>
      </c>
      <c r="O3" s="7">
        <f>$B3 * IFERROR(VLOOKUP("electricity|NOx|Infant mortality", US_national_yearly!$D:$AM, 23, FALSE) / VLOOKUP("electricity|NOx|Infant mortality", US_national_yearly!$D:$AM, 10, FALSE), 1)</f>
        <v>8.8369494254096564E-8</v>
      </c>
      <c r="P3" s="7">
        <f>$B3 * IFERROR(VLOOKUP("electricity|NOx|Infant mortality", US_national_yearly!$D:$AM, 24, FALSE) / VLOOKUP("electricity|NOx|Infant mortality", US_national_yearly!$D:$AM, 10, FALSE), 1)</f>
        <v>8.7917065409214828E-8</v>
      </c>
      <c r="Q3" s="7">
        <f>$B3 * IFERROR(VLOOKUP("electricity|NOx|Infant mortality", US_national_yearly!$D:$AM, 25, FALSE) / VLOOKUP("electricity|NOx|Infant mortality", US_national_yearly!$D:$AM, 10, FALSE), 1)</f>
        <v>8.7464636564333093E-8</v>
      </c>
      <c r="R3" s="7">
        <f>$B3 * IFERROR(VLOOKUP("electricity|NOx|Infant mortality", US_national_yearly!$D:$AM, 26, FALSE) / VLOOKUP("electricity|NOx|Infant mortality", US_national_yearly!$D:$AM, 10, FALSE), 1)</f>
        <v>8.7012207719451384E-8</v>
      </c>
      <c r="S3" s="7">
        <f>$B3 * IFERROR(VLOOKUP("electricity|NOx|Infant mortality", US_national_yearly!$D:$AM, 27, FALSE) / VLOOKUP("electricity|NOx|Infant mortality", US_national_yearly!$D:$AM, 10, FALSE), 1)</f>
        <v>8.6475095892594438E-8</v>
      </c>
      <c r="T3" s="7">
        <f>$B3 * IFERROR(VLOOKUP("electricity|NOx|Infant mortality", US_national_yearly!$D:$AM, 28, FALSE) / VLOOKUP("electricity|NOx|Infant mortality", US_national_yearly!$D:$AM, 10, FALSE), 1)</f>
        <v>8.5937984065737492E-8</v>
      </c>
      <c r="U3" s="7">
        <f>$B3 * IFERROR(VLOOKUP("electricity|NOx|Infant mortality", US_national_yearly!$D:$AM, 29, FALSE) / VLOOKUP("electricity|NOx|Infant mortality", US_national_yearly!$D:$AM, 10, FALSE), 1)</f>
        <v>8.540087223888056E-8</v>
      </c>
      <c r="V3" s="7">
        <f>$B3 * IFERROR(VLOOKUP("electricity|NOx|Infant mortality", US_national_yearly!$D:$AM, 30, FALSE) / VLOOKUP("electricity|NOx|Infant mortality", US_national_yearly!$D:$AM, 10, FALSE), 1)</f>
        <v>8.4863760412023627E-8</v>
      </c>
      <c r="W3" s="7">
        <f>$B3 * IFERROR(VLOOKUP("electricity|NOx|Infant mortality", US_national_yearly!$D:$AM, 31, FALSE) / VLOOKUP("electricity|NOx|Infant mortality", US_national_yearly!$D:$AM, 10, FALSE), 1)</f>
        <v>8.4326648585166681E-8</v>
      </c>
      <c r="X3" s="7">
        <f>$B3 * IFERROR(VLOOKUP("electricity|NOx|Infant mortality", US_national_yearly!$D:$AM, 32, FALSE) / VLOOKUP("electricity|NOx|Infant mortality", US_national_yearly!$D:$AM, 10, FALSE), 1)</f>
        <v>8.3773598302089606E-8</v>
      </c>
      <c r="Y3" s="7">
        <f>$B3 * IFERROR(VLOOKUP("electricity|NOx|Infant mortality", US_national_yearly!$D:$AM, 33, FALSE) / VLOOKUP("electricity|NOx|Infant mortality", US_national_yearly!$D:$AM, 10, FALSE), 1)</f>
        <v>8.3220548019012531E-8</v>
      </c>
      <c r="Z3" s="7">
        <f>$B3 * IFERROR(VLOOKUP("electricity|NOx|Infant mortality", US_national_yearly!$D:$AM, 34, FALSE) / VLOOKUP("electricity|NOx|Infant mortality", US_national_yearly!$D:$AM, 10, FALSE), 1)</f>
        <v>8.2667497735935442E-8</v>
      </c>
      <c r="AA3" s="7">
        <f>$B3 * IFERROR(VLOOKUP("electricity|NOx|Infant mortality", US_national_yearly!$D:$AM, 35, FALSE) / VLOOKUP("electricity|NOx|Infant mortality", US_national_yearly!$D:$AM, 10, FALSE), 1)</f>
        <v>8.2114447452858367E-8</v>
      </c>
      <c r="AB3" s="7">
        <f>$B3 * IFERROR(VLOOKUP("electricity|NOx|Infant mortality", US_national_yearly!$D:$AM, 36, FALSE) / VLOOKUP("electricity|NOx|Infant mortality", US_national_yearly!$D:$AM, 10, FALSE), 1)</f>
        <v>8.1561397169781265E-8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3.2182577297628007E-4</v>
      </c>
      <c r="C6" s="7">
        <f>$B6 * IFERROR(VLOOKUP("electricity|NOx|Asthma symptoms cough", US_national_yearly!$D:$AM, 11, FALSE) / VLOOKUP("electricity|NOx|Asthma symptoms cough", US_national_yearly!$D:$AM, 10, FALSE), 1)</f>
        <v>3.2624403242497769E-4</v>
      </c>
      <c r="D6" s="7">
        <f>$B6 * IFERROR(VLOOKUP("electricity|NOx|Asthma symptoms cough", US_national_yearly!$D:$AM, 12, FALSE) / VLOOKUP("electricity|NOx|Asthma symptoms cough", US_national_yearly!$D:$AM, 10, FALSE), 1)</f>
        <v>3.3066229187367531E-4</v>
      </c>
      <c r="E6" s="7">
        <f>$B6 * IFERROR(VLOOKUP("electricity|NOx|Asthma symptoms cough", US_national_yearly!$D:$AM, 13, FALSE) / VLOOKUP("electricity|NOx|Asthma symptoms cough", US_national_yearly!$D:$AM, 10, FALSE), 1)</f>
        <v>3.3508055132237292E-4</v>
      </c>
      <c r="F6" s="7">
        <f>$B6 * IFERROR(VLOOKUP("electricity|NOx|Asthma symptoms cough", US_national_yearly!$D:$AM, 14, FALSE) / VLOOKUP("electricity|NOx|Asthma symptoms cough", US_national_yearly!$D:$AM, 10, FALSE), 1)</f>
        <v>3.3949881077107049E-4</v>
      </c>
      <c r="G6" s="7">
        <f>$B6 * IFERROR(VLOOKUP("electricity|NOx|Asthma symptoms cough", US_national_yearly!$D:$AM, 15, FALSE) / VLOOKUP("electricity|NOx|Asthma symptoms cough", US_national_yearly!$D:$AM, 10, FALSE), 1)</f>
        <v>3.4309108996887703E-4</v>
      </c>
      <c r="H6" s="7">
        <f>$B6 * IFERROR(VLOOKUP("electricity|NOx|Asthma symptoms cough", US_national_yearly!$D:$AM, 16, FALSE) / VLOOKUP("electricity|NOx|Asthma symptoms cough", US_national_yearly!$D:$AM, 10, FALSE), 1)</f>
        <v>3.4668336916668352E-4</v>
      </c>
      <c r="I6" s="7">
        <f>$B6 * IFERROR(VLOOKUP("electricity|NOx|Asthma symptoms cough", US_national_yearly!$D:$AM, 17, FALSE) / VLOOKUP("electricity|NOx|Asthma symptoms cough", US_national_yearly!$D:$AM, 10, FALSE), 1)</f>
        <v>3.4801875600376026E-4</v>
      </c>
      <c r="J6" s="7">
        <f>$B6 * IFERROR(VLOOKUP("electricity|NOx|Asthma symptoms cough", US_national_yearly!$D:$AM, 18, FALSE) / VLOOKUP("electricity|NOx|Asthma symptoms cough", US_national_yearly!$D:$AM, 10, FALSE), 1)</f>
        <v>3.4935414284083699E-4</v>
      </c>
      <c r="K6" s="7">
        <f>$B6 * IFERROR(VLOOKUP("electricity|NOx|Asthma symptoms cough", US_national_yearly!$D:$AM, 19, FALSE) / VLOOKUP("electricity|NOx|Asthma symptoms cough", US_national_yearly!$D:$AM, 10, FALSE), 1)</f>
        <v>3.5068952967791384E-4</v>
      </c>
      <c r="L6" s="7">
        <f>$B6 * IFERROR(VLOOKUP("electricity|NOx|Asthma symptoms cough", US_national_yearly!$D:$AM, 20, FALSE) / VLOOKUP("electricity|NOx|Asthma symptoms cough", US_national_yearly!$D:$AM, 10, FALSE), 1)</f>
        <v>3.5202491651499057E-4</v>
      </c>
      <c r="M6" s="7">
        <f>$B6 * IFERROR(VLOOKUP("electricity|NOx|Asthma symptoms cough", US_national_yearly!$D:$AM, 21, FALSE) / VLOOKUP("electricity|NOx|Asthma symptoms cough", US_national_yearly!$D:$AM, 10, FALSE), 1)</f>
        <v>3.5336030335206736E-4</v>
      </c>
      <c r="N6" s="7">
        <f>$B6 * IFERROR(VLOOKUP("electricity|NOx|Asthma symptoms cough", US_national_yearly!$D:$AM, 22, FALSE) / VLOOKUP("electricity|NOx|Asthma symptoms cough", US_national_yearly!$D:$AM, 10, FALSE), 1)</f>
        <v>3.5483990084440831E-4</v>
      </c>
      <c r="O6" s="7">
        <f>$B6 * IFERROR(VLOOKUP("electricity|NOx|Asthma symptoms cough", US_national_yearly!$D:$AM, 23, FALSE) / VLOOKUP("electricity|NOx|Asthma symptoms cough", US_national_yearly!$D:$AM, 10, FALSE), 1)</f>
        <v>3.5631949833674932E-4</v>
      </c>
      <c r="P6" s="7">
        <f>$B6 * IFERROR(VLOOKUP("electricity|NOx|Asthma symptoms cough", US_national_yearly!$D:$AM, 24, FALSE) / VLOOKUP("electricity|NOx|Asthma symptoms cough", US_national_yearly!$D:$AM, 10, FALSE), 1)</f>
        <v>3.5779909582909022E-4</v>
      </c>
      <c r="Q6" s="7">
        <f>$B6 * IFERROR(VLOOKUP("electricity|NOx|Asthma symptoms cough", US_national_yearly!$D:$AM, 25, FALSE) / VLOOKUP("electricity|NOx|Asthma symptoms cough", US_national_yearly!$D:$AM, 10, FALSE), 1)</f>
        <v>3.5927869332143123E-4</v>
      </c>
      <c r="R6" s="7">
        <f>$B6 * IFERROR(VLOOKUP("electricity|NOx|Asthma symptoms cough", US_national_yearly!$D:$AM, 26, FALSE) / VLOOKUP("electricity|NOx|Asthma symptoms cough", US_national_yearly!$D:$AM, 10, FALSE), 1)</f>
        <v>3.6075829081377213E-4</v>
      </c>
      <c r="S6" s="7">
        <f>$B6 * IFERROR(VLOOKUP("electricity|NOx|Asthma symptoms cough", US_national_yearly!$D:$AM, 27, FALSE) / VLOOKUP("electricity|NOx|Asthma symptoms cough", US_national_yearly!$D:$AM, 10, FALSE), 1)</f>
        <v>3.6260422493849279E-4</v>
      </c>
      <c r="T6" s="7">
        <f>$B6 * IFERROR(VLOOKUP("electricity|NOx|Asthma symptoms cough", US_national_yearly!$D:$AM, 28, FALSE) / VLOOKUP("electricity|NOx|Asthma symptoms cough", US_national_yearly!$D:$AM, 10, FALSE), 1)</f>
        <v>3.6445015906321333E-4</v>
      </c>
      <c r="U6" s="7">
        <f>$B6 * IFERROR(VLOOKUP("electricity|NOx|Asthma symptoms cough", US_national_yearly!$D:$AM, 29, FALSE) / VLOOKUP("electricity|NOx|Asthma symptoms cough", US_national_yearly!$D:$AM, 10, FALSE), 1)</f>
        <v>3.6629609318793404E-4</v>
      </c>
      <c r="V6" s="7">
        <f>$B6 * IFERROR(VLOOKUP("electricity|NOx|Asthma symptoms cough", US_national_yearly!$D:$AM, 30, FALSE) / VLOOKUP("electricity|NOx|Asthma symptoms cough", US_national_yearly!$D:$AM, 10, FALSE), 1)</f>
        <v>3.6814202731265459E-4</v>
      </c>
      <c r="W6" s="7">
        <f>$B6 * IFERROR(VLOOKUP("electricity|NOx|Asthma symptoms cough", US_national_yearly!$D:$AM, 31, FALSE) / VLOOKUP("electricity|NOx|Asthma symptoms cough", US_national_yearly!$D:$AM, 10, FALSE), 1)</f>
        <v>3.6998796143737525E-4</v>
      </c>
      <c r="X6" s="7">
        <f>$B6 * IFERROR(VLOOKUP("electricity|NOx|Asthma symptoms cough", US_national_yearly!$D:$AM, 32, FALSE) / VLOOKUP("electricity|NOx|Asthma symptoms cough", US_national_yearly!$D:$AM, 10, FALSE), 1)</f>
        <v>3.7168863286841312E-4</v>
      </c>
      <c r="Y6" s="7">
        <f>$B6 * IFERROR(VLOOKUP("electricity|NOx|Asthma symptoms cough", US_national_yearly!$D:$AM, 33, FALSE) / VLOOKUP("electricity|NOx|Asthma symptoms cough", US_national_yearly!$D:$AM, 10, FALSE), 1)</f>
        <v>3.733893042994511E-4</v>
      </c>
      <c r="Z6" s="7">
        <f>$B6 * IFERROR(VLOOKUP("electricity|NOx|Asthma symptoms cough", US_national_yearly!$D:$AM, 34, FALSE) / VLOOKUP("electricity|NOx|Asthma symptoms cough", US_national_yearly!$D:$AM, 10, FALSE), 1)</f>
        <v>3.7508997573048903E-4</v>
      </c>
      <c r="AA6" s="7">
        <f>$B6 * IFERROR(VLOOKUP("electricity|NOx|Asthma symptoms cough", US_national_yearly!$D:$AM, 35, FALSE) / VLOOKUP("electricity|NOx|Asthma symptoms cough", US_national_yearly!$D:$AM, 10, FALSE), 1)</f>
        <v>3.7679064716152695E-4</v>
      </c>
      <c r="AB6" s="7">
        <f>$B6 * IFERROR(VLOOKUP("electricity|NOx|Asthma symptoms cough", US_national_yearly!$D:$AM, 36, FALSE) / VLOOKUP("electricity|NOx|Asthma symptoms cough", US_national_yearly!$D:$AM, 10, FALSE), 1)</f>
        <v>3.7849131859256488E-4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4.3338548753839805E-4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4.3933532028163889E-4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4.4528515302487984E-4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4.5123498576812062E-4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4.5718481851136146E-4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4.6202234799891839E-4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4.6685987748647516E-4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4.6865817121718631E-4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4.7045646494789725E-4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4.7225475867860829E-4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4.7405305240931923E-4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4.7585134614003028E-4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4.7784384061844474E-4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4.7983633509685931E-4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4.8182882957527377E-4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4.8382132405368834E-4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4.8581381853210281E-4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4.8829963888494146E-4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4.9078545923778006E-4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4.9327127959061876E-4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4.9575709994345736E-4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4.9824292029629607E-4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5.0053312317927196E-4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5.0282332606224785E-4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5.0511352894522363E-4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5.0740373182819952E-4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5.096939347111754E-4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6.6213820134126337E-4</v>
      </c>
      <c r="C8" s="7">
        <f>$B8 * IFERROR(VLOOKUP("electricity|NOx|Asthma symptoms wheeze", US_national_yearly!$D:$AM, 11, FALSE) / VLOOKUP("electricity|NOx|Asthma symptoms wheeze", US_national_yearly!$D:$AM, 10, FALSE), 1)</f>
        <v>6.7122851855422317E-4</v>
      </c>
      <c r="D8" s="7">
        <f>$B8 * IFERROR(VLOOKUP("electricity|NOx|Asthma symptoms wheeze", US_national_yearly!$D:$AM, 12, FALSE) / VLOOKUP("electricity|NOx|Asthma symptoms wheeze", US_national_yearly!$D:$AM, 10, FALSE), 1)</f>
        <v>6.8031883576718307E-4</v>
      </c>
      <c r="E8" s="7">
        <f>$B8 * IFERROR(VLOOKUP("electricity|NOx|Asthma symptoms wheeze", US_national_yearly!$D:$AM, 13, FALSE) / VLOOKUP("electricity|NOx|Asthma symptoms wheeze", US_national_yearly!$D:$AM, 10, FALSE), 1)</f>
        <v>6.8940915298014286E-4</v>
      </c>
      <c r="F8" s="7">
        <f>$B8 * IFERROR(VLOOKUP("electricity|NOx|Asthma symptoms wheeze", US_national_yearly!$D:$AM, 14, FALSE) / VLOOKUP("electricity|NOx|Asthma symptoms wheeze", US_national_yearly!$D:$AM, 10, FALSE), 1)</f>
        <v>6.9849947019310287E-4</v>
      </c>
      <c r="G8" s="7">
        <f>$B8 * IFERROR(VLOOKUP("electricity|NOx|Asthma symptoms wheeze", US_national_yearly!$D:$AM, 15, FALSE) / VLOOKUP("electricity|NOx|Asthma symptoms wheeze", US_national_yearly!$D:$AM, 10, FALSE), 1)</f>
        <v>7.0589038007458436E-4</v>
      </c>
      <c r="H8" s="7">
        <f>$B8 * IFERROR(VLOOKUP("electricity|NOx|Asthma symptoms wheeze", US_national_yearly!$D:$AM, 16, FALSE) / VLOOKUP("electricity|NOx|Asthma symptoms wheeze", US_national_yearly!$D:$AM, 10, FALSE), 1)</f>
        <v>7.1328128995606596E-4</v>
      </c>
      <c r="I8" s="7">
        <f>$B8 * IFERROR(VLOOKUP("electricity|NOx|Asthma symptoms wheeze", US_national_yearly!$D:$AM, 17, FALSE) / VLOOKUP("electricity|NOx|Asthma symptoms wheeze", US_national_yearly!$D:$AM, 10, FALSE), 1)</f>
        <v>7.1602877232387224E-4</v>
      </c>
      <c r="J8" s="7">
        <f>$B8 * IFERROR(VLOOKUP("electricity|NOx|Asthma symptoms wheeze", US_national_yearly!$D:$AM, 18, FALSE) / VLOOKUP("electricity|NOx|Asthma symptoms wheeze", US_national_yearly!$D:$AM, 10, FALSE), 1)</f>
        <v>7.1877625469167852E-4</v>
      </c>
      <c r="K8" s="7">
        <f>$B8 * IFERROR(VLOOKUP("electricity|NOx|Asthma symptoms wheeze", US_national_yearly!$D:$AM, 19, FALSE) / VLOOKUP("electricity|NOx|Asthma symptoms wheeze", US_national_yearly!$D:$AM, 10, FALSE), 1)</f>
        <v>7.2152373705948502E-4</v>
      </c>
      <c r="L8" s="7">
        <f>$B8 * IFERROR(VLOOKUP("electricity|NOx|Asthma symptoms wheeze", US_national_yearly!$D:$AM, 20, FALSE) / VLOOKUP("electricity|NOx|Asthma symptoms wheeze", US_national_yearly!$D:$AM, 10, FALSE), 1)</f>
        <v>7.242712194272913E-4</v>
      </c>
      <c r="M8" s="7">
        <f>$B8 * IFERROR(VLOOKUP("electricity|NOx|Asthma symptoms wheeze", US_national_yearly!$D:$AM, 21, FALSE) / VLOOKUP("electricity|NOx|Asthma symptoms wheeze", US_national_yearly!$D:$AM, 10, FALSE), 1)</f>
        <v>7.2701870179509758E-4</v>
      </c>
      <c r="N8" s="7">
        <f>$B8 * IFERROR(VLOOKUP("electricity|NOx|Asthma symptoms wheeze", US_national_yearly!$D:$AM, 22, FALSE) / VLOOKUP("electricity|NOx|Asthma symptoms wheeze", US_national_yearly!$D:$AM, 10, FALSE), 1)</f>
        <v>7.3006288937374323E-4</v>
      </c>
      <c r="O8" s="7">
        <f>$B8 * IFERROR(VLOOKUP("electricity|NOx|Asthma symptoms wheeze", US_national_yearly!$D:$AM, 23, FALSE) / VLOOKUP("electricity|NOx|Asthma symptoms wheeze", US_national_yearly!$D:$AM, 10, FALSE), 1)</f>
        <v>7.3310707695238911E-4</v>
      </c>
      <c r="P8" s="7">
        <f>$B8 * IFERROR(VLOOKUP("electricity|NOx|Asthma symptoms wheeze", US_national_yearly!$D:$AM, 24, FALSE) / VLOOKUP("electricity|NOx|Asthma symptoms wheeze", US_national_yearly!$D:$AM, 10, FALSE), 1)</f>
        <v>7.3615126453103487E-4</v>
      </c>
      <c r="Q8" s="7">
        <f>$B8 * IFERROR(VLOOKUP("electricity|NOx|Asthma symptoms wheeze", US_national_yearly!$D:$AM, 25, FALSE) / VLOOKUP("electricity|NOx|Asthma symptoms wheeze", US_national_yearly!$D:$AM, 10, FALSE), 1)</f>
        <v>7.3919545210968053E-4</v>
      </c>
      <c r="R8" s="7">
        <f>$B8 * IFERROR(VLOOKUP("electricity|NOx|Asthma symptoms wheeze", US_national_yearly!$D:$AM, 26, FALSE) / VLOOKUP("electricity|NOx|Asthma symptoms wheeze", US_national_yearly!$D:$AM, 10, FALSE), 1)</f>
        <v>7.4223963968832619E-4</v>
      </c>
      <c r="S8" s="7">
        <f>$B8 * IFERROR(VLOOKUP("electricity|NOx|Asthma symptoms wheeze", US_national_yearly!$D:$AM, 27, FALSE) / VLOOKUP("electricity|NOx|Asthma symptoms wheeze", US_national_yearly!$D:$AM, 10, FALSE), 1)</f>
        <v>7.4603754402664867E-4</v>
      </c>
      <c r="T8" s="7">
        <f>$B8 * IFERROR(VLOOKUP("electricity|NOx|Asthma symptoms wheeze", US_national_yearly!$D:$AM, 28, FALSE) / VLOOKUP("electricity|NOx|Asthma symptoms wheeze", US_national_yearly!$D:$AM, 10, FALSE), 1)</f>
        <v>7.4983544836497104E-4</v>
      </c>
      <c r="U8" s="7">
        <f>$B8 * IFERROR(VLOOKUP("electricity|NOx|Asthma symptoms wheeze", US_national_yearly!$D:$AM, 29, FALSE) / VLOOKUP("electricity|NOx|Asthma symptoms wheeze", US_national_yearly!$D:$AM, 10, FALSE), 1)</f>
        <v>7.536333527032933E-4</v>
      </c>
      <c r="V8" s="7">
        <f>$B8 * IFERROR(VLOOKUP("electricity|NOx|Asthma symptoms wheeze", US_national_yearly!$D:$AM, 30, FALSE) / VLOOKUP("electricity|NOx|Asthma symptoms wheeze", US_national_yearly!$D:$AM, 10, FALSE), 1)</f>
        <v>7.5743125704161567E-4</v>
      </c>
      <c r="W8" s="7">
        <f>$B8 * IFERROR(VLOOKUP("electricity|NOx|Asthma symptoms wheeze", US_national_yearly!$D:$AM, 31, FALSE) / VLOOKUP("electricity|NOx|Asthma symptoms wheeze", US_national_yearly!$D:$AM, 10, FALSE), 1)</f>
        <v>7.6122916137993804E-4</v>
      </c>
      <c r="X8" s="7">
        <f>$B8 * IFERROR(VLOOKUP("electricity|NOx|Asthma symptoms wheeze", US_national_yearly!$D:$AM, 32, FALSE) / VLOOKUP("electricity|NOx|Asthma symptoms wheeze", US_national_yearly!$D:$AM, 10, FALSE), 1)</f>
        <v>7.6472819599792937E-4</v>
      </c>
      <c r="Y8" s="7">
        <f>$B8 * IFERROR(VLOOKUP("electricity|NOx|Asthma symptoms wheeze", US_national_yearly!$D:$AM, 33, FALSE) / VLOOKUP("electricity|NOx|Asthma symptoms wheeze", US_national_yearly!$D:$AM, 10, FALSE), 1)</f>
        <v>7.6822723061592069E-4</v>
      </c>
      <c r="Z8" s="7">
        <f>$B8 * IFERROR(VLOOKUP("electricity|NOx|Asthma symptoms wheeze", US_national_yearly!$D:$AM, 34, FALSE) / VLOOKUP("electricity|NOx|Asthma symptoms wheeze", US_national_yearly!$D:$AM, 10, FALSE), 1)</f>
        <v>7.717262652339118E-4</v>
      </c>
      <c r="AA8" s="7">
        <f>$B8 * IFERROR(VLOOKUP("electricity|NOx|Asthma symptoms wheeze", US_national_yearly!$D:$AM, 35, FALSE) / VLOOKUP("electricity|NOx|Asthma symptoms wheeze", US_national_yearly!$D:$AM, 10, FALSE), 1)</f>
        <v>7.7522529985190323E-4</v>
      </c>
      <c r="AB8" s="7">
        <f>$B8 * IFERROR(VLOOKUP("electricity|NOx|Asthma symptoms wheeze", US_national_yearly!$D:$AM, 36, FALSE) / VLOOKUP("electricity|NOx|Asthma symptoms wheeze", US_national_yearly!$D:$AM, 10, FALSE), 1)</f>
        <v>7.7872433446989444E-4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8.4171018744831544E-6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8.632677912045084E-6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8.848253949607017E-6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9.0638299871689466E-6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9.2794060247308745E-6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9.4869312210092956E-6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9.69445641728772E-6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9.8729110133255495E-6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1.0051365609363379E-5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1.0229820205401212E-5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1.0408274801439041E-5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1.0586729397476872E-5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1.0709026573012317E-5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1.0831323748547761E-5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1.0953620924083205E-5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1.107591809961865E-5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1.1198215275154094E-5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1.1267867418291641E-5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1.1337519561429192E-5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1.1407171704566738E-5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1.1476823847704286E-5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1.1546475990841835E-5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1.1597137170169525E-5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1.1647798349497212E-5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1.1698459528824905E-5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1.1749120708152594E-5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1.1799781887480281E-5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5.4430088477940163E-5</v>
      </c>
      <c r="C13" s="7">
        <f>$B13 * IFERROR(VLOOKUP("electricity|NOx|Non-fatal heart attacks", US_national_yearly!$D:$AM, 11, FALSE) / VLOOKUP("electricity|NOx|Non-fatal heart attacks", US_national_yearly!$D:$AM, 10, FALSE), 1)</f>
        <v>5.5992082065114018E-5</v>
      </c>
      <c r="D13" s="7">
        <f>$B13 * IFERROR(VLOOKUP("electricity|NOx|Non-fatal heart attacks", US_national_yearly!$D:$AM, 12, FALSE) / VLOOKUP("electricity|NOx|Non-fatal heart attacks", US_national_yearly!$D:$AM, 10, FALSE), 1)</f>
        <v>5.7554075652287879E-5</v>
      </c>
      <c r="E13" s="7">
        <f>$B13 * IFERROR(VLOOKUP("electricity|NOx|Non-fatal heart attacks", US_national_yearly!$D:$AM, 13, FALSE) / VLOOKUP("electricity|NOx|Non-fatal heart attacks", US_national_yearly!$D:$AM, 10, FALSE), 1)</f>
        <v>5.9116069239461733E-5</v>
      </c>
      <c r="F13" s="7">
        <f>$B13 * IFERROR(VLOOKUP("electricity|NOx|Non-fatal heart attacks", US_national_yearly!$D:$AM, 14, FALSE) / VLOOKUP("electricity|NOx|Non-fatal heart attacks", US_national_yearly!$D:$AM, 10, FALSE), 1)</f>
        <v>6.0678062826635601E-5</v>
      </c>
      <c r="G13" s="7">
        <f>$B13 * IFERROR(VLOOKUP("electricity|NOx|Non-fatal heart attacks", US_national_yearly!$D:$AM, 15, FALSE) / VLOOKUP("electricity|NOx|Non-fatal heart attacks", US_national_yearly!$D:$AM, 10, FALSE), 1)</f>
        <v>6.2149520716863363E-5</v>
      </c>
      <c r="H13" s="7">
        <f>$B13 * IFERROR(VLOOKUP("electricity|NOx|Non-fatal heart attacks", US_national_yearly!$D:$AM, 16, FALSE) / VLOOKUP("electricity|NOx|Non-fatal heart attacks", US_national_yearly!$D:$AM, 10, FALSE), 1)</f>
        <v>6.3620978607091118E-5</v>
      </c>
      <c r="I13" s="7">
        <f>$B13 * IFERROR(VLOOKUP("electricity|NOx|Non-fatal heart attacks", US_national_yearly!$D:$AM, 17, FALSE) / VLOOKUP("electricity|NOx|Non-fatal heart attacks", US_national_yearly!$D:$AM, 10, FALSE), 1)</f>
        <v>6.4800938968666901E-5</v>
      </c>
      <c r="J13" s="7">
        <f>$B13 * IFERROR(VLOOKUP("electricity|NOx|Non-fatal heart attacks", US_national_yearly!$D:$AM, 18, FALSE) / VLOOKUP("electricity|NOx|Non-fatal heart attacks", US_national_yearly!$D:$AM, 10, FALSE), 1)</f>
        <v>6.5980899330242684E-5</v>
      </c>
      <c r="K13" s="7">
        <f>$B13 * IFERROR(VLOOKUP("electricity|NOx|Non-fatal heart attacks", US_national_yearly!$D:$AM, 19, FALSE) / VLOOKUP("electricity|NOx|Non-fatal heart attacks", US_national_yearly!$D:$AM, 10, FALSE), 1)</f>
        <v>6.7160859691818412E-5</v>
      </c>
      <c r="L13" s="7">
        <f>$B13 * IFERROR(VLOOKUP("electricity|NOx|Non-fatal heart attacks", US_national_yearly!$D:$AM, 20, FALSE) / VLOOKUP("electricity|NOx|Non-fatal heart attacks", US_national_yearly!$D:$AM, 10, FALSE), 1)</f>
        <v>6.8340820053394209E-5</v>
      </c>
      <c r="M13" s="7">
        <f>$B13 * IFERROR(VLOOKUP("electricity|NOx|Non-fatal heart attacks", US_national_yearly!$D:$AM, 21, FALSE) / VLOOKUP("electricity|NOx|Non-fatal heart attacks", US_national_yearly!$D:$AM, 10, FALSE), 1)</f>
        <v>6.9520780414970005E-5</v>
      </c>
      <c r="N13" s="7">
        <f>$B13 * IFERROR(VLOOKUP("electricity|NOx|Non-fatal heart attacks", US_national_yearly!$D:$AM, 22, FALSE) / VLOOKUP("electricity|NOx|Non-fatal heart attacks", US_national_yearly!$D:$AM, 10, FALSE), 1)</f>
        <v>7.0248486486519575E-5</v>
      </c>
      <c r="O13" s="7">
        <f>$B13 * IFERROR(VLOOKUP("electricity|NOx|Non-fatal heart attacks", US_national_yearly!$D:$AM, 23, FALSE) / VLOOKUP("electricity|NOx|Non-fatal heart attacks", US_national_yearly!$D:$AM, 10, FALSE), 1)</f>
        <v>7.0976192558069187E-5</v>
      </c>
      <c r="P13" s="7">
        <f>$B13 * IFERROR(VLOOKUP("electricity|NOx|Non-fatal heart attacks", US_national_yearly!$D:$AM, 24, FALSE) / VLOOKUP("electricity|NOx|Non-fatal heart attacks", US_national_yearly!$D:$AM, 10, FALSE), 1)</f>
        <v>7.1703898629618771E-5</v>
      </c>
      <c r="Q13" s="7">
        <f>$B13 * IFERROR(VLOOKUP("electricity|NOx|Non-fatal heart attacks", US_national_yearly!$D:$AM, 25, FALSE) / VLOOKUP("electricity|NOx|Non-fatal heart attacks", US_national_yearly!$D:$AM, 10, FALSE), 1)</f>
        <v>7.2431604701168355E-5</v>
      </c>
      <c r="R13" s="7">
        <f>$B13 * IFERROR(VLOOKUP("electricity|NOx|Non-fatal heart attacks", US_national_yearly!$D:$AM, 26, FALSE) / VLOOKUP("electricity|NOx|Non-fatal heart attacks", US_national_yearly!$D:$AM, 10, FALSE), 1)</f>
        <v>7.3159310772717953E-5</v>
      </c>
      <c r="S13" s="7">
        <f>$B13 * IFERROR(VLOOKUP("electricity|NOx|Non-fatal heart attacks", US_national_yearly!$D:$AM, 27, FALSE) / VLOOKUP("electricity|NOx|Non-fatal heart attacks", US_national_yearly!$D:$AM, 10, FALSE), 1)</f>
        <v>7.3514865534911864E-5</v>
      </c>
      <c r="T13" s="7">
        <f>$B13 * IFERROR(VLOOKUP("electricity|NOx|Non-fatal heart attacks", US_national_yearly!$D:$AM, 28, FALSE) / VLOOKUP("electricity|NOx|Non-fatal heart attacks", US_national_yearly!$D:$AM, 10, FALSE), 1)</f>
        <v>7.3870420297105763E-5</v>
      </c>
      <c r="U13" s="7">
        <f>$B13 * IFERROR(VLOOKUP("electricity|NOx|Non-fatal heart attacks", US_national_yearly!$D:$AM, 29, FALSE) / VLOOKUP("electricity|NOx|Non-fatal heart attacks", US_national_yearly!$D:$AM, 10, FALSE), 1)</f>
        <v>7.4225975059299688E-5</v>
      </c>
      <c r="V13" s="7">
        <f>$B13 * IFERROR(VLOOKUP("electricity|NOx|Non-fatal heart attacks", US_national_yearly!$D:$AM, 30, FALSE) / VLOOKUP("electricity|NOx|Non-fatal heart attacks", US_national_yearly!$D:$AM, 10, FALSE), 1)</f>
        <v>7.45815298214936E-5</v>
      </c>
      <c r="W13" s="7">
        <f>$B13 * IFERROR(VLOOKUP("electricity|NOx|Non-fatal heart attacks", US_national_yearly!$D:$AM, 31, FALSE) / VLOOKUP("electricity|NOx|Non-fatal heart attacks", US_national_yearly!$D:$AM, 10, FALSE), 1)</f>
        <v>7.4937084583687525E-5</v>
      </c>
      <c r="X13" s="7">
        <f>$B13 * IFERROR(VLOOKUP("electricity|NOx|Non-fatal heart attacks", US_national_yearly!$D:$AM, 32, FALSE) / VLOOKUP("electricity|NOx|Non-fatal heart attacks", US_national_yearly!$D:$AM, 10, FALSE), 1)</f>
        <v>7.518525235878596E-5</v>
      </c>
      <c r="Y13" s="7">
        <f>$B13 * IFERROR(VLOOKUP("electricity|NOx|Non-fatal heart attacks", US_national_yearly!$D:$AM, 33, FALSE) / VLOOKUP("electricity|NOx|Non-fatal heart attacks", US_national_yearly!$D:$AM, 10, FALSE), 1)</f>
        <v>7.5433420133884423E-5</v>
      </c>
      <c r="Z13" s="7">
        <f>$B13 * IFERROR(VLOOKUP("electricity|NOx|Non-fatal heart attacks", US_national_yearly!$D:$AM, 34, FALSE) / VLOOKUP("electricity|NOx|Non-fatal heart attacks", US_national_yearly!$D:$AM, 10, FALSE), 1)</f>
        <v>7.5681587908982858E-5</v>
      </c>
      <c r="AA13" s="7">
        <f>$B13 * IFERROR(VLOOKUP("electricity|NOx|Non-fatal heart attacks", US_national_yearly!$D:$AM, 35, FALSE) / VLOOKUP("electricity|NOx|Non-fatal heart attacks", US_national_yearly!$D:$AM, 10, FALSE), 1)</f>
        <v>7.5929755684081294E-5</v>
      </c>
      <c r="AB13" s="7">
        <f>$B13 * IFERROR(VLOOKUP("electricity|NOx|Non-fatal heart attacks", US_national_yearly!$D:$AM, 36, FALSE) / VLOOKUP("electricity|NOx|Non-fatal heart attacks", US_national_yearly!$D:$AM, 10, FALSE), 1)</f>
        <v>7.6177923459179757E-5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4.1580254246747189E-2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4.1644005855154979E-2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4.170775746356277E-2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4.1771509071970553E-2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4.183526068037835E-2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4.1946465763929207E-2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4.205767084748005E-2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4.2277689352188008E-2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4.2497707856895946E-2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4.2717726361603904E-2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4.2937744866311849E-2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4.31577633710198E-2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4.3475928614859993E-2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4.379409385870018E-2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4.4112259102540366E-2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4.4430424346380559E-2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4.4748589590220753E-2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4.5069160902214862E-2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4.5389732214208965E-2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4.5710303526203082E-2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4.6030874838197192E-2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4.6351446150191301E-2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4.66225544781513E-2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4.6893662806111271E-2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4.7164771134071304E-2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4.7435879462031295E-2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4.7706987789991287E-2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7.024211983628151E-3</v>
      </c>
      <c r="C15" s="7">
        <f>$B15 * IFERROR(VLOOKUP("electricity|NOx|Work loss days", US_national_yearly!$D:$AM, 11, FALSE) / VLOOKUP("electricity|NOx|Work loss days", US_national_yearly!$D:$AM, 10, FALSE), 1)</f>
        <v>7.0398784868075485E-3</v>
      </c>
      <c r="D15" s="7">
        <f>$B15 * IFERROR(VLOOKUP("electricity|NOx|Work loss days", US_national_yearly!$D:$AM, 12, FALSE) / VLOOKUP("electricity|NOx|Work loss days", US_national_yearly!$D:$AM, 10, FALSE), 1)</f>
        <v>7.0555449899869461E-3</v>
      </c>
      <c r="E15" s="7">
        <f>$B15 * IFERROR(VLOOKUP("electricity|NOx|Work loss days", US_national_yearly!$D:$AM, 13, FALSE) / VLOOKUP("electricity|NOx|Work loss days", US_national_yearly!$D:$AM, 10, FALSE), 1)</f>
        <v>7.0712114931663437E-3</v>
      </c>
      <c r="F15" s="7">
        <f>$B15 * IFERROR(VLOOKUP("electricity|NOx|Work loss days", US_national_yearly!$D:$AM, 14, FALSE) / VLOOKUP("electricity|NOx|Work loss days", US_national_yearly!$D:$AM, 10, FALSE), 1)</f>
        <v>7.0868779963457413E-3</v>
      </c>
      <c r="G15" s="7">
        <f>$B15 * IFERROR(VLOOKUP("electricity|NOx|Work loss days", US_national_yearly!$D:$AM, 15, FALSE) / VLOOKUP("electricity|NOx|Work loss days", US_national_yearly!$D:$AM, 10, FALSE), 1)</f>
        <v>7.1089641744108258E-3</v>
      </c>
      <c r="H15" s="7">
        <f>$B15 * IFERROR(VLOOKUP("electricity|NOx|Work loss days", US_national_yearly!$D:$AM, 16, FALSE) / VLOOKUP("electricity|NOx|Work loss days", US_national_yearly!$D:$AM, 10, FALSE), 1)</f>
        <v>7.1310503524759095E-3</v>
      </c>
      <c r="I15" s="7">
        <f>$B15 * IFERROR(VLOOKUP("electricity|NOx|Work loss days", US_national_yearly!$D:$AM, 17, FALSE) / VLOOKUP("electricity|NOx|Work loss days", US_national_yearly!$D:$AM, 10, FALSE), 1)</f>
        <v>7.1669123766734989E-3</v>
      </c>
      <c r="J15" s="7">
        <f>$B15 * IFERROR(VLOOKUP("electricity|NOx|Work loss days", US_national_yearly!$D:$AM, 18, FALSE) / VLOOKUP("electricity|NOx|Work loss days", US_national_yearly!$D:$AM, 10, FALSE), 1)</f>
        <v>7.2027744008710875E-3</v>
      </c>
      <c r="K15" s="7">
        <f>$B15 * IFERROR(VLOOKUP("electricity|NOx|Work loss days", US_national_yearly!$D:$AM, 19, FALSE) / VLOOKUP("electricity|NOx|Work loss days", US_national_yearly!$D:$AM, 10, FALSE), 1)</f>
        <v>7.2386364250686753E-3</v>
      </c>
      <c r="L15" s="7">
        <f>$B15 * IFERROR(VLOOKUP("electricity|NOx|Work loss days", US_national_yearly!$D:$AM, 20, FALSE) / VLOOKUP("electricity|NOx|Work loss days", US_national_yearly!$D:$AM, 10, FALSE), 1)</f>
        <v>7.274498449266263E-3</v>
      </c>
      <c r="M15" s="7">
        <f>$B15 * IFERROR(VLOOKUP("electricity|NOx|Work loss days", US_national_yearly!$D:$AM, 21, FALSE) / VLOOKUP("electricity|NOx|Work loss days", US_national_yearly!$D:$AM, 10, FALSE), 1)</f>
        <v>7.3103604734638507E-3</v>
      </c>
      <c r="N15" s="7">
        <f>$B15 * IFERROR(VLOOKUP("electricity|NOx|Work loss days", US_national_yearly!$D:$AM, 22, FALSE) / VLOOKUP("electricity|NOx|Work loss days", US_national_yearly!$D:$AM, 10, FALSE), 1)</f>
        <v>7.3576757187114612E-3</v>
      </c>
      <c r="O15" s="7">
        <f>$B15 * IFERROR(VLOOKUP("electricity|NOx|Work loss days", US_national_yearly!$D:$AM, 23, FALSE) / VLOOKUP("electricity|NOx|Work loss days", US_national_yearly!$D:$AM, 10, FALSE), 1)</f>
        <v>7.4049909639590707E-3</v>
      </c>
      <c r="P15" s="7">
        <f>$B15 * IFERROR(VLOOKUP("electricity|NOx|Work loss days", US_national_yearly!$D:$AM, 24, FALSE) / VLOOKUP("electricity|NOx|Work loss days", US_national_yearly!$D:$AM, 10, FALSE), 1)</f>
        <v>7.4523062092066812E-3</v>
      </c>
      <c r="Q15" s="7">
        <f>$B15 * IFERROR(VLOOKUP("electricity|NOx|Work loss days", US_national_yearly!$D:$AM, 25, FALSE) / VLOOKUP("electricity|NOx|Work loss days", US_national_yearly!$D:$AM, 10, FALSE), 1)</f>
        <v>7.4996214544542916E-3</v>
      </c>
      <c r="R15" s="7">
        <f>$B15 * IFERROR(VLOOKUP("electricity|NOx|Work loss days", US_national_yearly!$D:$AM, 26, FALSE) / VLOOKUP("electricity|NOx|Work loss days", US_national_yearly!$D:$AM, 10, FALSE), 1)</f>
        <v>7.5469366997018995E-3</v>
      </c>
      <c r="S15" s="7">
        <f>$B15 * IFERROR(VLOOKUP("electricity|NOx|Work loss days", US_national_yearly!$D:$AM, 27, FALSE) / VLOOKUP("electricity|NOx|Work loss days", US_national_yearly!$D:$AM, 10, FALSE), 1)</f>
        <v>7.5999594571318149E-3</v>
      </c>
      <c r="T15" s="7">
        <f>$B15 * IFERROR(VLOOKUP("electricity|NOx|Work loss days", US_national_yearly!$D:$AM, 28, FALSE) / VLOOKUP("electricity|NOx|Work loss days", US_national_yearly!$D:$AM, 10, FALSE), 1)</f>
        <v>7.6529822145617278E-3</v>
      </c>
      <c r="U15" s="7">
        <f>$B15 * IFERROR(VLOOKUP("electricity|NOx|Work loss days", US_national_yearly!$D:$AM, 29, FALSE) / VLOOKUP("electricity|NOx|Work loss days", US_national_yearly!$D:$AM, 10, FALSE), 1)</f>
        <v>7.7060049719916415E-3</v>
      </c>
      <c r="V15" s="7">
        <f>$B15 * IFERROR(VLOOKUP("electricity|NOx|Work loss days", US_national_yearly!$D:$AM, 30, FALSE) / VLOOKUP("electricity|NOx|Work loss days", US_national_yearly!$D:$AM, 10, FALSE), 1)</f>
        <v>7.7590277294215552E-3</v>
      </c>
      <c r="W15" s="7">
        <f>$B15 * IFERROR(VLOOKUP("electricity|NOx|Work loss days", US_national_yearly!$D:$AM, 31, FALSE) / VLOOKUP("electricity|NOx|Work loss days", US_national_yearly!$D:$AM, 10, FALSE), 1)</f>
        <v>7.8120504868514707E-3</v>
      </c>
      <c r="X15" s="7">
        <f>$B15 * IFERROR(VLOOKUP("electricity|NOx|Work loss days", US_national_yearly!$D:$AM, 32, FALSE) / VLOOKUP("electricity|NOx|Work loss days", US_national_yearly!$D:$AM, 10, FALSE), 1)</f>
        <v>7.8582706540730636E-3</v>
      </c>
      <c r="Y15" s="7">
        <f>$B15 * IFERROR(VLOOKUP("electricity|NOx|Work loss days", US_national_yearly!$D:$AM, 33, FALSE) / VLOOKUP("electricity|NOx|Work loss days", US_national_yearly!$D:$AM, 10, FALSE), 1)</f>
        <v>7.9044908212946557E-3</v>
      </c>
      <c r="Z15" s="7">
        <f>$B15 * IFERROR(VLOOKUP("electricity|NOx|Work loss days", US_national_yearly!$D:$AM, 34, FALSE) / VLOOKUP("electricity|NOx|Work loss days", US_national_yearly!$D:$AM, 10, FALSE), 1)</f>
        <v>7.9507109885162495E-3</v>
      </c>
      <c r="AA15" s="7">
        <f>$B15 * IFERROR(VLOOKUP("electricity|NOx|Work loss days", US_national_yearly!$D:$AM, 35, FALSE) / VLOOKUP("electricity|NOx|Work loss days", US_national_yearly!$D:$AM, 10, FALSE), 1)</f>
        <v>7.9969311557378433E-3</v>
      </c>
      <c r="AB15" s="7">
        <f>$B15 * IFERROR(VLOOKUP("electricity|NOx|Work loss days", US_national_yearly!$D:$AM, 36, FALSE) / VLOOKUP("electricity|NOx|Work loss days", US_national_yearly!$D:$AM, 10, FALSE), 1)</f>
        <v>8.0431513229594354E-3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1.4015208431916829E-5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1.4428049288822377E-5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1.4840890145727929E-5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1.5253731002633477E-5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1.566657185953903E-5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1.6061899034388294E-5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1.6457226209237562E-5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1.6794658246991455E-5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1.7132090284745356E-5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1.7469522322499256E-5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1.7806954360253153E-5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1.814438639800705E-5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1.836094087351169E-5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1.857749534901633E-5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1.879404982452097E-5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1.9010604300025611E-5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1.9227158775530247E-5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1.9333729049307794E-5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1.9440299323085337E-5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1.954686959686288E-5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1.9653439870640427E-5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1.9760010144417974E-5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1.9823881757418765E-5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1.988775337041956E-5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1.9951624983420356E-5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2.0015496596421151E-5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2.0079368209421946E-5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4.3024445937533294E-3</v>
      </c>
      <c r="C2" s="7">
        <f>$B2 * IFERROR(VLOOKUP("electricity|SO2|Premature mortality", US_national_yearly!$D:$AM, 11, FALSE) / VLOOKUP("electricity|SO2|Premature mortality", US_national_yearly!$D:$AM, 10, FALSE), 1)</f>
        <v>4.3576029260472323E-3</v>
      </c>
      <c r="D2" s="7">
        <f>$B2 * IFERROR(VLOOKUP("electricity|SO2|Premature mortality", US_national_yearly!$D:$AM, 12, FALSE) / VLOOKUP("electricity|SO2|Premature mortality", US_national_yearly!$D:$AM, 10, FALSE), 1)</f>
        <v>4.4127612583411344E-3</v>
      </c>
      <c r="E2" s="7">
        <f>$B2 * IFERROR(VLOOKUP("electricity|SO2|Premature mortality", US_national_yearly!$D:$AM, 13, FALSE) / VLOOKUP("electricity|SO2|Premature mortality", US_national_yearly!$D:$AM, 10, FALSE), 1)</f>
        <v>4.4679195906350364E-3</v>
      </c>
      <c r="F2" s="7">
        <f>$B2 * IFERROR(VLOOKUP("electricity|SO2|Premature mortality", US_national_yearly!$D:$AM, 14, FALSE) / VLOOKUP("electricity|SO2|Premature mortality", US_national_yearly!$D:$AM, 10, FALSE), 1)</f>
        <v>4.5230779229289385E-3</v>
      </c>
      <c r="G2" s="7">
        <f>$B2 * IFERROR(VLOOKUP("electricity|SO2|Premature mortality", US_national_yearly!$D:$AM, 15, FALSE) / VLOOKUP("electricity|SO2|Premature mortality", US_national_yearly!$D:$AM, 10, FALSE), 1)</f>
        <v>4.6293349946921808E-3</v>
      </c>
      <c r="H2" s="7">
        <f>$B2 * IFERROR(VLOOKUP("electricity|SO2|Premature mortality", US_national_yearly!$D:$AM, 16, FALSE) / VLOOKUP("electricity|SO2|Premature mortality", US_national_yearly!$D:$AM, 10, FALSE), 1)</f>
        <v>4.735592066455423E-3</v>
      </c>
      <c r="I2" s="7">
        <f>$B2 * IFERROR(VLOOKUP("electricity|SO2|Premature mortality", US_national_yearly!$D:$AM, 17, FALSE) / VLOOKUP("electricity|SO2|Premature mortality", US_national_yearly!$D:$AM, 10, FALSE), 1)</f>
        <v>4.8071177516001463E-3</v>
      </c>
      <c r="J2" s="7">
        <f>$B2 * IFERROR(VLOOKUP("electricity|SO2|Premature mortality", US_national_yearly!$D:$AM, 18, FALSE) / VLOOKUP("electricity|SO2|Premature mortality", US_national_yearly!$D:$AM, 10, FALSE), 1)</f>
        <v>4.8786434367448705E-3</v>
      </c>
      <c r="K2" s="7">
        <f>$B2 * IFERROR(VLOOKUP("electricity|SO2|Premature mortality", US_national_yearly!$D:$AM, 19, FALSE) / VLOOKUP("electricity|SO2|Premature mortality", US_national_yearly!$D:$AM, 10, FALSE), 1)</f>
        <v>4.9501691218895938E-3</v>
      </c>
      <c r="L2" s="7">
        <f>$B2 * IFERROR(VLOOKUP("electricity|SO2|Premature mortality", US_national_yearly!$D:$AM, 20, FALSE) / VLOOKUP("electricity|SO2|Premature mortality", US_national_yearly!$D:$AM, 10, FALSE), 1)</f>
        <v>5.021694807034318E-3</v>
      </c>
      <c r="M2" s="7">
        <f>$B2 * IFERROR(VLOOKUP("electricity|SO2|Premature mortality", US_national_yearly!$D:$AM, 21, FALSE) / VLOOKUP("electricity|SO2|Premature mortality", US_national_yearly!$D:$AM, 10, FALSE), 1)</f>
        <v>5.0932204921790413E-3</v>
      </c>
      <c r="N2" s="7">
        <f>$B2 * IFERROR(VLOOKUP("electricity|SO2|Premature mortality", US_national_yearly!$D:$AM, 22, FALSE) / VLOOKUP("electricity|SO2|Premature mortality", US_national_yearly!$D:$AM, 10, FALSE), 1)</f>
        <v>5.1505426279135945E-3</v>
      </c>
      <c r="O2" s="7">
        <f>$B2 * IFERROR(VLOOKUP("electricity|SO2|Premature mortality", US_national_yearly!$D:$AM, 23, FALSE) / VLOOKUP("electricity|SO2|Premature mortality", US_national_yearly!$D:$AM, 10, FALSE), 1)</f>
        <v>5.2078647636481486E-3</v>
      </c>
      <c r="P2" s="7">
        <f>$B2 * IFERROR(VLOOKUP("electricity|SO2|Premature mortality", US_national_yearly!$D:$AM, 24, FALSE) / VLOOKUP("electricity|SO2|Premature mortality", US_national_yearly!$D:$AM, 10, FALSE), 1)</f>
        <v>5.265186899382701E-3</v>
      </c>
      <c r="Q2" s="7">
        <f>$B2 * IFERROR(VLOOKUP("electricity|SO2|Premature mortality", US_national_yearly!$D:$AM, 25, FALSE) / VLOOKUP("electricity|SO2|Premature mortality", US_national_yearly!$D:$AM, 10, FALSE), 1)</f>
        <v>5.3225090351172542E-3</v>
      </c>
      <c r="R2" s="7">
        <f>$B2 * IFERROR(VLOOKUP("electricity|SO2|Premature mortality", US_national_yearly!$D:$AM, 26, FALSE) / VLOOKUP("electricity|SO2|Premature mortality", US_national_yearly!$D:$AM, 10, FALSE), 1)</f>
        <v>5.3798311708518074E-3</v>
      </c>
      <c r="S2" s="7">
        <f>$B2 * IFERROR(VLOOKUP("electricity|SO2|Premature mortality", US_national_yearly!$D:$AM, 27, FALSE) / VLOOKUP("electricity|SO2|Premature mortality", US_national_yearly!$D:$AM, 10, FALSE), 1)</f>
        <v>5.4126956256219608E-3</v>
      </c>
      <c r="T2" s="7">
        <f>$B2 * IFERROR(VLOOKUP("electricity|SO2|Premature mortality", US_national_yearly!$D:$AM, 28, FALSE) / VLOOKUP("electricity|SO2|Premature mortality", US_national_yearly!$D:$AM, 10, FALSE), 1)</f>
        <v>5.445560080392116E-3</v>
      </c>
      <c r="U2" s="7">
        <f>$B2 * IFERROR(VLOOKUP("electricity|SO2|Premature mortality", US_national_yearly!$D:$AM, 29, FALSE) / VLOOKUP("electricity|SO2|Premature mortality", US_national_yearly!$D:$AM, 10, FALSE), 1)</f>
        <v>5.4784245351622704E-3</v>
      </c>
      <c r="V2" s="7">
        <f>$B2 * IFERROR(VLOOKUP("electricity|SO2|Premature mortality", US_national_yearly!$D:$AM, 30, FALSE) / VLOOKUP("electricity|SO2|Premature mortality", US_national_yearly!$D:$AM, 10, FALSE), 1)</f>
        <v>5.5112889899324247E-3</v>
      </c>
      <c r="W2" s="7">
        <f>$B2 * IFERROR(VLOOKUP("electricity|SO2|Premature mortality", US_national_yearly!$D:$AM, 31, FALSE) / VLOOKUP("electricity|SO2|Premature mortality", US_national_yearly!$D:$AM, 10, FALSE), 1)</f>
        <v>5.544153444702579E-3</v>
      </c>
      <c r="X2" s="7">
        <f>$B2 * IFERROR(VLOOKUP("electricity|SO2|Premature mortality", US_national_yearly!$D:$AM, 32, FALSE) / VLOOKUP("electricity|SO2|Premature mortality", US_national_yearly!$D:$AM, 10, FALSE), 1)</f>
        <v>5.5538368139435466E-3</v>
      </c>
      <c r="Y2" s="7">
        <f>$B2 * IFERROR(VLOOKUP("electricity|SO2|Premature mortality", US_national_yearly!$D:$AM, 33, FALSE) / VLOOKUP("electricity|SO2|Premature mortality", US_national_yearly!$D:$AM, 10, FALSE), 1)</f>
        <v>5.5635201831845124E-3</v>
      </c>
      <c r="Z2" s="7">
        <f>$B2 * IFERROR(VLOOKUP("electricity|SO2|Premature mortality", US_national_yearly!$D:$AM, 34, FALSE) / VLOOKUP("electricity|SO2|Premature mortality", US_national_yearly!$D:$AM, 10, FALSE), 1)</f>
        <v>5.5732035524254783E-3</v>
      </c>
      <c r="AA2" s="7">
        <f>$B2 * IFERROR(VLOOKUP("electricity|SO2|Premature mortality", US_national_yearly!$D:$AM, 35, FALSE) / VLOOKUP("electricity|SO2|Premature mortality", US_national_yearly!$D:$AM, 10, FALSE), 1)</f>
        <v>5.5828869216664459E-3</v>
      </c>
      <c r="AB2" s="7">
        <f>$B2 * IFERROR(VLOOKUP("electricity|SO2|Premature mortality", US_national_yearly!$D:$AM, 36, FALSE) / VLOOKUP("electricity|SO2|Premature mortality", US_national_yearly!$D:$AM, 10, FALSE), 1)</f>
        <v>5.5925702909074117E-3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1.0371322176553141E-5</v>
      </c>
      <c r="C3" s="7">
        <f>$B3 * IFERROR(VLOOKUP("electricity|SO2|Infant mortality", US_national_yearly!$D:$AM, 11, FALSE) / VLOOKUP("electricity|SO2|Infant mortality", US_national_yearly!$D:$AM, 10, FALSE), 1)</f>
        <v>1.0283704223833676E-5</v>
      </c>
      <c r="D3" s="7">
        <f>$B3 * IFERROR(VLOOKUP("electricity|SO2|Infant mortality", US_national_yearly!$D:$AM, 12, FALSE) / VLOOKUP("electricity|SO2|Infant mortality", US_national_yearly!$D:$AM, 10, FALSE), 1)</f>
        <v>1.019608627111421E-5</v>
      </c>
      <c r="E3" s="7">
        <f>$B3 * IFERROR(VLOOKUP("electricity|SO2|Infant mortality", US_national_yearly!$D:$AM, 13, FALSE) / VLOOKUP("electricity|SO2|Infant mortality", US_national_yearly!$D:$AM, 10, FALSE), 1)</f>
        <v>1.0108468318394744E-5</v>
      </c>
      <c r="F3" s="7">
        <f>$B3 * IFERROR(VLOOKUP("electricity|SO2|Infant mortality", US_national_yearly!$D:$AM, 14, FALSE) / VLOOKUP("electricity|SO2|Infant mortality", US_national_yearly!$D:$AM, 10, FALSE), 1)</f>
        <v>1.0020850365675281E-5</v>
      </c>
      <c r="G3" s="7">
        <f>$B3 * IFERROR(VLOOKUP("electricity|SO2|Infant mortality", US_national_yearly!$D:$AM, 15, FALSE) / VLOOKUP("electricity|SO2|Infant mortality", US_national_yearly!$D:$AM, 10, FALSE), 1)</f>
        <v>6.664384585917094E-6</v>
      </c>
      <c r="H3" s="7">
        <f>$B3 * IFERROR(VLOOKUP("electricity|SO2|Infant mortality", US_national_yearly!$D:$AM, 16, FALSE) / VLOOKUP("electricity|SO2|Infant mortality", US_national_yearly!$D:$AM, 10, FALSE), 1)</f>
        <v>3.3079188061589076E-6</v>
      </c>
      <c r="I3" s="7">
        <f>$B3 * IFERROR(VLOOKUP("electricity|SO2|Infant mortality", US_national_yearly!$D:$AM, 17, FALSE) / VLOOKUP("electricity|SO2|Infant mortality", US_national_yearly!$D:$AM, 10, FALSE), 1)</f>
        <v>3.2867564596392733E-6</v>
      </c>
      <c r="J3" s="7">
        <f>$B3 * IFERROR(VLOOKUP("electricity|SO2|Infant mortality", US_national_yearly!$D:$AM, 18, FALSE) / VLOOKUP("electricity|SO2|Infant mortality", US_national_yearly!$D:$AM, 10, FALSE), 1)</f>
        <v>3.2655941131196382E-6</v>
      </c>
      <c r="K3" s="7">
        <f>$B3 * IFERROR(VLOOKUP("electricity|SO2|Infant mortality", US_national_yearly!$D:$AM, 19, FALSE) / VLOOKUP("electricity|SO2|Infant mortality", US_national_yearly!$D:$AM, 10, FALSE), 1)</f>
        <v>3.2444317666000039E-6</v>
      </c>
      <c r="L3" s="7">
        <f>$B3 * IFERROR(VLOOKUP("electricity|SO2|Infant mortality", US_national_yearly!$D:$AM, 20, FALSE) / VLOOKUP("electricity|SO2|Infant mortality", US_national_yearly!$D:$AM, 10, FALSE), 1)</f>
        <v>3.2232694200803688E-6</v>
      </c>
      <c r="M3" s="7">
        <f>$B3 * IFERROR(VLOOKUP("electricity|SO2|Infant mortality", US_national_yearly!$D:$AM, 21, FALSE) / VLOOKUP("electricity|SO2|Infant mortality", US_national_yearly!$D:$AM, 10, FALSE), 1)</f>
        <v>3.2021070735607345E-6</v>
      </c>
      <c r="N3" s="7">
        <f>$B3 * IFERROR(VLOOKUP("electricity|SO2|Infant mortality", US_national_yearly!$D:$AM, 22, FALSE) / VLOOKUP("electricity|SO2|Infant mortality", US_national_yearly!$D:$AM, 10, FALSE), 1)</f>
        <v>3.1886976730382063E-6</v>
      </c>
      <c r="O3" s="7">
        <f>$B3 * IFERROR(VLOOKUP("electricity|SO2|Infant mortality", US_national_yearly!$D:$AM, 23, FALSE) / VLOOKUP("electricity|SO2|Infant mortality", US_national_yearly!$D:$AM, 10, FALSE), 1)</f>
        <v>3.1752882725156772E-6</v>
      </c>
      <c r="P3" s="7">
        <f>$B3 * IFERROR(VLOOKUP("electricity|SO2|Infant mortality", US_national_yearly!$D:$AM, 24, FALSE) / VLOOKUP("electricity|SO2|Infant mortality", US_national_yearly!$D:$AM, 10, FALSE), 1)</f>
        <v>3.1618788719931485E-6</v>
      </c>
      <c r="Q3" s="7">
        <f>$B3 * IFERROR(VLOOKUP("electricity|SO2|Infant mortality", US_national_yearly!$D:$AM, 25, FALSE) / VLOOKUP("electricity|SO2|Infant mortality", US_national_yearly!$D:$AM, 10, FALSE), 1)</f>
        <v>3.1484694714706203E-6</v>
      </c>
      <c r="R3" s="7">
        <f>$B3 * IFERROR(VLOOKUP("electricity|SO2|Infant mortality", US_national_yearly!$D:$AM, 26, FALSE) / VLOOKUP("electricity|SO2|Infant mortality", US_national_yearly!$D:$AM, 10, FALSE), 1)</f>
        <v>3.1350600709480921E-6</v>
      </c>
      <c r="S3" s="7">
        <f>$B3 * IFERROR(VLOOKUP("electricity|SO2|Infant mortality", US_national_yearly!$D:$AM, 27, FALSE) / VLOOKUP("electricity|SO2|Infant mortality", US_national_yearly!$D:$AM, 10, FALSE), 1)</f>
        <v>3.1183469523128609E-6</v>
      </c>
      <c r="T3" s="7">
        <f>$B3 * IFERROR(VLOOKUP("electricity|SO2|Infant mortality", US_national_yearly!$D:$AM, 28, FALSE) / VLOOKUP("electricity|SO2|Infant mortality", US_national_yearly!$D:$AM, 10, FALSE), 1)</f>
        <v>3.1016338336776301E-6</v>
      </c>
      <c r="U3" s="7">
        <f>$B3 * IFERROR(VLOOKUP("electricity|SO2|Infant mortality", US_national_yearly!$D:$AM, 29, FALSE) / VLOOKUP("electricity|SO2|Infant mortality", US_national_yearly!$D:$AM, 10, FALSE), 1)</f>
        <v>3.0849207150423997E-6</v>
      </c>
      <c r="V3" s="7">
        <f>$B3 * IFERROR(VLOOKUP("electricity|SO2|Infant mortality", US_national_yearly!$D:$AM, 30, FALSE) / VLOOKUP("electricity|SO2|Infant mortality", US_national_yearly!$D:$AM, 10, FALSE), 1)</f>
        <v>3.0682075964071689E-6</v>
      </c>
      <c r="W3" s="7">
        <f>$B3 * IFERROR(VLOOKUP("electricity|SO2|Infant mortality", US_national_yearly!$D:$AM, 31, FALSE) / VLOOKUP("electricity|SO2|Infant mortality", US_national_yearly!$D:$AM, 10, FALSE), 1)</f>
        <v>3.0514944777719377E-6</v>
      </c>
      <c r="X3" s="7">
        <f>$B3 * IFERROR(VLOOKUP("electricity|SO2|Infant mortality", US_national_yearly!$D:$AM, 32, FALSE) / VLOOKUP("electricity|SO2|Infant mortality", US_national_yearly!$D:$AM, 10, FALSE), 1)</f>
        <v>3.0336620696137239E-6</v>
      </c>
      <c r="Y3" s="7">
        <f>$B3 * IFERROR(VLOOKUP("electricity|SO2|Infant mortality", US_national_yearly!$D:$AM, 33, FALSE) / VLOOKUP("electricity|SO2|Infant mortality", US_national_yearly!$D:$AM, 10, FALSE), 1)</f>
        <v>3.0158296614555088E-6</v>
      </c>
      <c r="Z3" s="7">
        <f>$B3 * IFERROR(VLOOKUP("electricity|SO2|Infant mortality", US_national_yearly!$D:$AM, 34, FALSE) / VLOOKUP("electricity|SO2|Infant mortality", US_national_yearly!$D:$AM, 10, FALSE), 1)</f>
        <v>2.9979972532972955E-6</v>
      </c>
      <c r="AA3" s="7">
        <f>$B3 * IFERROR(VLOOKUP("electricity|SO2|Infant mortality", US_national_yearly!$D:$AM, 35, FALSE) / VLOOKUP("electricity|SO2|Infant mortality", US_national_yearly!$D:$AM, 10, FALSE), 1)</f>
        <v>2.9801648451390817E-6</v>
      </c>
      <c r="AB3" s="7">
        <f>$B3 * IFERROR(VLOOKUP("electricity|SO2|Infant mortality", US_national_yearly!$D:$AM, 36, FALSE) / VLOOKUP("electricity|SO2|Infant mortality", US_national_yearly!$D:$AM, 10, FALSE), 1)</f>
        <v>2.962332436980867E-6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1.1251897228551857E-2</v>
      </c>
      <c r="C6" s="7">
        <f>$B6 * IFERROR(VLOOKUP("electricity|SO2|Asthma symptoms cough", US_national_yearly!$D:$AM, 11, FALSE) / VLOOKUP("electricity|SO2|Asthma symptoms cough", US_national_yearly!$D:$AM, 10, FALSE), 1)</f>
        <v>1.1251897228551857E-2</v>
      </c>
      <c r="D6" s="7">
        <f>$B6 * IFERROR(VLOOKUP("electricity|SO2|Asthma symptoms cough", US_national_yearly!$D:$AM, 12, FALSE) / VLOOKUP("electricity|SO2|Asthma symptoms cough", US_national_yearly!$D:$AM, 10, FALSE), 1)</f>
        <v>1.1251897228551857E-2</v>
      </c>
      <c r="E6" s="7">
        <f>$B6 * IFERROR(VLOOKUP("electricity|SO2|Asthma symptoms cough", US_national_yearly!$D:$AM, 13, FALSE) / VLOOKUP("electricity|SO2|Asthma symptoms cough", US_national_yearly!$D:$AM, 10, FALSE), 1)</f>
        <v>1.1251897228551857E-2</v>
      </c>
      <c r="F6" s="7">
        <f>$B6 * IFERROR(VLOOKUP("electricity|SO2|Asthma symptoms cough", US_national_yearly!$D:$AM, 14, FALSE) / VLOOKUP("electricity|SO2|Asthma symptoms cough", US_national_yearly!$D:$AM, 10, FALSE), 1)</f>
        <v>1.1251897228551857E-2</v>
      </c>
      <c r="G6" s="7">
        <f>$B6 * IFERROR(VLOOKUP("electricity|SO2|Asthma symptoms cough", US_national_yearly!$D:$AM, 15, FALSE) / VLOOKUP("electricity|SO2|Asthma symptoms cough", US_national_yearly!$D:$AM, 10, FALSE), 1)</f>
        <v>1.1251897228551857E-2</v>
      </c>
      <c r="H6" s="7">
        <f>$B6 * IFERROR(VLOOKUP("electricity|SO2|Asthma symptoms cough", US_national_yearly!$D:$AM, 16, FALSE) / VLOOKUP("electricity|SO2|Asthma symptoms cough", US_national_yearly!$D:$AM, 10, FALSE), 1)</f>
        <v>1.1251897228551857E-2</v>
      </c>
      <c r="I6" s="7">
        <f>$B6 * IFERROR(VLOOKUP("electricity|SO2|Asthma symptoms cough", US_national_yearly!$D:$AM, 17, FALSE) / VLOOKUP("electricity|SO2|Asthma symptoms cough", US_national_yearly!$D:$AM, 10, FALSE), 1)</f>
        <v>1.1251897228551857E-2</v>
      </c>
      <c r="J6" s="7">
        <f>$B6 * IFERROR(VLOOKUP("electricity|SO2|Asthma symptoms cough", US_national_yearly!$D:$AM, 18, FALSE) / VLOOKUP("electricity|SO2|Asthma symptoms cough", US_national_yearly!$D:$AM, 10, FALSE), 1)</f>
        <v>1.1251897228551857E-2</v>
      </c>
      <c r="K6" s="7">
        <f>$B6 * IFERROR(VLOOKUP("electricity|SO2|Asthma symptoms cough", US_national_yearly!$D:$AM, 19, FALSE) / VLOOKUP("electricity|SO2|Asthma symptoms cough", US_national_yearly!$D:$AM, 10, FALSE), 1)</f>
        <v>1.1251897228551857E-2</v>
      </c>
      <c r="L6" s="7">
        <f>$B6 * IFERROR(VLOOKUP("electricity|SO2|Asthma symptoms cough", US_national_yearly!$D:$AM, 20, FALSE) / VLOOKUP("electricity|SO2|Asthma symptoms cough", US_national_yearly!$D:$AM, 10, FALSE), 1)</f>
        <v>1.1251897228551857E-2</v>
      </c>
      <c r="M6" s="7">
        <f>$B6 * IFERROR(VLOOKUP("electricity|SO2|Asthma symptoms cough", US_national_yearly!$D:$AM, 21, FALSE) / VLOOKUP("electricity|SO2|Asthma symptoms cough", US_national_yearly!$D:$AM, 10, FALSE), 1)</f>
        <v>1.1251897228551857E-2</v>
      </c>
      <c r="N6" s="7">
        <f>$B6 * IFERROR(VLOOKUP("electricity|SO2|Asthma symptoms cough", US_national_yearly!$D:$AM, 22, FALSE) / VLOOKUP("electricity|SO2|Asthma symptoms cough", US_national_yearly!$D:$AM, 10, FALSE), 1)</f>
        <v>1.1251897228551857E-2</v>
      </c>
      <c r="O6" s="7">
        <f>$B6 * IFERROR(VLOOKUP("electricity|SO2|Asthma symptoms cough", US_national_yearly!$D:$AM, 23, FALSE) / VLOOKUP("electricity|SO2|Asthma symptoms cough", US_national_yearly!$D:$AM, 10, FALSE), 1)</f>
        <v>1.1251897228551857E-2</v>
      </c>
      <c r="P6" s="7">
        <f>$B6 * IFERROR(VLOOKUP("electricity|SO2|Asthma symptoms cough", US_national_yearly!$D:$AM, 24, FALSE) / VLOOKUP("electricity|SO2|Asthma symptoms cough", US_national_yearly!$D:$AM, 10, FALSE), 1)</f>
        <v>1.1251897228551857E-2</v>
      </c>
      <c r="Q6" s="7">
        <f>$B6 * IFERROR(VLOOKUP("electricity|SO2|Asthma symptoms cough", US_national_yearly!$D:$AM, 25, FALSE) / VLOOKUP("electricity|SO2|Asthma symptoms cough", US_national_yearly!$D:$AM, 10, FALSE), 1)</f>
        <v>1.1251897228551857E-2</v>
      </c>
      <c r="R6" s="7">
        <f>$B6 * IFERROR(VLOOKUP("electricity|SO2|Asthma symptoms cough", US_national_yearly!$D:$AM, 26, FALSE) / VLOOKUP("electricity|SO2|Asthma symptoms cough", US_national_yearly!$D:$AM, 10, FALSE), 1)</f>
        <v>1.1251897228551857E-2</v>
      </c>
      <c r="S6" s="7">
        <f>$B6 * IFERROR(VLOOKUP("electricity|SO2|Asthma symptoms cough", US_national_yearly!$D:$AM, 27, FALSE) / VLOOKUP("electricity|SO2|Asthma symptoms cough", US_national_yearly!$D:$AM, 10, FALSE), 1)</f>
        <v>1.1251897228551857E-2</v>
      </c>
      <c r="T6" s="7">
        <f>$B6 * IFERROR(VLOOKUP("electricity|SO2|Asthma symptoms cough", US_national_yearly!$D:$AM, 28, FALSE) / VLOOKUP("electricity|SO2|Asthma symptoms cough", US_national_yearly!$D:$AM, 10, FALSE), 1)</f>
        <v>1.1251897228551857E-2</v>
      </c>
      <c r="U6" s="7">
        <f>$B6 * IFERROR(VLOOKUP("electricity|SO2|Asthma symptoms cough", US_national_yearly!$D:$AM, 29, FALSE) / VLOOKUP("electricity|SO2|Asthma symptoms cough", US_national_yearly!$D:$AM, 10, FALSE), 1)</f>
        <v>1.1251897228551857E-2</v>
      </c>
      <c r="V6" s="7">
        <f>$B6 * IFERROR(VLOOKUP("electricity|SO2|Asthma symptoms cough", US_national_yearly!$D:$AM, 30, FALSE) / VLOOKUP("electricity|SO2|Asthma symptoms cough", US_national_yearly!$D:$AM, 10, FALSE), 1)</f>
        <v>1.1251897228551857E-2</v>
      </c>
      <c r="W6" s="7">
        <f>$B6 * IFERROR(VLOOKUP("electricity|SO2|Asthma symptoms cough", US_national_yearly!$D:$AM, 31, FALSE) / VLOOKUP("electricity|SO2|Asthma symptoms cough", US_national_yearly!$D:$AM, 10, FALSE), 1)</f>
        <v>1.1251897228551857E-2</v>
      </c>
      <c r="X6" s="7">
        <f>$B6 * IFERROR(VLOOKUP("electricity|SO2|Asthma symptoms cough", US_national_yearly!$D:$AM, 32, FALSE) / VLOOKUP("electricity|SO2|Asthma symptoms cough", US_national_yearly!$D:$AM, 10, FALSE), 1)</f>
        <v>1.1251897228551857E-2</v>
      </c>
      <c r="Y6" s="7">
        <f>$B6 * IFERROR(VLOOKUP("electricity|SO2|Asthma symptoms cough", US_national_yearly!$D:$AM, 33, FALSE) / VLOOKUP("electricity|SO2|Asthma symptoms cough", US_national_yearly!$D:$AM, 10, FALSE), 1)</f>
        <v>1.1251897228551857E-2</v>
      </c>
      <c r="Z6" s="7">
        <f>$B6 * IFERROR(VLOOKUP("electricity|SO2|Asthma symptoms cough", US_national_yearly!$D:$AM, 34, FALSE) / VLOOKUP("electricity|SO2|Asthma symptoms cough", US_national_yearly!$D:$AM, 10, FALSE), 1)</f>
        <v>1.1251897228551857E-2</v>
      </c>
      <c r="AA6" s="7">
        <f>$B6 * IFERROR(VLOOKUP("electricity|SO2|Asthma symptoms cough", US_national_yearly!$D:$AM, 35, FALSE) / VLOOKUP("electricity|SO2|Asthma symptoms cough", US_national_yearly!$D:$AM, 10, FALSE), 1)</f>
        <v>1.1251897228551857E-2</v>
      </c>
      <c r="AB6" s="7">
        <f>$B6 * IFERROR(VLOOKUP("electricity|SO2|Asthma symptoms cough", US_national_yearly!$D:$AM, 36, FALSE) / VLOOKUP("electricity|SO2|Asthma symptoms cough", US_national_yearly!$D:$AM, 10, FALSE), 1)</f>
        <v>1.1251897228551857E-2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1.5152313616052546E-2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1.5152313616052546E-2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1.5152313616052546E-2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1.5152313616052546E-2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1.5152313616052546E-2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1.5152313616052546E-2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1.5152313616052546E-2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1.5152313616052546E-2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1.5152313616052546E-2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1.5152313616052546E-2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1.5152313616052546E-2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1.5152313616052546E-2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1.5152313616052546E-2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1.5152313616052546E-2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1.5152313616052546E-2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1.5152313616052546E-2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1.5152313616052546E-2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1.5152313616052546E-2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1.5152313616052546E-2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1.5152313616052546E-2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1.5152313616052546E-2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1.5152313616052546E-2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1.5152313616052546E-2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1.5152313616052546E-2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1.5152313616052546E-2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1.5152313616052546E-2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1.5152313616052546E-2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2.3150162587825925E-2</v>
      </c>
      <c r="C8" s="7">
        <f>$B8 * IFERROR(VLOOKUP("electricity|SO2|Asthma symptoms wheeze", US_national_yearly!$D:$AM, 11, FALSE) / VLOOKUP("electricity|SO2|Asthma symptoms wheeze", US_national_yearly!$D:$AM, 10, FALSE), 1)</f>
        <v>2.3150162587825925E-2</v>
      </c>
      <c r="D8" s="7">
        <f>$B8 * IFERROR(VLOOKUP("electricity|SO2|Asthma symptoms wheeze", US_national_yearly!$D:$AM, 12, FALSE) / VLOOKUP("electricity|SO2|Asthma symptoms wheeze", US_national_yearly!$D:$AM, 10, FALSE), 1)</f>
        <v>2.3150162587825925E-2</v>
      </c>
      <c r="E8" s="7">
        <f>$B8 * IFERROR(VLOOKUP("electricity|SO2|Asthma symptoms wheeze", US_national_yearly!$D:$AM, 13, FALSE) / VLOOKUP("electricity|SO2|Asthma symptoms wheeze", US_national_yearly!$D:$AM, 10, FALSE), 1)</f>
        <v>2.3150162587825925E-2</v>
      </c>
      <c r="F8" s="7">
        <f>$B8 * IFERROR(VLOOKUP("electricity|SO2|Asthma symptoms wheeze", US_national_yearly!$D:$AM, 14, FALSE) / VLOOKUP("electricity|SO2|Asthma symptoms wheeze", US_national_yearly!$D:$AM, 10, FALSE), 1)</f>
        <v>2.3150162587825925E-2</v>
      </c>
      <c r="G8" s="7">
        <f>$B8 * IFERROR(VLOOKUP("electricity|SO2|Asthma symptoms wheeze", US_national_yearly!$D:$AM, 15, FALSE) / VLOOKUP("electricity|SO2|Asthma symptoms wheeze", US_national_yearly!$D:$AM, 10, FALSE), 1)</f>
        <v>2.3150162587825925E-2</v>
      </c>
      <c r="H8" s="7">
        <f>$B8 * IFERROR(VLOOKUP("electricity|SO2|Asthma symptoms wheeze", US_national_yearly!$D:$AM, 16, FALSE) / VLOOKUP("electricity|SO2|Asthma symptoms wheeze", US_national_yearly!$D:$AM, 10, FALSE), 1)</f>
        <v>2.3150162587825925E-2</v>
      </c>
      <c r="I8" s="7">
        <f>$B8 * IFERROR(VLOOKUP("electricity|SO2|Asthma symptoms wheeze", US_national_yearly!$D:$AM, 17, FALSE) / VLOOKUP("electricity|SO2|Asthma symptoms wheeze", US_national_yearly!$D:$AM, 10, FALSE), 1)</f>
        <v>2.3150162587825925E-2</v>
      </c>
      <c r="J8" s="7">
        <f>$B8 * IFERROR(VLOOKUP("electricity|SO2|Asthma symptoms wheeze", US_national_yearly!$D:$AM, 18, FALSE) / VLOOKUP("electricity|SO2|Asthma symptoms wheeze", US_national_yearly!$D:$AM, 10, FALSE), 1)</f>
        <v>2.3150162587825925E-2</v>
      </c>
      <c r="K8" s="7">
        <f>$B8 * IFERROR(VLOOKUP("electricity|SO2|Asthma symptoms wheeze", US_national_yearly!$D:$AM, 19, FALSE) / VLOOKUP("electricity|SO2|Asthma symptoms wheeze", US_national_yearly!$D:$AM, 10, FALSE), 1)</f>
        <v>2.3150162587825925E-2</v>
      </c>
      <c r="L8" s="7">
        <f>$B8 * IFERROR(VLOOKUP("electricity|SO2|Asthma symptoms wheeze", US_national_yearly!$D:$AM, 20, FALSE) / VLOOKUP("electricity|SO2|Asthma symptoms wheeze", US_national_yearly!$D:$AM, 10, FALSE), 1)</f>
        <v>2.3150162587825925E-2</v>
      </c>
      <c r="M8" s="7">
        <f>$B8 * IFERROR(VLOOKUP("electricity|SO2|Asthma symptoms wheeze", US_national_yearly!$D:$AM, 21, FALSE) / VLOOKUP("electricity|SO2|Asthma symptoms wheeze", US_national_yearly!$D:$AM, 10, FALSE), 1)</f>
        <v>2.3150162587825925E-2</v>
      </c>
      <c r="N8" s="7">
        <f>$B8 * IFERROR(VLOOKUP("electricity|SO2|Asthma symptoms wheeze", US_national_yearly!$D:$AM, 22, FALSE) / VLOOKUP("electricity|SO2|Asthma symptoms wheeze", US_national_yearly!$D:$AM, 10, FALSE), 1)</f>
        <v>2.3150162587825925E-2</v>
      </c>
      <c r="O8" s="7">
        <f>$B8 * IFERROR(VLOOKUP("electricity|SO2|Asthma symptoms wheeze", US_national_yearly!$D:$AM, 23, FALSE) / VLOOKUP("electricity|SO2|Asthma symptoms wheeze", US_national_yearly!$D:$AM, 10, FALSE), 1)</f>
        <v>2.3150162587825925E-2</v>
      </c>
      <c r="P8" s="7">
        <f>$B8 * IFERROR(VLOOKUP("electricity|SO2|Asthma symptoms wheeze", US_national_yearly!$D:$AM, 24, FALSE) / VLOOKUP("electricity|SO2|Asthma symptoms wheeze", US_national_yearly!$D:$AM, 10, FALSE), 1)</f>
        <v>2.3150162587825925E-2</v>
      </c>
      <c r="Q8" s="7">
        <f>$B8 * IFERROR(VLOOKUP("electricity|SO2|Asthma symptoms wheeze", US_national_yearly!$D:$AM, 25, FALSE) / VLOOKUP("electricity|SO2|Asthma symptoms wheeze", US_national_yearly!$D:$AM, 10, FALSE), 1)</f>
        <v>2.3150162587825925E-2</v>
      </c>
      <c r="R8" s="7">
        <f>$B8 * IFERROR(VLOOKUP("electricity|SO2|Asthma symptoms wheeze", US_national_yearly!$D:$AM, 26, FALSE) / VLOOKUP("electricity|SO2|Asthma symptoms wheeze", US_national_yearly!$D:$AM, 10, FALSE), 1)</f>
        <v>2.3150162587825925E-2</v>
      </c>
      <c r="S8" s="7">
        <f>$B8 * IFERROR(VLOOKUP("electricity|SO2|Asthma symptoms wheeze", US_national_yearly!$D:$AM, 27, FALSE) / VLOOKUP("electricity|SO2|Asthma symptoms wheeze", US_national_yearly!$D:$AM, 10, FALSE), 1)</f>
        <v>2.3150162587825925E-2</v>
      </c>
      <c r="T8" s="7">
        <f>$B8 * IFERROR(VLOOKUP("electricity|SO2|Asthma symptoms wheeze", US_national_yearly!$D:$AM, 28, FALSE) / VLOOKUP("electricity|SO2|Asthma symptoms wheeze", US_national_yearly!$D:$AM, 10, FALSE), 1)</f>
        <v>2.3150162587825925E-2</v>
      </c>
      <c r="U8" s="7">
        <f>$B8 * IFERROR(VLOOKUP("electricity|SO2|Asthma symptoms wheeze", US_national_yearly!$D:$AM, 29, FALSE) / VLOOKUP("electricity|SO2|Asthma symptoms wheeze", US_national_yearly!$D:$AM, 10, FALSE), 1)</f>
        <v>2.3150162587825925E-2</v>
      </c>
      <c r="V8" s="7">
        <f>$B8 * IFERROR(VLOOKUP("electricity|SO2|Asthma symptoms wheeze", US_national_yearly!$D:$AM, 30, FALSE) / VLOOKUP("electricity|SO2|Asthma symptoms wheeze", US_national_yearly!$D:$AM, 10, FALSE), 1)</f>
        <v>2.3150162587825925E-2</v>
      </c>
      <c r="W8" s="7">
        <f>$B8 * IFERROR(VLOOKUP("electricity|SO2|Asthma symptoms wheeze", US_national_yearly!$D:$AM, 31, FALSE) / VLOOKUP("electricity|SO2|Asthma symptoms wheeze", US_national_yearly!$D:$AM, 10, FALSE), 1)</f>
        <v>2.3150162587825925E-2</v>
      </c>
      <c r="X8" s="7">
        <f>$B8 * IFERROR(VLOOKUP("electricity|SO2|Asthma symptoms wheeze", US_national_yearly!$D:$AM, 32, FALSE) / VLOOKUP("electricity|SO2|Asthma symptoms wheeze", US_national_yearly!$D:$AM, 10, FALSE), 1)</f>
        <v>2.3150162587825925E-2</v>
      </c>
      <c r="Y8" s="7">
        <f>$B8 * IFERROR(VLOOKUP("electricity|SO2|Asthma symptoms wheeze", US_national_yearly!$D:$AM, 33, FALSE) / VLOOKUP("electricity|SO2|Asthma symptoms wheeze", US_national_yearly!$D:$AM, 10, FALSE), 1)</f>
        <v>2.3150162587825925E-2</v>
      </c>
      <c r="Z8" s="7">
        <f>$B8 * IFERROR(VLOOKUP("electricity|SO2|Asthma symptoms wheeze", US_national_yearly!$D:$AM, 34, FALSE) / VLOOKUP("electricity|SO2|Asthma symptoms wheeze", US_national_yearly!$D:$AM, 10, FALSE), 1)</f>
        <v>2.3150162587825925E-2</v>
      </c>
      <c r="AA8" s="7">
        <f>$B8 * IFERROR(VLOOKUP("electricity|SO2|Asthma symptoms wheeze", US_national_yearly!$D:$AM, 35, FALSE) / VLOOKUP("electricity|SO2|Asthma symptoms wheeze", US_national_yearly!$D:$AM, 10, FALSE), 1)</f>
        <v>2.3150162587825925E-2</v>
      </c>
      <c r="AB8" s="7">
        <f>$B8 * IFERROR(VLOOKUP("electricity|SO2|Asthma symptoms wheeze", US_national_yearly!$D:$AM, 36, FALSE) / VLOOKUP("electricity|SO2|Asthma symptoms wheeze", US_national_yearly!$D:$AM, 10, FALSE), 1)</f>
        <v>2.3150162587825925E-2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2.9488248810270945E-4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2.9661923712161089E-4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2.9835598614051239E-4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3.0009273515941383E-4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3.0182948417831532E-4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3.0372201187885676E-4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3.0561453957939831E-4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3.0743517888512508E-4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3.0925581819085196E-4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3.1107645749657879E-4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3.1289709680230562E-4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3.1471773610803244E-4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3.1602360858857761E-4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3.1732948106912289E-4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3.1863535354966806E-4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3.1994122603021328E-4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3.2124709851075851E-4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3.2247964990905184E-4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3.2371220130734523E-4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3.2494475270563851E-4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3.261773041039319E-4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3.2740985550222529E-4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3.2859227526460945E-4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3.2977469502699371E-4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3.3095711478937798E-4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3.3213953455176213E-4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3.333219543141464E-4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1.9079992382728492E-3</v>
      </c>
      <c r="C13" s="7">
        <f>$B13 * IFERROR(VLOOKUP("electricity|SO2|Non-fatal heart attacks", US_national_yearly!$D:$AM, 11, FALSE) / VLOOKUP("electricity|SO2|Non-fatal heart attacks", US_national_yearly!$D:$AM, 10, FALSE), 1)</f>
        <v>1.9642004424748017E-3</v>
      </c>
      <c r="D13" s="7">
        <f>$B13 * IFERROR(VLOOKUP("electricity|SO2|Non-fatal heart attacks", US_national_yearly!$D:$AM, 12, FALSE) / VLOOKUP("electricity|SO2|Non-fatal heart attacks", US_national_yearly!$D:$AM, 10, FALSE), 1)</f>
        <v>2.0204016466767536E-3</v>
      </c>
      <c r="E13" s="7">
        <f>$B13 * IFERROR(VLOOKUP("electricity|SO2|Non-fatal heart attacks", US_national_yearly!$D:$AM, 13, FALSE) / VLOOKUP("electricity|SO2|Non-fatal heart attacks", US_national_yearly!$D:$AM, 10, FALSE), 1)</f>
        <v>2.0766028508787063E-3</v>
      </c>
      <c r="F13" s="7">
        <f>$B13 * IFERROR(VLOOKUP("electricity|SO2|Non-fatal heart attacks", US_national_yearly!$D:$AM, 14, FALSE) / VLOOKUP("electricity|SO2|Non-fatal heart attacks", US_national_yearly!$D:$AM, 10, FALSE), 1)</f>
        <v>2.1328040550806582E-3</v>
      </c>
      <c r="G13" s="7">
        <f>$B13 * IFERROR(VLOOKUP("electricity|SO2|Non-fatal heart attacks", US_national_yearly!$D:$AM, 15, FALSE) / VLOOKUP("electricity|SO2|Non-fatal heart attacks", US_national_yearly!$D:$AM, 10, FALSE), 1)</f>
        <v>2.1861406840766196E-3</v>
      </c>
      <c r="H13" s="7">
        <f>$B13 * IFERROR(VLOOKUP("electricity|SO2|Non-fatal heart attacks", US_national_yearly!$D:$AM, 16, FALSE) / VLOOKUP("electricity|SO2|Non-fatal heart attacks", US_national_yearly!$D:$AM, 10, FALSE), 1)</f>
        <v>2.2394773130725814E-3</v>
      </c>
      <c r="I13" s="7">
        <f>$B13 * IFERROR(VLOOKUP("electricity|SO2|Non-fatal heart attacks", US_national_yearly!$D:$AM, 17, FALSE) / VLOOKUP("electricity|SO2|Non-fatal heart attacks", US_national_yearly!$D:$AM, 10, FALSE), 1)</f>
        <v>2.2829138923847105E-3</v>
      </c>
      <c r="J13" s="7">
        <f>$B13 * IFERROR(VLOOKUP("electricity|SO2|Non-fatal heart attacks", US_national_yearly!$D:$AM, 18, FALSE) / VLOOKUP("electricity|SO2|Non-fatal heart attacks", US_national_yearly!$D:$AM, 10, FALSE), 1)</f>
        <v>2.3263504716968396E-3</v>
      </c>
      <c r="K13" s="7">
        <f>$B13 * IFERROR(VLOOKUP("electricity|SO2|Non-fatal heart attacks", US_national_yearly!$D:$AM, 19, FALSE) / VLOOKUP("electricity|SO2|Non-fatal heart attacks", US_national_yearly!$D:$AM, 10, FALSE), 1)</f>
        <v>2.3697870510089687E-3</v>
      </c>
      <c r="L13" s="7">
        <f>$B13 * IFERROR(VLOOKUP("electricity|SO2|Non-fatal heart attacks", US_national_yearly!$D:$AM, 20, FALSE) / VLOOKUP("electricity|SO2|Non-fatal heart attacks", US_national_yearly!$D:$AM, 10, FALSE), 1)</f>
        <v>2.4132236303210973E-3</v>
      </c>
      <c r="M13" s="7">
        <f>$B13 * IFERROR(VLOOKUP("electricity|SO2|Non-fatal heart attacks", US_national_yearly!$D:$AM, 21, FALSE) / VLOOKUP("electricity|SO2|Non-fatal heart attacks", US_national_yearly!$D:$AM, 10, FALSE), 1)</f>
        <v>2.4566602096332268E-3</v>
      </c>
      <c r="N13" s="7">
        <f>$B13 * IFERROR(VLOOKUP("electricity|SO2|Non-fatal heart attacks", US_national_yearly!$D:$AM, 22, FALSE) / VLOOKUP("electricity|SO2|Non-fatal heart attacks", US_national_yearly!$D:$AM, 10, FALSE), 1)</f>
        <v>2.4853045887629007E-3</v>
      </c>
      <c r="O13" s="7">
        <f>$B13 * IFERROR(VLOOKUP("electricity|SO2|Non-fatal heart attacks", US_national_yearly!$D:$AM, 23, FALSE) / VLOOKUP("electricity|SO2|Non-fatal heart attacks", US_national_yearly!$D:$AM, 10, FALSE), 1)</f>
        <v>2.5139489678925745E-3</v>
      </c>
      <c r="P13" s="7">
        <f>$B13 * IFERROR(VLOOKUP("electricity|SO2|Non-fatal heart attacks", US_national_yearly!$D:$AM, 24, FALSE) / VLOOKUP("electricity|SO2|Non-fatal heart attacks", US_national_yearly!$D:$AM, 10, FALSE), 1)</f>
        <v>2.5425933470222483E-3</v>
      </c>
      <c r="Q13" s="7">
        <f>$B13 * IFERROR(VLOOKUP("electricity|SO2|Non-fatal heart attacks", US_national_yearly!$D:$AM, 25, FALSE) / VLOOKUP("electricity|SO2|Non-fatal heart attacks", US_national_yearly!$D:$AM, 10, FALSE), 1)</f>
        <v>2.5712377261519221E-3</v>
      </c>
      <c r="R13" s="7">
        <f>$B13 * IFERROR(VLOOKUP("electricity|SO2|Non-fatal heart attacks", US_national_yearly!$D:$AM, 26, FALSE) / VLOOKUP("electricity|SO2|Non-fatal heart attacks", US_national_yearly!$D:$AM, 10, FALSE), 1)</f>
        <v>2.5998821052815963E-3</v>
      </c>
      <c r="S13" s="7">
        <f>$B13 * IFERROR(VLOOKUP("electricity|SO2|Non-fatal heart attacks", US_national_yearly!$D:$AM, 27, FALSE) / VLOOKUP("electricity|SO2|Non-fatal heart attacks", US_national_yearly!$D:$AM, 10, FALSE), 1)</f>
        <v>2.6154696947529562E-3</v>
      </c>
      <c r="T13" s="7">
        <f>$B13 * IFERROR(VLOOKUP("electricity|SO2|Non-fatal heart attacks", US_national_yearly!$D:$AM, 28, FALSE) / VLOOKUP("electricity|SO2|Non-fatal heart attacks", US_national_yearly!$D:$AM, 10, FALSE), 1)</f>
        <v>2.6310572842243168E-3</v>
      </c>
      <c r="U13" s="7">
        <f>$B13 * IFERROR(VLOOKUP("electricity|SO2|Non-fatal heart attacks", US_national_yearly!$D:$AM, 29, FALSE) / VLOOKUP("electricity|SO2|Non-fatal heart attacks", US_national_yearly!$D:$AM, 10, FALSE), 1)</f>
        <v>2.6466448736956771E-3</v>
      </c>
      <c r="V13" s="7">
        <f>$B13 * IFERROR(VLOOKUP("electricity|SO2|Non-fatal heart attacks", US_national_yearly!$D:$AM, 30, FALSE) / VLOOKUP("electricity|SO2|Non-fatal heart attacks", US_national_yearly!$D:$AM, 10, FALSE), 1)</f>
        <v>2.6622324631670369E-3</v>
      </c>
      <c r="W13" s="7">
        <f>$B13 * IFERROR(VLOOKUP("electricity|SO2|Non-fatal heart attacks", US_national_yearly!$D:$AM, 31, FALSE) / VLOOKUP("electricity|SO2|Non-fatal heart attacks", US_national_yearly!$D:$AM, 10, FALSE), 1)</f>
        <v>2.6778200526383971E-3</v>
      </c>
      <c r="X13" s="7">
        <f>$B13 * IFERROR(VLOOKUP("electricity|SO2|Non-fatal heart attacks", US_national_yearly!$D:$AM, 32, FALSE) / VLOOKUP("electricity|SO2|Non-fatal heart attacks", US_national_yearly!$D:$AM, 10, FALSE), 1)</f>
        <v>2.6897939236368539E-3</v>
      </c>
      <c r="Y13" s="7">
        <f>$B13 * IFERROR(VLOOKUP("electricity|SO2|Non-fatal heart attacks", US_national_yearly!$D:$AM, 33, FALSE) / VLOOKUP("electricity|SO2|Non-fatal heart attacks", US_national_yearly!$D:$AM, 10, FALSE), 1)</f>
        <v>2.7017677946353106E-3</v>
      </c>
      <c r="Z13" s="7">
        <f>$B13 * IFERROR(VLOOKUP("electricity|SO2|Non-fatal heart attacks", US_national_yearly!$D:$AM, 34, FALSE) / VLOOKUP("electricity|SO2|Non-fatal heart attacks", US_national_yearly!$D:$AM, 10, FALSE), 1)</f>
        <v>2.7137416656337668E-3</v>
      </c>
      <c r="AA13" s="7">
        <f>$B13 * IFERROR(VLOOKUP("electricity|SO2|Non-fatal heart attacks", US_national_yearly!$D:$AM, 35, FALSE) / VLOOKUP("electricity|SO2|Non-fatal heart attacks", US_national_yearly!$D:$AM, 10, FALSE), 1)</f>
        <v>2.7257155366322235E-3</v>
      </c>
      <c r="AB13" s="7">
        <f>$B13 * IFERROR(VLOOKUP("electricity|SO2|Non-fatal heart attacks", US_national_yearly!$D:$AM, 36, FALSE) / VLOOKUP("electricity|SO2|Non-fatal heart attacks", US_national_yearly!$D:$AM, 10, FALSE), 1)</f>
        <v>2.7376894076306798E-3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1.4584655974365206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1.4621306517135852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1.4657957059906501</v>
      </c>
      <c r="E14" s="7">
        <f>$B14 * IFERROR(VLOOKUP("electricity|SO2|Minor restricted activity days", US_national_yearly!$D:$AM, 13, FALSE) / VLOOKUP("electricity|SO2|Minor restricted activity days", US_national_yearly!$D:$AM, 10, FALSE), 1)</f>
        <v>1.469460760267715</v>
      </c>
      <c r="F14" s="7">
        <f>$B14 * IFERROR(VLOOKUP("electricity|SO2|Minor restricted activity days", US_national_yearly!$D:$AM, 14, FALSE) / VLOOKUP("electricity|SO2|Minor restricted activity days", US_national_yearly!$D:$AM, 10, FALSE), 1)</f>
        <v>1.4731258145447794</v>
      </c>
      <c r="G14" s="7">
        <f>$B14 * IFERROR(VLOOKUP("electricity|SO2|Minor restricted activity days", US_national_yearly!$D:$AM, 15, FALSE) / VLOOKUP("electricity|SO2|Minor restricted activity days", US_national_yearly!$D:$AM, 10, FALSE), 1)</f>
        <v>1.4784210256143495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1.4837162366839196</v>
      </c>
      <c r="I14" s="7">
        <f>$B14 * IFERROR(VLOOKUP("electricity|SO2|Minor restricted activity days", US_national_yearly!$D:$AM, 17, FALSE) / VLOOKUP("electricity|SO2|Minor restricted activity days", US_national_yearly!$D:$AM, 10, FALSE), 1)</f>
        <v>1.492797931352811</v>
      </c>
      <c r="J14" s="7">
        <f>$B14 * IFERROR(VLOOKUP("electricity|SO2|Minor restricted activity days", US_national_yearly!$D:$AM, 18, FALSE) / VLOOKUP("electricity|SO2|Minor restricted activity days", US_national_yearly!$D:$AM, 10, FALSE), 1)</f>
        <v>1.5018796260217027</v>
      </c>
      <c r="K14" s="7">
        <f>$B14 * IFERROR(VLOOKUP("electricity|SO2|Minor restricted activity days", US_national_yearly!$D:$AM, 19, FALSE) / VLOOKUP("electricity|SO2|Minor restricted activity days", US_national_yearly!$D:$AM, 10, FALSE), 1)</f>
        <v>1.5109613206905941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1.5200430153594862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1.5291247100283776</v>
      </c>
      <c r="N14" s="7">
        <f>$B14 * IFERROR(VLOOKUP("electricity|SO2|Minor restricted activity days", US_national_yearly!$D:$AM, 22, FALSE) / VLOOKUP("electricity|SO2|Minor restricted activity days", US_national_yearly!$D:$AM, 10, FALSE), 1)</f>
        <v>1.5416315154150213</v>
      </c>
      <c r="O14" s="7">
        <f>$B14 * IFERROR(VLOOKUP("electricity|SO2|Minor restricted activity days", US_national_yearly!$D:$AM, 23, FALSE) / VLOOKUP("electricity|SO2|Minor restricted activity days", US_national_yearly!$D:$AM, 10, FALSE), 1)</f>
        <v>1.5541383208016648</v>
      </c>
      <c r="P14" s="7">
        <f>$B14 * IFERROR(VLOOKUP("electricity|SO2|Minor restricted activity days", US_national_yearly!$D:$AM, 24, FALSE) / VLOOKUP("electricity|SO2|Minor restricted activity days", US_national_yearly!$D:$AM, 10, FALSE), 1)</f>
        <v>1.5666451261883081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1.5791519315749518</v>
      </c>
      <c r="R14" s="7">
        <f>$B14 * IFERROR(VLOOKUP("electricity|SO2|Minor restricted activity days", US_national_yearly!$D:$AM, 26, FALSE) / VLOOKUP("electricity|SO2|Minor restricted activity days", US_national_yearly!$D:$AM, 10, FALSE), 1)</f>
        <v>1.5916587369615953</v>
      </c>
      <c r="S14" s="7">
        <f>$B14 * IFERROR(VLOOKUP("electricity|SO2|Minor restricted activity days", US_national_yearly!$D:$AM, 27, FALSE) / VLOOKUP("electricity|SO2|Minor restricted activity days", US_national_yearly!$D:$AM, 10, FALSE), 1)</f>
        <v>1.6044801842883591</v>
      </c>
      <c r="T14" s="7">
        <f>$B14 * IFERROR(VLOOKUP("electricity|SO2|Minor restricted activity days", US_national_yearly!$D:$AM, 28, FALSE) / VLOOKUP("electricity|SO2|Minor restricted activity days", US_national_yearly!$D:$AM, 10, FALSE), 1)</f>
        <v>1.6173016316151232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1.6301230789418868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1.6429445262686506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1.6557659735954147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1.667047442045152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1.6783289104948891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1.6896103789446264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1.7008918473943637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1.7121733158441008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0.24626736536595129</v>
      </c>
      <c r="C15" s="7">
        <f>$B15 * IFERROR(VLOOKUP("electricity|SO2|Work loss days", US_national_yearly!$D:$AM, 11, FALSE) / VLOOKUP("electricity|SO2|Work loss days", US_national_yearly!$D:$AM, 10, FALSE), 1)</f>
        <v>0.24706478654291253</v>
      </c>
      <c r="D15" s="7">
        <f>$B15 * IFERROR(VLOOKUP("electricity|SO2|Work loss days", US_national_yearly!$D:$AM, 12, FALSE) / VLOOKUP("electricity|SO2|Work loss days", US_national_yearly!$D:$AM, 10, FALSE), 1)</f>
        <v>0.24786220771987377</v>
      </c>
      <c r="E15" s="7">
        <f>$B15 * IFERROR(VLOOKUP("electricity|SO2|Work loss days", US_national_yearly!$D:$AM, 13, FALSE) / VLOOKUP("electricity|SO2|Work loss days", US_national_yearly!$D:$AM, 10, FALSE), 1)</f>
        <v>0.2486596288968351</v>
      </c>
      <c r="F15" s="7">
        <f>$B15 * IFERROR(VLOOKUP("electricity|SO2|Work loss days", US_national_yearly!$D:$AM, 14, FALSE) / VLOOKUP("electricity|SO2|Work loss days", US_national_yearly!$D:$AM, 10, FALSE), 1)</f>
        <v>0.24945705007379634</v>
      </c>
      <c r="G15" s="7">
        <f>$B15 * IFERROR(VLOOKUP("electricity|SO2|Work loss days", US_national_yearly!$D:$AM, 15, FALSE) / VLOOKUP("electricity|SO2|Work loss days", US_national_yearly!$D:$AM, 10, FALSE), 1)</f>
        <v>0.25047859601284844</v>
      </c>
      <c r="H15" s="7">
        <f>$B15 * IFERROR(VLOOKUP("electricity|SO2|Work loss days", US_national_yearly!$D:$AM, 16, FALSE) / VLOOKUP("electricity|SO2|Work loss days", US_national_yearly!$D:$AM, 10, FALSE), 1)</f>
        <v>0.25150014195190051</v>
      </c>
      <c r="I15" s="7">
        <f>$B15 * IFERROR(VLOOKUP("electricity|SO2|Work loss days", US_national_yearly!$D:$AM, 17, FALSE) / VLOOKUP("electricity|SO2|Work loss days", US_national_yearly!$D:$AM, 10, FALSE), 1)</f>
        <v>0.25299478382422108</v>
      </c>
      <c r="J15" s="7">
        <f>$B15 * IFERROR(VLOOKUP("electricity|SO2|Work loss days", US_national_yearly!$D:$AM, 18, FALSE) / VLOOKUP("electricity|SO2|Work loss days", US_national_yearly!$D:$AM, 10, FALSE), 1)</f>
        <v>0.25448942569654165</v>
      </c>
      <c r="K15" s="7">
        <f>$B15 * IFERROR(VLOOKUP("electricity|SO2|Work loss days", US_national_yearly!$D:$AM, 19, FALSE) / VLOOKUP("electricity|SO2|Work loss days", US_national_yearly!$D:$AM, 10, FALSE), 1)</f>
        <v>0.25598406756886227</v>
      </c>
      <c r="L15" s="7">
        <f>$B15 * IFERROR(VLOOKUP("electricity|SO2|Work loss days", US_national_yearly!$D:$AM, 20, FALSE) / VLOOKUP("electricity|SO2|Work loss days", US_national_yearly!$D:$AM, 10, FALSE), 1)</f>
        <v>0.25747870944118284</v>
      </c>
      <c r="M15" s="7">
        <f>$B15 * IFERROR(VLOOKUP("electricity|SO2|Work loss days", US_national_yearly!$D:$AM, 21, FALSE) / VLOOKUP("electricity|SO2|Work loss days", US_national_yearly!$D:$AM, 10, FALSE), 1)</f>
        <v>0.25897335131350346</v>
      </c>
      <c r="N15" s="7">
        <f>$B15 * IFERROR(VLOOKUP("electricity|SO2|Work loss days", US_national_yearly!$D:$AM, 22, FALSE) / VLOOKUP("electricity|SO2|Work loss days", US_national_yearly!$D:$AM, 10, FALSE), 1)</f>
        <v>0.26086444499081496</v>
      </c>
      <c r="O15" s="7">
        <f>$B15 * IFERROR(VLOOKUP("electricity|SO2|Work loss days", US_national_yearly!$D:$AM, 23, FALSE) / VLOOKUP("electricity|SO2|Work loss days", US_national_yearly!$D:$AM, 10, FALSE), 1)</f>
        <v>0.26275553866812651</v>
      </c>
      <c r="P15" s="7">
        <f>$B15 * IFERROR(VLOOKUP("electricity|SO2|Work loss days", US_national_yearly!$D:$AM, 24, FALSE) / VLOOKUP("electricity|SO2|Work loss days", US_national_yearly!$D:$AM, 10, FALSE), 1)</f>
        <v>0.264646632345438</v>
      </c>
      <c r="Q15" s="7">
        <f>$B15 * IFERROR(VLOOKUP("electricity|SO2|Work loss days", US_national_yearly!$D:$AM, 25, FALSE) / VLOOKUP("electricity|SO2|Work loss days", US_national_yearly!$D:$AM, 10, FALSE), 1)</f>
        <v>0.2665377260227495</v>
      </c>
      <c r="R15" s="7">
        <f>$B15 * IFERROR(VLOOKUP("electricity|SO2|Work loss days", US_national_yearly!$D:$AM, 26, FALSE) / VLOOKUP("electricity|SO2|Work loss days", US_national_yearly!$D:$AM, 10, FALSE), 1)</f>
        <v>0.26842881970006105</v>
      </c>
      <c r="S15" s="7">
        <f>$B15 * IFERROR(VLOOKUP("electricity|SO2|Work loss days", US_national_yearly!$D:$AM, 27, FALSE) / VLOOKUP("electricity|SO2|Work loss days", US_national_yearly!$D:$AM, 10, FALSE), 1)</f>
        <v>0.27054891218363564</v>
      </c>
      <c r="T15" s="7">
        <f>$B15 * IFERROR(VLOOKUP("electricity|SO2|Work loss days", US_national_yearly!$D:$AM, 28, FALSE) / VLOOKUP("electricity|SO2|Work loss days", US_national_yearly!$D:$AM, 10, FALSE), 1)</f>
        <v>0.27266900466721028</v>
      </c>
      <c r="U15" s="7">
        <f>$B15 * IFERROR(VLOOKUP("electricity|SO2|Work loss days", US_national_yearly!$D:$AM, 29, FALSE) / VLOOKUP("electricity|SO2|Work loss days", US_national_yearly!$D:$AM, 10, FALSE), 1)</f>
        <v>0.27478909715078492</v>
      </c>
      <c r="V15" s="7">
        <f>$B15 * IFERROR(VLOOKUP("electricity|SO2|Work loss days", US_national_yearly!$D:$AM, 30, FALSE) / VLOOKUP("electricity|SO2|Work loss days", US_national_yearly!$D:$AM, 10, FALSE), 1)</f>
        <v>0.27690918963435956</v>
      </c>
      <c r="W15" s="7">
        <f>$B15 * IFERROR(VLOOKUP("electricity|SO2|Work loss days", US_national_yearly!$D:$AM, 31, FALSE) / VLOOKUP("electricity|SO2|Work loss days", US_national_yearly!$D:$AM, 10, FALSE), 1)</f>
        <v>0.27902928211793426</v>
      </c>
      <c r="X15" s="7">
        <f>$B15 * IFERROR(VLOOKUP("electricity|SO2|Work loss days", US_national_yearly!$D:$AM, 32, FALSE) / VLOOKUP("electricity|SO2|Work loss days", US_national_yearly!$D:$AM, 10, FALSE), 1)</f>
        <v>0.28093927575603561</v>
      </c>
      <c r="Y15" s="7">
        <f>$B15 * IFERROR(VLOOKUP("electricity|SO2|Work loss days", US_national_yearly!$D:$AM, 33, FALSE) / VLOOKUP("electricity|SO2|Work loss days", US_national_yearly!$D:$AM, 10, FALSE), 1)</f>
        <v>0.28284926939413702</v>
      </c>
      <c r="Z15" s="7">
        <f>$B15 * IFERROR(VLOOKUP("electricity|SO2|Work loss days", US_national_yearly!$D:$AM, 34, FALSE) / VLOOKUP("electricity|SO2|Work loss days", US_national_yearly!$D:$AM, 10, FALSE), 1)</f>
        <v>0.28475926303223836</v>
      </c>
      <c r="AA15" s="7">
        <f>$B15 * IFERROR(VLOOKUP("electricity|SO2|Work loss days", US_national_yearly!$D:$AM, 35, FALSE) / VLOOKUP("electricity|SO2|Work loss days", US_national_yearly!$D:$AM, 10, FALSE), 1)</f>
        <v>0.28666925667033977</v>
      </c>
      <c r="AB15" s="7">
        <f>$B15 * IFERROR(VLOOKUP("electricity|SO2|Work loss days", US_national_yearly!$D:$AM, 36, FALSE) / VLOOKUP("electricity|SO2|Work loss days", US_national_yearly!$D:$AM, 10, FALSE), 1)</f>
        <v>0.28857925030844117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4.9150932163778715E-4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5.0640342039183993E-4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5.2129751914589272E-4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5.3619161789994572E-4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5.510857166539985E-4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5.6544267877785162E-4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5.7979964090170485E-4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5.922290450434786E-4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6.0465844918525225E-4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6.1708785332702601E-4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6.2951725746879955E-4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6.419466616105733E-4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6.5042969679909596E-4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6.5891273198761852E-4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6.6739576717614129E-4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6.7587880236466384E-4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6.843618375531865E-4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6.8901239284737575E-4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6.9366294814156488E-4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6.9831350343575412E-4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7.0296405872994315E-4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7.0761461402413228E-4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7.1082483570464414E-4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7.1403505738515578E-4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7.1724527906566764E-4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7.2045550074617938E-4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7.2366572242669113E-4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3.0584014694448085E-2</v>
      </c>
      <c r="C2" s="7">
        <f>$B2 * IFERROR(VLOOKUP("buildings|PM25|Premature mortality", US_national_yearly!$D:$AM, 11, FALSE) / VLOOKUP("buildings|PM25|Premature mortality", US_national_yearly!$D:$AM, 10, FALSE), 1)</f>
        <v>3.096346409365892E-2</v>
      </c>
      <c r="D2" s="7">
        <f>$B2 * IFERROR(VLOOKUP("buildings|PM25|Premature mortality", US_national_yearly!$D:$AM, 12, FALSE) / VLOOKUP("buildings|PM25|Premature mortality", US_national_yearly!$D:$AM, 10, FALSE), 1)</f>
        <v>3.1342913492869759E-2</v>
      </c>
      <c r="E2" s="7">
        <f>$B2 * IFERROR(VLOOKUP("buildings|PM25|Premature mortality", US_national_yearly!$D:$AM, 13, FALSE) / VLOOKUP("buildings|PM25|Premature mortality", US_national_yearly!$D:$AM, 10, FALSE), 1)</f>
        <v>3.1722362892080594E-2</v>
      </c>
      <c r="F2" s="7">
        <f>$B2 * IFERROR(VLOOKUP("buildings|PM25|Premature mortality", US_national_yearly!$D:$AM, 14, FALSE) / VLOOKUP("buildings|PM25|Premature mortality", US_national_yearly!$D:$AM, 10, FALSE), 1)</f>
        <v>3.2101812291291429E-2</v>
      </c>
      <c r="G2" s="7">
        <f>$B2 * IFERROR(VLOOKUP("buildings|PM25|Premature mortality", US_national_yearly!$D:$AM, 15, FALSE) / VLOOKUP("buildings|PM25|Premature mortality", US_national_yearly!$D:$AM, 10, FALSE), 1)</f>
        <v>3.2840678085651852E-2</v>
      </c>
      <c r="H2" s="7">
        <f>$B2 * IFERROR(VLOOKUP("buildings|PM25|Premature mortality", US_national_yearly!$D:$AM, 16, FALSE) / VLOOKUP("buildings|PM25|Premature mortality", US_national_yearly!$D:$AM, 10, FALSE), 1)</f>
        <v>3.3579543880012268E-2</v>
      </c>
      <c r="I2" s="7">
        <f>$B2 * IFERROR(VLOOKUP("buildings|PM25|Premature mortality", US_national_yearly!$D:$AM, 17, FALSE) / VLOOKUP("buildings|PM25|Premature mortality", US_national_yearly!$D:$AM, 10, FALSE), 1)</f>
        <v>3.4065483186712417E-2</v>
      </c>
      <c r="J2" s="7">
        <f>$B2 * IFERROR(VLOOKUP("buildings|PM25|Premature mortality", US_national_yearly!$D:$AM, 18, FALSE) / VLOOKUP("buildings|PM25|Premature mortality", US_national_yearly!$D:$AM, 10, FALSE), 1)</f>
        <v>3.4551422493412566E-2</v>
      </c>
      <c r="K2" s="7">
        <f>$B2 * IFERROR(VLOOKUP("buildings|PM25|Premature mortality", US_national_yearly!$D:$AM, 19, FALSE) / VLOOKUP("buildings|PM25|Premature mortality", US_national_yearly!$D:$AM, 10, FALSE), 1)</f>
        <v>3.5037361800112715E-2</v>
      </c>
      <c r="L2" s="7">
        <f>$B2 * IFERROR(VLOOKUP("buildings|PM25|Premature mortality", US_national_yearly!$D:$AM, 20, FALSE) / VLOOKUP("buildings|PM25|Premature mortality", US_national_yearly!$D:$AM, 10, FALSE), 1)</f>
        <v>3.5523301106812857E-2</v>
      </c>
      <c r="M2" s="7">
        <f>$B2 * IFERROR(VLOOKUP("buildings|PM25|Premature mortality", US_national_yearly!$D:$AM, 21, FALSE) / VLOOKUP("buildings|PM25|Premature mortality", US_national_yearly!$D:$AM, 10, FALSE), 1)</f>
        <v>3.6009240413513006E-2</v>
      </c>
      <c r="N2" s="7">
        <f>$B2 * IFERROR(VLOOKUP("buildings|PM25|Premature mortality", US_national_yearly!$D:$AM, 22, FALSE) / VLOOKUP("buildings|PM25|Premature mortality", US_national_yearly!$D:$AM, 10, FALSE), 1)</f>
        <v>3.6387112232647532E-2</v>
      </c>
      <c r="O2" s="7">
        <f>$B2 * IFERROR(VLOOKUP("buildings|PM25|Premature mortality", US_national_yearly!$D:$AM, 23, FALSE) / VLOOKUP("buildings|PM25|Premature mortality", US_national_yearly!$D:$AM, 10, FALSE), 1)</f>
        <v>3.6764984051782058E-2</v>
      </c>
      <c r="P2" s="7">
        <f>$B2 * IFERROR(VLOOKUP("buildings|PM25|Premature mortality", US_national_yearly!$D:$AM, 24, FALSE) / VLOOKUP("buildings|PM25|Premature mortality", US_national_yearly!$D:$AM, 10, FALSE), 1)</f>
        <v>3.7142855870916577E-2</v>
      </c>
      <c r="Q2" s="7">
        <f>$B2 * IFERROR(VLOOKUP("buildings|PM25|Premature mortality", US_national_yearly!$D:$AM, 25, FALSE) / VLOOKUP("buildings|PM25|Premature mortality", US_national_yearly!$D:$AM, 10, FALSE), 1)</f>
        <v>3.7520727690051117E-2</v>
      </c>
      <c r="R2" s="7">
        <f>$B2 * IFERROR(VLOOKUP("buildings|PM25|Premature mortality", US_national_yearly!$D:$AM, 26, FALSE) / VLOOKUP("buildings|PM25|Premature mortality", US_national_yearly!$D:$AM, 10, FALSE), 1)</f>
        <v>3.7898599509185636E-2</v>
      </c>
      <c r="S2" s="7">
        <f>$B2 * IFERROR(VLOOKUP("buildings|PM25|Premature mortality", US_national_yearly!$D:$AM, 27, FALSE) / VLOOKUP("buildings|PM25|Premature mortality", US_national_yearly!$D:$AM, 10, FALSE), 1)</f>
        <v>3.8099442134410223E-2</v>
      </c>
      <c r="T2" s="7">
        <f>$B2 * IFERROR(VLOOKUP("buildings|PM25|Premature mortality", US_national_yearly!$D:$AM, 28, FALSE) / VLOOKUP("buildings|PM25|Premature mortality", US_national_yearly!$D:$AM, 10, FALSE), 1)</f>
        <v>3.8300284759634817E-2</v>
      </c>
      <c r="U2" s="7">
        <f>$B2 * IFERROR(VLOOKUP("buildings|PM25|Premature mortality", US_national_yearly!$D:$AM, 29, FALSE) / VLOOKUP("buildings|PM25|Premature mortality", US_national_yearly!$D:$AM, 10, FALSE), 1)</f>
        <v>3.8501127384859411E-2</v>
      </c>
      <c r="V2" s="7">
        <f>$B2 * IFERROR(VLOOKUP("buildings|PM25|Premature mortality", US_national_yearly!$D:$AM, 30, FALSE) / VLOOKUP("buildings|PM25|Premature mortality", US_national_yearly!$D:$AM, 10, FALSE), 1)</f>
        <v>3.8701970010084005E-2</v>
      </c>
      <c r="W2" s="7">
        <f>$B2 * IFERROR(VLOOKUP("buildings|PM25|Premature mortality", US_national_yearly!$D:$AM, 31, FALSE) / VLOOKUP("buildings|PM25|Premature mortality", US_national_yearly!$D:$AM, 10, FALSE), 1)</f>
        <v>3.8902812635308592E-2</v>
      </c>
      <c r="X2" s="7">
        <f>$B2 * IFERROR(VLOOKUP("buildings|PM25|Premature mortality", US_national_yearly!$D:$AM, 32, FALSE) / VLOOKUP("buildings|PM25|Premature mortality", US_national_yearly!$D:$AM, 10, FALSE), 1)</f>
        <v>3.8938862274138612E-2</v>
      </c>
      <c r="Y2" s="7">
        <f>$B2 * IFERROR(VLOOKUP("buildings|PM25|Premature mortality", US_national_yearly!$D:$AM, 33, FALSE) / VLOOKUP("buildings|PM25|Premature mortality", US_national_yearly!$D:$AM, 10, FALSE), 1)</f>
        <v>3.8974911912968625E-2</v>
      </c>
      <c r="Z2" s="7">
        <f>$B2 * IFERROR(VLOOKUP("buildings|PM25|Premature mortality", US_national_yearly!$D:$AM, 34, FALSE) / VLOOKUP("buildings|PM25|Premature mortality", US_national_yearly!$D:$AM, 10, FALSE), 1)</f>
        <v>3.9010961551798645E-2</v>
      </c>
      <c r="AA2" s="7">
        <f>$B2 * IFERROR(VLOOKUP("buildings|PM25|Premature mortality", US_national_yearly!$D:$AM, 35, FALSE) / VLOOKUP("buildings|PM25|Premature mortality", US_national_yearly!$D:$AM, 10, FALSE), 1)</f>
        <v>3.9047011190628665E-2</v>
      </c>
      <c r="AB2" s="7">
        <f>$B2 * IFERROR(VLOOKUP("buildings|PM25|Premature mortality", US_national_yearly!$D:$AM, 36, FALSE) / VLOOKUP("buildings|PM25|Premature mortality", US_national_yearly!$D:$AM, 10, FALSE), 1)</f>
        <v>3.9083060829458678E-2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8.390430190269497E-5</v>
      </c>
      <c r="C3" s="7">
        <f>$B3 * IFERROR(VLOOKUP("buildings|PM25|Infant mortality", US_national_yearly!$D:$AM, 11, FALSE) / VLOOKUP("buildings|PM25|Infant mortality", US_national_yearly!$D:$AM, 10, FALSE), 1)</f>
        <v>8.3177554920274953E-5</v>
      </c>
      <c r="D3" s="7">
        <f>$B3 * IFERROR(VLOOKUP("buildings|PM25|Infant mortality", US_national_yearly!$D:$AM, 12, FALSE) / VLOOKUP("buildings|PM25|Infant mortality", US_national_yearly!$D:$AM, 10, FALSE), 1)</f>
        <v>8.2450807937854936E-5</v>
      </c>
      <c r="E3" s="7">
        <f>$B3 * IFERROR(VLOOKUP("buildings|PM25|Infant mortality", US_national_yearly!$D:$AM, 13, FALSE) / VLOOKUP("buildings|PM25|Infant mortality", US_national_yearly!$D:$AM, 10, FALSE), 1)</f>
        <v>8.1724060955434919E-5</v>
      </c>
      <c r="F3" s="7">
        <f>$B3 * IFERROR(VLOOKUP("buildings|PM25|Infant mortality", US_national_yearly!$D:$AM, 14, FALSE) / VLOOKUP("buildings|PM25|Infant mortality", US_national_yearly!$D:$AM, 10, FALSE), 1)</f>
        <v>8.0997313973014916E-5</v>
      </c>
      <c r="G3" s="7">
        <f>$B3 * IFERROR(VLOOKUP("buildings|PM25|Infant mortality", US_national_yearly!$D:$AM, 15, FALSE) / VLOOKUP("buildings|PM25|Infant mortality", US_national_yearly!$D:$AM, 10, FALSE), 1)</f>
        <v>5.3860275276308769E-5</v>
      </c>
      <c r="H3" s="7">
        <f>$B3 * IFERROR(VLOOKUP("buildings|PM25|Infant mortality", US_national_yearly!$D:$AM, 16, FALSE) / VLOOKUP("buildings|PM25|Infant mortality", US_national_yearly!$D:$AM, 10, FALSE), 1)</f>
        <v>2.6723236579602627E-5</v>
      </c>
      <c r="I3" s="7">
        <f>$B3 * IFERROR(VLOOKUP("buildings|PM25|Infant mortality", US_national_yearly!$D:$AM, 17, FALSE) / VLOOKUP("buildings|PM25|Infant mortality", US_national_yearly!$D:$AM, 10, FALSE), 1)</f>
        <v>2.6549097130281133E-5</v>
      </c>
      <c r="J3" s="7">
        <f>$B3 * IFERROR(VLOOKUP("buildings|PM25|Infant mortality", US_national_yearly!$D:$AM, 18, FALSE) / VLOOKUP("buildings|PM25|Infant mortality", US_national_yearly!$D:$AM, 10, FALSE), 1)</f>
        <v>2.6374957680959636E-5</v>
      </c>
      <c r="K3" s="7">
        <f>$B3 * IFERROR(VLOOKUP("buildings|PM25|Infant mortality", US_national_yearly!$D:$AM, 19, FALSE) / VLOOKUP("buildings|PM25|Infant mortality", US_national_yearly!$D:$AM, 10, FALSE), 1)</f>
        <v>2.6200818231638142E-5</v>
      </c>
      <c r="L3" s="7">
        <f>$B3 * IFERROR(VLOOKUP("buildings|PM25|Infant mortality", US_national_yearly!$D:$AM, 20, FALSE) / VLOOKUP("buildings|PM25|Infant mortality", US_national_yearly!$D:$AM, 10, FALSE), 1)</f>
        <v>2.6026678782316644E-5</v>
      </c>
      <c r="M3" s="7">
        <f>$B3 * IFERROR(VLOOKUP("buildings|PM25|Infant mortality", US_national_yearly!$D:$AM, 21, FALSE) / VLOOKUP("buildings|PM25|Infant mortality", US_national_yearly!$D:$AM, 10, FALSE), 1)</f>
        <v>2.585253933299515E-5</v>
      </c>
      <c r="N3" s="7">
        <f>$B3 * IFERROR(VLOOKUP("buildings|PM25|Infant mortality", US_national_yearly!$D:$AM, 22, FALSE) / VLOOKUP("buildings|PM25|Infant mortality", US_national_yearly!$D:$AM, 10, FALSE), 1)</f>
        <v>2.5743581026896447E-5</v>
      </c>
      <c r="O3" s="7">
        <f>$B3 * IFERROR(VLOOKUP("buildings|PM25|Infant mortality", US_national_yearly!$D:$AM, 23, FALSE) / VLOOKUP("buildings|PM25|Infant mortality", US_national_yearly!$D:$AM, 10, FALSE), 1)</f>
        <v>2.5634622720797744E-5</v>
      </c>
      <c r="P3" s="7">
        <f>$B3 * IFERROR(VLOOKUP("buildings|PM25|Infant mortality", US_national_yearly!$D:$AM, 24, FALSE) / VLOOKUP("buildings|PM25|Infant mortality", US_national_yearly!$D:$AM, 10, FALSE), 1)</f>
        <v>2.5525664414699037E-5</v>
      </c>
      <c r="Q3" s="7">
        <f>$B3 * IFERROR(VLOOKUP("buildings|PM25|Infant mortality", US_national_yearly!$D:$AM, 25, FALSE) / VLOOKUP("buildings|PM25|Infant mortality", US_national_yearly!$D:$AM, 10, FALSE), 1)</f>
        <v>2.5416706108600334E-5</v>
      </c>
      <c r="R3" s="7">
        <f>$B3 * IFERROR(VLOOKUP("buildings|PM25|Infant mortality", US_national_yearly!$D:$AM, 26, FALSE) / VLOOKUP("buildings|PM25|Infant mortality", US_national_yearly!$D:$AM, 10, FALSE), 1)</f>
        <v>2.530774780250163E-5</v>
      </c>
      <c r="S3" s="7">
        <f>$B3 * IFERROR(VLOOKUP("buildings|PM25|Infant mortality", US_national_yearly!$D:$AM, 27, FALSE) / VLOOKUP("buildings|PM25|Infant mortality", US_national_yearly!$D:$AM, 10, FALSE), 1)</f>
        <v>2.5171705865082957E-5</v>
      </c>
      <c r="T3" s="7">
        <f>$B3 * IFERROR(VLOOKUP("buildings|PM25|Infant mortality", US_national_yearly!$D:$AM, 28, FALSE) / VLOOKUP("buildings|PM25|Infant mortality", US_national_yearly!$D:$AM, 10, FALSE), 1)</f>
        <v>2.5035663927664287E-5</v>
      </c>
      <c r="U3" s="7">
        <f>$B3 * IFERROR(VLOOKUP("buildings|PM25|Infant mortality", US_national_yearly!$D:$AM, 29, FALSE) / VLOOKUP("buildings|PM25|Infant mortality", US_national_yearly!$D:$AM, 10, FALSE), 1)</f>
        <v>2.4899621990245611E-5</v>
      </c>
      <c r="V3" s="7">
        <f>$B3 * IFERROR(VLOOKUP("buildings|PM25|Infant mortality", US_national_yearly!$D:$AM, 30, FALSE) / VLOOKUP("buildings|PM25|Infant mortality", US_national_yearly!$D:$AM, 10, FALSE), 1)</f>
        <v>2.4763580052826941E-5</v>
      </c>
      <c r="W3" s="7">
        <f>$B3 * IFERROR(VLOOKUP("buildings|PM25|Infant mortality", US_national_yearly!$D:$AM, 31, FALSE) / VLOOKUP("buildings|PM25|Infant mortality", US_national_yearly!$D:$AM, 10, FALSE), 1)</f>
        <v>2.4627538115408268E-5</v>
      </c>
      <c r="X3" s="7">
        <f>$B3 * IFERROR(VLOOKUP("buildings|PM25|Infant mortality", US_national_yearly!$D:$AM, 32, FALSE) / VLOOKUP("buildings|PM25|Infant mortality", US_national_yearly!$D:$AM, 10, FALSE), 1)</f>
        <v>2.448107145385616E-5</v>
      </c>
      <c r="Y3" s="7">
        <f>$B3 * IFERROR(VLOOKUP("buildings|PM25|Infant mortality", US_national_yearly!$D:$AM, 33, FALSE) / VLOOKUP("buildings|PM25|Infant mortality", US_national_yearly!$D:$AM, 10, FALSE), 1)</f>
        <v>2.4334604792304058E-5</v>
      </c>
      <c r="Z3" s="7">
        <f>$B3 * IFERROR(VLOOKUP("buildings|PM25|Infant mortality", US_national_yearly!$D:$AM, 34, FALSE) / VLOOKUP("buildings|PM25|Infant mortality", US_national_yearly!$D:$AM, 10, FALSE), 1)</f>
        <v>2.4188138130751953E-5</v>
      </c>
      <c r="AA3" s="7">
        <f>$B3 * IFERROR(VLOOKUP("buildings|PM25|Infant mortality", US_national_yearly!$D:$AM, 35, FALSE) / VLOOKUP("buildings|PM25|Infant mortality", US_national_yearly!$D:$AM, 10, FALSE), 1)</f>
        <v>2.4041671469199845E-5</v>
      </c>
      <c r="AB3" s="7">
        <f>$B3 * IFERROR(VLOOKUP("buildings|PM25|Infant mortality", US_national_yearly!$D:$AM, 36, FALSE) / VLOOKUP("buildings|PM25|Infant mortality", US_national_yearly!$D:$AM, 10, FALSE), 1)</f>
        <v>2.3895204807647744E-5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9.783280058658389E-2</v>
      </c>
      <c r="C6" s="7">
        <f>$B6 * IFERROR(VLOOKUP("buildings|PM25|Asthma symptoms cough", US_national_yearly!$D:$AM, 11, FALSE) / VLOOKUP("buildings|PM25|Asthma symptoms cough", US_national_yearly!$D:$AM, 10, FALSE), 1)</f>
        <v>9.783280058658389E-2</v>
      </c>
      <c r="D6" s="7">
        <f>$B6 * IFERROR(VLOOKUP("buildings|PM25|Asthma symptoms cough", US_national_yearly!$D:$AM, 12, FALSE) / VLOOKUP("buildings|PM25|Asthma symptoms cough", US_national_yearly!$D:$AM, 10, FALSE), 1)</f>
        <v>9.783280058658389E-2</v>
      </c>
      <c r="E6" s="7">
        <f>$B6 * IFERROR(VLOOKUP("buildings|PM25|Asthma symptoms cough", US_national_yearly!$D:$AM, 13, FALSE) / VLOOKUP("buildings|PM25|Asthma symptoms cough", US_national_yearly!$D:$AM, 10, FALSE), 1)</f>
        <v>9.783280058658389E-2</v>
      </c>
      <c r="F6" s="7">
        <f>$B6 * IFERROR(VLOOKUP("buildings|PM25|Asthma symptoms cough", US_national_yearly!$D:$AM, 14, FALSE) / VLOOKUP("buildings|PM25|Asthma symptoms cough", US_national_yearly!$D:$AM, 10, FALSE), 1)</f>
        <v>9.783280058658389E-2</v>
      </c>
      <c r="G6" s="7">
        <f>$B6 * IFERROR(VLOOKUP("buildings|PM25|Asthma symptoms cough", US_national_yearly!$D:$AM, 15, FALSE) / VLOOKUP("buildings|PM25|Asthma symptoms cough", US_national_yearly!$D:$AM, 10, FALSE), 1)</f>
        <v>9.783280058658389E-2</v>
      </c>
      <c r="H6" s="7">
        <f>$B6 * IFERROR(VLOOKUP("buildings|PM25|Asthma symptoms cough", US_national_yearly!$D:$AM, 16, FALSE) / VLOOKUP("buildings|PM25|Asthma symptoms cough", US_national_yearly!$D:$AM, 10, FALSE), 1)</f>
        <v>9.783280058658389E-2</v>
      </c>
      <c r="I6" s="7">
        <f>$B6 * IFERROR(VLOOKUP("buildings|PM25|Asthma symptoms cough", US_national_yearly!$D:$AM, 17, FALSE) / VLOOKUP("buildings|PM25|Asthma symptoms cough", US_national_yearly!$D:$AM, 10, FALSE), 1)</f>
        <v>9.783280058658389E-2</v>
      </c>
      <c r="J6" s="7">
        <f>$B6 * IFERROR(VLOOKUP("buildings|PM25|Asthma symptoms cough", US_national_yearly!$D:$AM, 18, FALSE) / VLOOKUP("buildings|PM25|Asthma symptoms cough", US_national_yearly!$D:$AM, 10, FALSE), 1)</f>
        <v>9.783280058658389E-2</v>
      </c>
      <c r="K6" s="7">
        <f>$B6 * IFERROR(VLOOKUP("buildings|PM25|Asthma symptoms cough", US_national_yearly!$D:$AM, 19, FALSE) / VLOOKUP("buildings|PM25|Asthma symptoms cough", US_national_yearly!$D:$AM, 10, FALSE), 1)</f>
        <v>9.783280058658389E-2</v>
      </c>
      <c r="L6" s="7">
        <f>$B6 * IFERROR(VLOOKUP("buildings|PM25|Asthma symptoms cough", US_national_yearly!$D:$AM, 20, FALSE) / VLOOKUP("buildings|PM25|Asthma symptoms cough", US_national_yearly!$D:$AM, 10, FALSE), 1)</f>
        <v>9.783280058658389E-2</v>
      </c>
      <c r="M6" s="7">
        <f>$B6 * IFERROR(VLOOKUP("buildings|PM25|Asthma symptoms cough", US_national_yearly!$D:$AM, 21, FALSE) / VLOOKUP("buildings|PM25|Asthma symptoms cough", US_national_yearly!$D:$AM, 10, FALSE), 1)</f>
        <v>9.783280058658389E-2</v>
      </c>
      <c r="N6" s="7">
        <f>$B6 * IFERROR(VLOOKUP("buildings|PM25|Asthma symptoms cough", US_national_yearly!$D:$AM, 22, FALSE) / VLOOKUP("buildings|PM25|Asthma symptoms cough", US_national_yearly!$D:$AM, 10, FALSE), 1)</f>
        <v>9.783280058658389E-2</v>
      </c>
      <c r="O6" s="7">
        <f>$B6 * IFERROR(VLOOKUP("buildings|PM25|Asthma symptoms cough", US_national_yearly!$D:$AM, 23, FALSE) / VLOOKUP("buildings|PM25|Asthma symptoms cough", US_national_yearly!$D:$AM, 10, FALSE), 1)</f>
        <v>9.783280058658389E-2</v>
      </c>
      <c r="P6" s="7">
        <f>$B6 * IFERROR(VLOOKUP("buildings|PM25|Asthma symptoms cough", US_national_yearly!$D:$AM, 24, FALSE) / VLOOKUP("buildings|PM25|Asthma symptoms cough", US_national_yearly!$D:$AM, 10, FALSE), 1)</f>
        <v>9.783280058658389E-2</v>
      </c>
      <c r="Q6" s="7">
        <f>$B6 * IFERROR(VLOOKUP("buildings|PM25|Asthma symptoms cough", US_national_yearly!$D:$AM, 25, FALSE) / VLOOKUP("buildings|PM25|Asthma symptoms cough", US_national_yearly!$D:$AM, 10, FALSE), 1)</f>
        <v>9.783280058658389E-2</v>
      </c>
      <c r="R6" s="7">
        <f>$B6 * IFERROR(VLOOKUP("buildings|PM25|Asthma symptoms cough", US_national_yearly!$D:$AM, 26, FALSE) / VLOOKUP("buildings|PM25|Asthma symptoms cough", US_national_yearly!$D:$AM, 10, FALSE), 1)</f>
        <v>9.783280058658389E-2</v>
      </c>
      <c r="S6" s="7">
        <f>$B6 * IFERROR(VLOOKUP("buildings|PM25|Asthma symptoms cough", US_national_yearly!$D:$AM, 27, FALSE) / VLOOKUP("buildings|PM25|Asthma symptoms cough", US_national_yearly!$D:$AM, 10, FALSE), 1)</f>
        <v>9.783280058658389E-2</v>
      </c>
      <c r="T6" s="7">
        <f>$B6 * IFERROR(VLOOKUP("buildings|PM25|Asthma symptoms cough", US_national_yearly!$D:$AM, 28, FALSE) / VLOOKUP("buildings|PM25|Asthma symptoms cough", US_national_yearly!$D:$AM, 10, FALSE), 1)</f>
        <v>9.783280058658389E-2</v>
      </c>
      <c r="U6" s="7">
        <f>$B6 * IFERROR(VLOOKUP("buildings|PM25|Asthma symptoms cough", US_national_yearly!$D:$AM, 29, FALSE) / VLOOKUP("buildings|PM25|Asthma symptoms cough", US_national_yearly!$D:$AM, 10, FALSE), 1)</f>
        <v>9.783280058658389E-2</v>
      </c>
      <c r="V6" s="7">
        <f>$B6 * IFERROR(VLOOKUP("buildings|PM25|Asthma symptoms cough", US_national_yearly!$D:$AM, 30, FALSE) / VLOOKUP("buildings|PM25|Asthma symptoms cough", US_national_yearly!$D:$AM, 10, FALSE), 1)</f>
        <v>9.783280058658389E-2</v>
      </c>
      <c r="W6" s="7">
        <f>$B6 * IFERROR(VLOOKUP("buildings|PM25|Asthma symptoms cough", US_national_yearly!$D:$AM, 31, FALSE) / VLOOKUP("buildings|PM25|Asthma symptoms cough", US_national_yearly!$D:$AM, 10, FALSE), 1)</f>
        <v>9.783280058658389E-2</v>
      </c>
      <c r="X6" s="7">
        <f>$B6 * IFERROR(VLOOKUP("buildings|PM25|Asthma symptoms cough", US_national_yearly!$D:$AM, 32, FALSE) / VLOOKUP("buildings|PM25|Asthma symptoms cough", US_national_yearly!$D:$AM, 10, FALSE), 1)</f>
        <v>9.783280058658389E-2</v>
      </c>
      <c r="Y6" s="7">
        <f>$B6 * IFERROR(VLOOKUP("buildings|PM25|Asthma symptoms cough", US_national_yearly!$D:$AM, 33, FALSE) / VLOOKUP("buildings|PM25|Asthma symptoms cough", US_national_yearly!$D:$AM, 10, FALSE), 1)</f>
        <v>9.783280058658389E-2</v>
      </c>
      <c r="Z6" s="7">
        <f>$B6 * IFERROR(VLOOKUP("buildings|PM25|Asthma symptoms cough", US_national_yearly!$D:$AM, 34, FALSE) / VLOOKUP("buildings|PM25|Asthma symptoms cough", US_national_yearly!$D:$AM, 10, FALSE), 1)</f>
        <v>9.783280058658389E-2</v>
      </c>
      <c r="AA6" s="7">
        <f>$B6 * IFERROR(VLOOKUP("buildings|PM25|Asthma symptoms cough", US_national_yearly!$D:$AM, 35, FALSE) / VLOOKUP("buildings|PM25|Asthma symptoms cough", US_national_yearly!$D:$AM, 10, FALSE), 1)</f>
        <v>9.783280058658389E-2</v>
      </c>
      <c r="AB6" s="7">
        <f>$B6 * IFERROR(VLOOKUP("buildings|PM25|Asthma symptoms cough", US_national_yearly!$D:$AM, 36, FALSE) / VLOOKUP("buildings|PM25|Asthma symptoms cough", US_national_yearly!$D:$AM, 10, FALSE), 1)</f>
        <v>9.783280058658389E-2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0.13174606167612168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0.13174606167612168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0.13174606167612168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0.13174606167612168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0.13174606167612168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0.13174606167612168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0.13174606167612168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0.13174606167612168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0.13174606167612168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0.13174606167612168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0.13174606167612168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0.13174606167612168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0.13174606167612168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0.13174606167612168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0.13174606167612168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0.13174606167612168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0.13174606167612168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0.13174606167612168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0.13174606167612168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0.13174606167612168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0.13174606167612168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0.13174606167612168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0.13174606167612168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0.13174606167612168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0.13174606167612168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0.13174606167612168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0.13174606167612168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0.20128565551101096</v>
      </c>
      <c r="C8" s="7">
        <f>$B8 * IFERROR(VLOOKUP("buildings|PM25|Asthma symptoms wheeze", US_national_yearly!$D:$AM, 11, FALSE) / VLOOKUP("buildings|PM25|Asthma symptoms wheeze", US_national_yearly!$D:$AM, 10, FALSE), 1)</f>
        <v>0.20128565551101096</v>
      </c>
      <c r="D8" s="7">
        <f>$B8 * IFERROR(VLOOKUP("buildings|PM25|Asthma symptoms wheeze", US_national_yearly!$D:$AM, 12, FALSE) / VLOOKUP("buildings|PM25|Asthma symptoms wheeze", US_national_yearly!$D:$AM, 10, FALSE), 1)</f>
        <v>0.20128565551101096</v>
      </c>
      <c r="E8" s="7">
        <f>$B8 * IFERROR(VLOOKUP("buildings|PM25|Asthma symptoms wheeze", US_national_yearly!$D:$AM, 13, FALSE) / VLOOKUP("buildings|PM25|Asthma symptoms wheeze", US_national_yearly!$D:$AM, 10, FALSE), 1)</f>
        <v>0.20128565551101096</v>
      </c>
      <c r="F8" s="7">
        <f>$B8 * IFERROR(VLOOKUP("buildings|PM25|Asthma symptoms wheeze", US_national_yearly!$D:$AM, 14, FALSE) / VLOOKUP("buildings|PM25|Asthma symptoms wheeze", US_national_yearly!$D:$AM, 10, FALSE), 1)</f>
        <v>0.20128565551101096</v>
      </c>
      <c r="G8" s="7">
        <f>$B8 * IFERROR(VLOOKUP("buildings|PM25|Asthma symptoms wheeze", US_national_yearly!$D:$AM, 15, FALSE) / VLOOKUP("buildings|PM25|Asthma symptoms wheeze", US_national_yearly!$D:$AM, 10, FALSE), 1)</f>
        <v>0.20128565551101096</v>
      </c>
      <c r="H8" s="7">
        <f>$B8 * IFERROR(VLOOKUP("buildings|PM25|Asthma symptoms wheeze", US_national_yearly!$D:$AM, 16, FALSE) / VLOOKUP("buildings|PM25|Asthma symptoms wheeze", US_national_yearly!$D:$AM, 10, FALSE), 1)</f>
        <v>0.20128565551101096</v>
      </c>
      <c r="I8" s="7">
        <f>$B8 * IFERROR(VLOOKUP("buildings|PM25|Asthma symptoms wheeze", US_national_yearly!$D:$AM, 17, FALSE) / VLOOKUP("buildings|PM25|Asthma symptoms wheeze", US_national_yearly!$D:$AM, 10, FALSE), 1)</f>
        <v>0.20128565551101096</v>
      </c>
      <c r="J8" s="7">
        <f>$B8 * IFERROR(VLOOKUP("buildings|PM25|Asthma symptoms wheeze", US_national_yearly!$D:$AM, 18, FALSE) / VLOOKUP("buildings|PM25|Asthma symptoms wheeze", US_national_yearly!$D:$AM, 10, FALSE), 1)</f>
        <v>0.20128565551101096</v>
      </c>
      <c r="K8" s="7">
        <f>$B8 * IFERROR(VLOOKUP("buildings|PM25|Asthma symptoms wheeze", US_national_yearly!$D:$AM, 19, FALSE) / VLOOKUP("buildings|PM25|Asthma symptoms wheeze", US_national_yearly!$D:$AM, 10, FALSE), 1)</f>
        <v>0.20128565551101096</v>
      </c>
      <c r="L8" s="7">
        <f>$B8 * IFERROR(VLOOKUP("buildings|PM25|Asthma symptoms wheeze", US_national_yearly!$D:$AM, 20, FALSE) / VLOOKUP("buildings|PM25|Asthma symptoms wheeze", US_national_yearly!$D:$AM, 10, FALSE), 1)</f>
        <v>0.20128565551101096</v>
      </c>
      <c r="M8" s="7">
        <f>$B8 * IFERROR(VLOOKUP("buildings|PM25|Asthma symptoms wheeze", US_national_yearly!$D:$AM, 21, FALSE) / VLOOKUP("buildings|PM25|Asthma symptoms wheeze", US_national_yearly!$D:$AM, 10, FALSE), 1)</f>
        <v>0.20128565551101096</v>
      </c>
      <c r="N8" s="7">
        <f>$B8 * IFERROR(VLOOKUP("buildings|PM25|Asthma symptoms wheeze", US_national_yearly!$D:$AM, 22, FALSE) / VLOOKUP("buildings|PM25|Asthma symptoms wheeze", US_national_yearly!$D:$AM, 10, FALSE), 1)</f>
        <v>0.20128565551101096</v>
      </c>
      <c r="O8" s="7">
        <f>$B8 * IFERROR(VLOOKUP("buildings|PM25|Asthma symptoms wheeze", US_national_yearly!$D:$AM, 23, FALSE) / VLOOKUP("buildings|PM25|Asthma symptoms wheeze", US_national_yearly!$D:$AM, 10, FALSE), 1)</f>
        <v>0.20128565551101096</v>
      </c>
      <c r="P8" s="7">
        <f>$B8 * IFERROR(VLOOKUP("buildings|PM25|Asthma symptoms wheeze", US_national_yearly!$D:$AM, 24, FALSE) / VLOOKUP("buildings|PM25|Asthma symptoms wheeze", US_national_yearly!$D:$AM, 10, FALSE), 1)</f>
        <v>0.20128565551101096</v>
      </c>
      <c r="Q8" s="7">
        <f>$B8 * IFERROR(VLOOKUP("buildings|PM25|Asthma symptoms wheeze", US_national_yearly!$D:$AM, 25, FALSE) / VLOOKUP("buildings|PM25|Asthma symptoms wheeze", US_national_yearly!$D:$AM, 10, FALSE), 1)</f>
        <v>0.20128565551101096</v>
      </c>
      <c r="R8" s="7">
        <f>$B8 * IFERROR(VLOOKUP("buildings|PM25|Asthma symptoms wheeze", US_national_yearly!$D:$AM, 26, FALSE) / VLOOKUP("buildings|PM25|Asthma symptoms wheeze", US_national_yearly!$D:$AM, 10, FALSE), 1)</f>
        <v>0.20128565551101096</v>
      </c>
      <c r="S8" s="7">
        <f>$B8 * IFERROR(VLOOKUP("buildings|PM25|Asthma symptoms wheeze", US_national_yearly!$D:$AM, 27, FALSE) / VLOOKUP("buildings|PM25|Asthma symptoms wheeze", US_national_yearly!$D:$AM, 10, FALSE), 1)</f>
        <v>0.20128565551101096</v>
      </c>
      <c r="T8" s="7">
        <f>$B8 * IFERROR(VLOOKUP("buildings|PM25|Asthma symptoms wheeze", US_national_yearly!$D:$AM, 28, FALSE) / VLOOKUP("buildings|PM25|Asthma symptoms wheeze", US_national_yearly!$D:$AM, 10, FALSE), 1)</f>
        <v>0.20128565551101096</v>
      </c>
      <c r="U8" s="7">
        <f>$B8 * IFERROR(VLOOKUP("buildings|PM25|Asthma symptoms wheeze", US_national_yearly!$D:$AM, 29, FALSE) / VLOOKUP("buildings|PM25|Asthma symptoms wheeze", US_national_yearly!$D:$AM, 10, FALSE), 1)</f>
        <v>0.20128565551101096</v>
      </c>
      <c r="V8" s="7">
        <f>$B8 * IFERROR(VLOOKUP("buildings|PM25|Asthma symptoms wheeze", US_national_yearly!$D:$AM, 30, FALSE) / VLOOKUP("buildings|PM25|Asthma symptoms wheeze", US_national_yearly!$D:$AM, 10, FALSE), 1)</f>
        <v>0.20128565551101096</v>
      </c>
      <c r="W8" s="7">
        <f>$B8 * IFERROR(VLOOKUP("buildings|PM25|Asthma symptoms wheeze", US_national_yearly!$D:$AM, 31, FALSE) / VLOOKUP("buildings|PM25|Asthma symptoms wheeze", US_national_yearly!$D:$AM, 10, FALSE), 1)</f>
        <v>0.20128565551101096</v>
      </c>
      <c r="X8" s="7">
        <f>$B8 * IFERROR(VLOOKUP("buildings|PM25|Asthma symptoms wheeze", US_national_yearly!$D:$AM, 32, FALSE) / VLOOKUP("buildings|PM25|Asthma symptoms wheeze", US_national_yearly!$D:$AM, 10, FALSE), 1)</f>
        <v>0.20128565551101096</v>
      </c>
      <c r="Y8" s="7">
        <f>$B8 * IFERROR(VLOOKUP("buildings|PM25|Asthma symptoms wheeze", US_national_yearly!$D:$AM, 33, FALSE) / VLOOKUP("buildings|PM25|Asthma symptoms wheeze", US_national_yearly!$D:$AM, 10, FALSE), 1)</f>
        <v>0.20128565551101096</v>
      </c>
      <c r="Z8" s="7">
        <f>$B8 * IFERROR(VLOOKUP("buildings|PM25|Asthma symptoms wheeze", US_national_yearly!$D:$AM, 34, FALSE) / VLOOKUP("buildings|PM25|Asthma symptoms wheeze", US_national_yearly!$D:$AM, 10, FALSE), 1)</f>
        <v>0.20128565551101096</v>
      </c>
      <c r="AA8" s="7">
        <f>$B8 * IFERROR(VLOOKUP("buildings|PM25|Asthma symptoms wheeze", US_national_yearly!$D:$AM, 35, FALSE) / VLOOKUP("buildings|PM25|Asthma symptoms wheeze", US_national_yearly!$D:$AM, 10, FALSE), 1)</f>
        <v>0.20128565551101096</v>
      </c>
      <c r="AB8" s="7">
        <f>$B8 * IFERROR(VLOOKUP("buildings|PM25|Asthma symptoms wheeze", US_national_yearly!$D:$AM, 36, FALSE) / VLOOKUP("buildings|PM25|Asthma symptoms wheeze", US_national_yearly!$D:$AM, 10, FALSE), 1)</f>
        <v>0.20128565551101096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2.2561568317199542E-3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2.2691616948230971E-3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2.2821665579262399E-3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2.2951714210293832E-3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2.3081762841325264E-3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2.3222097362996749E-3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2.3362431884668233E-3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2.3495902704986872E-3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2.3629373525305506E-3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2.3762844345624136E-3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2.3896315165942775E-3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2.4029785986261409E-3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2.4125787662667509E-3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2.4221789339073604E-3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2.4317791015479704E-3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2.4413792691885794E-3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2.4509794368291894E-3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2.4601262164892774E-3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2.4692729961493663E-3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2.4784197758094539E-3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2.487566555469542E-3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2.4967133351296309E-3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2.5055476743524089E-3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2.5143820135751878E-3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2.5232163527979658E-3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2.5320506920207442E-3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2.5408850312435222E-3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1.5313317288748018E-2</v>
      </c>
      <c r="C13" s="7">
        <f>$B13 * IFERROR(VLOOKUP("buildings|PM25|Non-fatal heart attacks", US_national_yearly!$D:$AM, 11, FALSE) / VLOOKUP("buildings|PM25|Non-fatal heart attacks", US_national_yearly!$D:$AM, 10, FALSE), 1)</f>
        <v>1.5758726790864569E-2</v>
      </c>
      <c r="D13" s="7">
        <f>$B13 * IFERROR(VLOOKUP("buildings|PM25|Non-fatal heart attacks", US_national_yearly!$D:$AM, 12, FALSE) / VLOOKUP("buildings|PM25|Non-fatal heart attacks", US_national_yearly!$D:$AM, 10, FALSE), 1)</f>
        <v>1.6204136292981113E-2</v>
      </c>
      <c r="E13" s="7">
        <f>$B13 * IFERROR(VLOOKUP("buildings|PM25|Non-fatal heart attacks", US_national_yearly!$D:$AM, 13, FALSE) / VLOOKUP("buildings|PM25|Non-fatal heart attacks", US_national_yearly!$D:$AM, 10, FALSE), 1)</f>
        <v>1.664954579509766E-2</v>
      </c>
      <c r="F13" s="7">
        <f>$B13 * IFERROR(VLOOKUP("buildings|PM25|Non-fatal heart attacks", US_national_yearly!$D:$AM, 14, FALSE) / VLOOKUP("buildings|PM25|Non-fatal heart attacks", US_national_yearly!$D:$AM, 10, FALSE), 1)</f>
        <v>1.709495529721421E-2</v>
      </c>
      <c r="G13" s="7">
        <f>$B13 * IFERROR(VLOOKUP("buildings|PM25|Non-fatal heart attacks", US_national_yearly!$D:$AM, 15, FALSE) / VLOOKUP("buildings|PM25|Non-fatal heart attacks", US_national_yearly!$D:$AM, 10, FALSE), 1)</f>
        <v>1.7515224602099724E-2</v>
      </c>
      <c r="H13" s="7">
        <f>$B13 * IFERROR(VLOOKUP("buildings|PM25|Non-fatal heart attacks", US_national_yearly!$D:$AM, 16, FALSE) / VLOOKUP("buildings|PM25|Non-fatal heart attacks", US_national_yearly!$D:$AM, 10, FALSE), 1)</f>
        <v>1.7935493906985227E-2</v>
      </c>
      <c r="I13" s="7">
        <f>$B13 * IFERROR(VLOOKUP("buildings|PM25|Non-fatal heart attacks", US_national_yearly!$D:$AM, 17, FALSE) / VLOOKUP("buildings|PM25|Non-fatal heart attacks", US_national_yearly!$D:$AM, 10, FALSE), 1)</f>
        <v>1.8273633204595682E-2</v>
      </c>
      <c r="J13" s="7">
        <f>$B13 * IFERROR(VLOOKUP("buildings|PM25|Non-fatal heart attacks", US_national_yearly!$D:$AM, 18, FALSE) / VLOOKUP("buildings|PM25|Non-fatal heart attacks", US_national_yearly!$D:$AM, 10, FALSE), 1)</f>
        <v>1.8611772502206136E-2</v>
      </c>
      <c r="K13" s="7">
        <f>$B13 * IFERROR(VLOOKUP("buildings|PM25|Non-fatal heart attacks", US_national_yearly!$D:$AM, 19, FALSE) / VLOOKUP("buildings|PM25|Non-fatal heart attacks", US_national_yearly!$D:$AM, 10, FALSE), 1)</f>
        <v>1.8949911799816588E-2</v>
      </c>
      <c r="L13" s="7">
        <f>$B13 * IFERROR(VLOOKUP("buildings|PM25|Non-fatal heart attacks", US_national_yearly!$D:$AM, 20, FALSE) / VLOOKUP("buildings|PM25|Non-fatal heart attacks", US_national_yearly!$D:$AM, 10, FALSE), 1)</f>
        <v>1.9288051097427039E-2</v>
      </c>
      <c r="M13" s="7">
        <f>$B13 * IFERROR(VLOOKUP("buildings|PM25|Non-fatal heart attacks", US_national_yearly!$D:$AM, 21, FALSE) / VLOOKUP("buildings|PM25|Non-fatal heart attacks", US_national_yearly!$D:$AM, 10, FALSE), 1)</f>
        <v>1.9626190395037491E-2</v>
      </c>
      <c r="N13" s="7">
        <f>$B13 * IFERROR(VLOOKUP("buildings|PM25|Non-fatal heart attacks", US_national_yearly!$D:$AM, 22, FALSE) / VLOOKUP("buildings|PM25|Non-fatal heart attacks", US_national_yearly!$D:$AM, 10, FALSE), 1)</f>
        <v>1.9844633664138397E-2</v>
      </c>
      <c r="O13" s="7">
        <f>$B13 * IFERROR(VLOOKUP("buildings|PM25|Non-fatal heart attacks", US_national_yearly!$D:$AM, 23, FALSE) / VLOOKUP("buildings|PM25|Non-fatal heart attacks", US_national_yearly!$D:$AM, 10, FALSE), 1)</f>
        <v>2.0063076933239304E-2</v>
      </c>
      <c r="P13" s="7">
        <f>$B13 * IFERROR(VLOOKUP("buildings|PM25|Non-fatal heart attacks", US_national_yearly!$D:$AM, 24, FALSE) / VLOOKUP("buildings|PM25|Non-fatal heart attacks", US_national_yearly!$D:$AM, 10, FALSE), 1)</f>
        <v>2.0281520202340208E-2</v>
      </c>
      <c r="Q13" s="7">
        <f>$B13 * IFERROR(VLOOKUP("buildings|PM25|Non-fatal heart attacks", US_national_yearly!$D:$AM, 25, FALSE) / VLOOKUP("buildings|PM25|Non-fatal heart attacks", US_national_yearly!$D:$AM, 10, FALSE), 1)</f>
        <v>2.0499963471441118E-2</v>
      </c>
      <c r="R13" s="7">
        <f>$B13 * IFERROR(VLOOKUP("buildings|PM25|Non-fatal heart attacks", US_national_yearly!$D:$AM, 26, FALSE) / VLOOKUP("buildings|PM25|Non-fatal heart attacks", US_national_yearly!$D:$AM, 10, FALSE), 1)</f>
        <v>2.0718406740542022E-2</v>
      </c>
      <c r="S13" s="7">
        <f>$B13 * IFERROR(VLOOKUP("buildings|PM25|Non-fatal heart attacks", US_national_yearly!$D:$AM, 27, FALSE) / VLOOKUP("buildings|PM25|Non-fatal heart attacks", US_national_yearly!$D:$AM, 10, FALSE), 1)</f>
        <v>2.0833943469930918E-2</v>
      </c>
      <c r="T13" s="7">
        <f>$B13 * IFERROR(VLOOKUP("buildings|PM25|Non-fatal heart attacks", US_national_yearly!$D:$AM, 28, FALSE) / VLOOKUP("buildings|PM25|Non-fatal heart attacks", US_national_yearly!$D:$AM, 10, FALSE), 1)</f>
        <v>2.0949480199319814E-2</v>
      </c>
      <c r="U13" s="7">
        <f>$B13 * IFERROR(VLOOKUP("buildings|PM25|Non-fatal heart attacks", US_national_yearly!$D:$AM, 29, FALSE) / VLOOKUP("buildings|PM25|Non-fatal heart attacks", US_national_yearly!$D:$AM, 10, FALSE), 1)</f>
        <v>2.1065016928708713E-2</v>
      </c>
      <c r="V13" s="7">
        <f>$B13 * IFERROR(VLOOKUP("buildings|PM25|Non-fatal heart attacks", US_national_yearly!$D:$AM, 30, FALSE) / VLOOKUP("buildings|PM25|Non-fatal heart attacks", US_national_yearly!$D:$AM, 10, FALSE), 1)</f>
        <v>2.1180553658097609E-2</v>
      </c>
      <c r="W13" s="7">
        <f>$B13 * IFERROR(VLOOKUP("buildings|PM25|Non-fatal heart attacks", US_national_yearly!$D:$AM, 31, FALSE) / VLOOKUP("buildings|PM25|Non-fatal heart attacks", US_national_yearly!$D:$AM, 10, FALSE), 1)</f>
        <v>2.1296090387486505E-2</v>
      </c>
      <c r="X13" s="7">
        <f>$B13 * IFERROR(VLOOKUP("buildings|PM25|Non-fatal heart attacks", US_national_yearly!$D:$AM, 32, FALSE) / VLOOKUP("buildings|PM25|Non-fatal heart attacks", US_national_yearly!$D:$AM, 10, FALSE), 1)</f>
        <v>2.1384022277160387E-2</v>
      </c>
      <c r="Y13" s="7">
        <f>$B13 * IFERROR(VLOOKUP("buildings|PM25|Non-fatal heart attacks", US_national_yearly!$D:$AM, 33, FALSE) / VLOOKUP("buildings|PM25|Non-fatal heart attacks", US_national_yearly!$D:$AM, 10, FALSE), 1)</f>
        <v>2.147195416683427E-2</v>
      </c>
      <c r="Z13" s="7">
        <f>$B13 * IFERROR(VLOOKUP("buildings|PM25|Non-fatal heart attacks", US_national_yearly!$D:$AM, 34, FALSE) / VLOOKUP("buildings|PM25|Non-fatal heart attacks", US_national_yearly!$D:$AM, 10, FALSE), 1)</f>
        <v>2.1559886056508149E-2</v>
      </c>
      <c r="AA13" s="7">
        <f>$B13 * IFERROR(VLOOKUP("buildings|PM25|Non-fatal heart attacks", US_national_yearly!$D:$AM, 35, FALSE) / VLOOKUP("buildings|PM25|Non-fatal heart attacks", US_national_yearly!$D:$AM, 10, FALSE), 1)</f>
        <v>2.1647817946182028E-2</v>
      </c>
      <c r="AB13" s="7">
        <f>$B13 * IFERROR(VLOOKUP("buildings|PM25|Non-fatal heart attacks", US_national_yearly!$D:$AM, 36, FALSE) / VLOOKUP("buildings|PM25|Non-fatal heart attacks", US_national_yearly!$D:$AM, 10, FALSE), 1)</f>
        <v>2.1735749835855914E-2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12.920954104988041</v>
      </c>
      <c r="C14" s="7">
        <f>$B14 * IFERROR(VLOOKUP("buildings|PM25|Minor restricted activity days", US_national_yearly!$D:$AM, 11, FALSE) / VLOOKUP("buildings|PM25|Minor restricted activity days", US_national_yearly!$D:$AM, 10, FALSE), 1)</f>
        <v>12.953089242227572</v>
      </c>
      <c r="D14" s="7">
        <f>$B14 * IFERROR(VLOOKUP("buildings|PM25|Minor restricted activity days", US_national_yearly!$D:$AM, 12, FALSE) / VLOOKUP("buildings|PM25|Minor restricted activity days", US_national_yearly!$D:$AM, 10, FALSE), 1)</f>
        <v>12.985224379467104</v>
      </c>
      <c r="E14" s="7">
        <f>$B14 * IFERROR(VLOOKUP("buildings|PM25|Minor restricted activity days", US_national_yearly!$D:$AM, 13, FALSE) / VLOOKUP("buildings|PM25|Minor restricted activity days", US_national_yearly!$D:$AM, 10, FALSE), 1)</f>
        <v>13.017359516706634</v>
      </c>
      <c r="F14" s="7">
        <f>$B14 * IFERROR(VLOOKUP("buildings|PM25|Minor restricted activity days", US_national_yearly!$D:$AM, 14, FALSE) / VLOOKUP("buildings|PM25|Minor restricted activity days", US_national_yearly!$D:$AM, 10, FALSE), 1)</f>
        <v>13.049494653946162</v>
      </c>
      <c r="G14" s="7">
        <f>$B14 * IFERROR(VLOOKUP("buildings|PM25|Minor restricted activity days", US_national_yearly!$D:$AM, 15, FALSE) / VLOOKUP("buildings|PM25|Minor restricted activity days", US_national_yearly!$D:$AM, 10, FALSE), 1)</f>
        <v>13.096627143351201</v>
      </c>
      <c r="H14" s="7">
        <f>$B14 * IFERROR(VLOOKUP("buildings|PM25|Minor restricted activity days", US_national_yearly!$D:$AM, 16, FALSE) / VLOOKUP("buildings|PM25|Minor restricted activity days", US_national_yearly!$D:$AM, 10, FALSE), 1)</f>
        <v>13.143759632756234</v>
      </c>
      <c r="I14" s="7">
        <f>$B14 * IFERROR(VLOOKUP("buildings|PM25|Minor restricted activity days", US_national_yearly!$D:$AM, 17, FALSE) / VLOOKUP("buildings|PM25|Minor restricted activity days", US_national_yearly!$D:$AM, 10, FALSE), 1)</f>
        <v>13.223906022574319</v>
      </c>
      <c r="J14" s="7">
        <f>$B14 * IFERROR(VLOOKUP("buildings|PM25|Minor restricted activity days", US_national_yearly!$D:$AM, 18, FALSE) / VLOOKUP("buildings|PM25|Minor restricted activity days", US_national_yearly!$D:$AM, 10, FALSE), 1)</f>
        <v>13.304052412392409</v>
      </c>
      <c r="K14" s="7">
        <f>$B14 * IFERROR(VLOOKUP("buildings|PM25|Minor restricted activity days", US_national_yearly!$D:$AM, 19, FALSE) / VLOOKUP("buildings|PM25|Minor restricted activity days", US_national_yearly!$D:$AM, 10, FALSE), 1)</f>
        <v>13.384198802210486</v>
      </c>
      <c r="L14" s="7">
        <f>$B14 * IFERROR(VLOOKUP("buildings|PM25|Minor restricted activity days", US_national_yearly!$D:$AM, 20, FALSE) / VLOOKUP("buildings|PM25|Minor restricted activity days", US_national_yearly!$D:$AM, 10, FALSE), 1)</f>
        <v>13.464345192028567</v>
      </c>
      <c r="M14" s="7">
        <f>$B14 * IFERROR(VLOOKUP("buildings|PM25|Minor restricted activity days", US_national_yearly!$D:$AM, 21, FALSE) / VLOOKUP("buildings|PM25|Minor restricted activity days", US_national_yearly!$D:$AM, 10, FALSE), 1)</f>
        <v>13.544491581846648</v>
      </c>
      <c r="N14" s="7">
        <f>$B14 * IFERROR(VLOOKUP("buildings|PM25|Minor restricted activity days", US_national_yearly!$D:$AM, 22, FALSE) / VLOOKUP("buildings|PM25|Minor restricted activity days", US_national_yearly!$D:$AM, 10, FALSE), 1)</f>
        <v>13.653391189195268</v>
      </c>
      <c r="O14" s="7">
        <f>$B14 * IFERROR(VLOOKUP("buildings|PM25|Minor restricted activity days", US_national_yearly!$D:$AM, 23, FALSE) / VLOOKUP("buildings|PM25|Minor restricted activity days", US_national_yearly!$D:$AM, 10, FALSE), 1)</f>
        <v>13.762290796543887</v>
      </c>
      <c r="P14" s="7">
        <f>$B14 * IFERROR(VLOOKUP("buildings|PM25|Minor restricted activity days", US_national_yearly!$D:$AM, 24, FALSE) / VLOOKUP("buildings|PM25|Minor restricted activity days", US_national_yearly!$D:$AM, 10, FALSE), 1)</f>
        <v>13.871190403892504</v>
      </c>
      <c r="Q14" s="7">
        <f>$B14 * IFERROR(VLOOKUP("buildings|PM25|Minor restricted activity days", US_national_yearly!$D:$AM, 25, FALSE) / VLOOKUP("buildings|PM25|Minor restricted activity days", US_national_yearly!$D:$AM, 10, FALSE), 1)</f>
        <v>13.980090011241121</v>
      </c>
      <c r="R14" s="7">
        <f>$B14 * IFERROR(VLOOKUP("buildings|PM25|Minor restricted activity days", US_national_yearly!$D:$AM, 26, FALSE) / VLOOKUP("buildings|PM25|Minor restricted activity days", US_national_yearly!$D:$AM, 10, FALSE), 1)</f>
        <v>14.088989618589739</v>
      </c>
      <c r="S14" s="7">
        <f>$B14 * IFERROR(VLOOKUP("buildings|PM25|Minor restricted activity days", US_national_yearly!$D:$AM, 27, FALSE) / VLOOKUP("buildings|PM25|Minor restricted activity days", US_national_yearly!$D:$AM, 10, FALSE), 1)</f>
        <v>14.198564082696041</v>
      </c>
      <c r="T14" s="7">
        <f>$B14 * IFERROR(VLOOKUP("buildings|PM25|Minor restricted activity days", US_national_yearly!$D:$AM, 28, FALSE) / VLOOKUP("buildings|PM25|Minor restricted activity days", US_national_yearly!$D:$AM, 10, FALSE), 1)</f>
        <v>14.308138546802342</v>
      </c>
      <c r="U14" s="7">
        <f>$B14 * IFERROR(VLOOKUP("buildings|PM25|Minor restricted activity days", US_national_yearly!$D:$AM, 29, FALSE) / VLOOKUP("buildings|PM25|Minor restricted activity days", US_national_yearly!$D:$AM, 10, FALSE), 1)</f>
        <v>14.417713010908646</v>
      </c>
      <c r="V14" s="7">
        <f>$B14 * IFERROR(VLOOKUP("buildings|PM25|Minor restricted activity days", US_national_yearly!$D:$AM, 30, FALSE) / VLOOKUP("buildings|PM25|Minor restricted activity days", US_national_yearly!$D:$AM, 10, FALSE), 1)</f>
        <v>14.527287475014946</v>
      </c>
      <c r="W14" s="7">
        <f>$B14 * IFERROR(VLOOKUP("buildings|PM25|Minor restricted activity days", US_national_yearly!$D:$AM, 31, FALSE) / VLOOKUP("buildings|PM25|Minor restricted activity days", US_national_yearly!$D:$AM, 10, FALSE), 1)</f>
        <v>14.636861939121248</v>
      </c>
      <c r="X14" s="7">
        <f>$B14 * IFERROR(VLOOKUP("buildings|PM25|Minor restricted activity days", US_national_yearly!$D:$AM, 32, FALSE) / VLOOKUP("buildings|PM25|Minor restricted activity days", US_national_yearly!$D:$AM, 10, FALSE), 1)</f>
        <v>14.732006058865368</v>
      </c>
      <c r="Y14" s="7">
        <f>$B14 * IFERROR(VLOOKUP("buildings|PM25|Minor restricted activity days", US_national_yearly!$D:$AM, 33, FALSE) / VLOOKUP("buildings|PM25|Minor restricted activity days", US_national_yearly!$D:$AM, 10, FALSE), 1)</f>
        <v>14.827150178609484</v>
      </c>
      <c r="Z14" s="7">
        <f>$B14 * IFERROR(VLOOKUP("buildings|PM25|Minor restricted activity days", US_national_yearly!$D:$AM, 34, FALSE) / VLOOKUP("buildings|PM25|Minor restricted activity days", US_national_yearly!$D:$AM, 10, FALSE), 1)</f>
        <v>14.922294298353597</v>
      </c>
      <c r="AA14" s="7">
        <f>$B14 * IFERROR(VLOOKUP("buildings|PM25|Minor restricted activity days", US_national_yearly!$D:$AM, 35, FALSE) / VLOOKUP("buildings|PM25|Minor restricted activity days", US_national_yearly!$D:$AM, 10, FALSE), 1)</f>
        <v>15.017438418097713</v>
      </c>
      <c r="AB14" s="7">
        <f>$B14 * IFERROR(VLOOKUP("buildings|PM25|Minor restricted activity days", US_national_yearly!$D:$AM, 36, FALSE) / VLOOKUP("buildings|PM25|Minor restricted activity days", US_national_yearly!$D:$AM, 10, FALSE), 1)</f>
        <v>15.112582537841828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2.1946640720826953</v>
      </c>
      <c r="C15" s="7">
        <f>$B15 * IFERROR(VLOOKUP("buildings|PM25|Work loss days", US_national_yearly!$D:$AM, 11, FALSE) / VLOOKUP("buildings|PM25|Work loss days", US_national_yearly!$D:$AM, 10, FALSE), 1)</f>
        <v>2.2015514012424053</v>
      </c>
      <c r="D15" s="7">
        <f>$B15 * IFERROR(VLOOKUP("buildings|PM25|Work loss days", US_national_yearly!$D:$AM, 12, FALSE) / VLOOKUP("buildings|PM25|Work loss days", US_national_yearly!$D:$AM, 10, FALSE), 1)</f>
        <v>2.2084387304021145</v>
      </c>
      <c r="E15" s="7">
        <f>$B15 * IFERROR(VLOOKUP("buildings|PM25|Work loss days", US_national_yearly!$D:$AM, 13, FALSE) / VLOOKUP("buildings|PM25|Work loss days", US_national_yearly!$D:$AM, 10, FALSE), 1)</f>
        <v>2.215326059561824</v>
      </c>
      <c r="F15" s="7">
        <f>$B15 * IFERROR(VLOOKUP("buildings|PM25|Work loss days", US_national_yearly!$D:$AM, 14, FALSE) / VLOOKUP("buildings|PM25|Work loss days", US_national_yearly!$D:$AM, 10, FALSE), 1)</f>
        <v>2.2222133887215332</v>
      </c>
      <c r="G15" s="7">
        <f>$B15 * IFERROR(VLOOKUP("buildings|PM25|Work loss days", US_national_yearly!$D:$AM, 15, FALSE) / VLOOKUP("buildings|PM25|Work loss days", US_national_yearly!$D:$AM, 10, FALSE), 1)</f>
        <v>2.2312157451353367</v>
      </c>
      <c r="H15" s="7">
        <f>$B15 * IFERROR(VLOOKUP("buildings|PM25|Work loss days", US_national_yearly!$D:$AM, 16, FALSE) / VLOOKUP("buildings|PM25|Work loss days", US_national_yearly!$D:$AM, 10, FALSE), 1)</f>
        <v>2.2402181015491398</v>
      </c>
      <c r="I15" s="7">
        <f>$B15 * IFERROR(VLOOKUP("buildings|PM25|Work loss days", US_national_yearly!$D:$AM, 17, FALSE) / VLOOKUP("buildings|PM25|Work loss days", US_national_yearly!$D:$AM, 10, FALSE), 1)</f>
        <v>2.253439559081821</v>
      </c>
      <c r="J15" s="7">
        <f>$B15 * IFERROR(VLOOKUP("buildings|PM25|Work loss days", US_national_yearly!$D:$AM, 18, FALSE) / VLOOKUP("buildings|PM25|Work loss days", US_national_yearly!$D:$AM, 10, FALSE), 1)</f>
        <v>2.2666610166145018</v>
      </c>
      <c r="K15" s="7">
        <f>$B15 * IFERROR(VLOOKUP("buildings|PM25|Work loss days", US_national_yearly!$D:$AM, 19, FALSE) / VLOOKUP("buildings|PM25|Work loss days", US_national_yearly!$D:$AM, 10, FALSE), 1)</f>
        <v>2.279882474147183</v>
      </c>
      <c r="L15" s="7">
        <f>$B15 * IFERROR(VLOOKUP("buildings|PM25|Work loss days", US_national_yearly!$D:$AM, 20, FALSE) / VLOOKUP("buildings|PM25|Work loss days", US_national_yearly!$D:$AM, 10, FALSE), 1)</f>
        <v>2.2931039316798643</v>
      </c>
      <c r="M15" s="7">
        <f>$B15 * IFERROR(VLOOKUP("buildings|PM25|Work loss days", US_national_yearly!$D:$AM, 21, FALSE) / VLOOKUP("buildings|PM25|Work loss days", US_national_yearly!$D:$AM, 10, FALSE), 1)</f>
        <v>2.3063253892125455</v>
      </c>
      <c r="N15" s="7">
        <f>$B15 * IFERROR(VLOOKUP("buildings|PM25|Work loss days", US_national_yearly!$D:$AM, 22, FALSE) / VLOOKUP("buildings|PM25|Work loss days", US_national_yearly!$D:$AM, 10, FALSE), 1)</f>
        <v>2.3229482706819189</v>
      </c>
      <c r="O15" s="7">
        <f>$B15 * IFERROR(VLOOKUP("buildings|PM25|Work loss days", US_national_yearly!$D:$AM, 23, FALSE) / VLOOKUP("buildings|PM25|Work loss days", US_national_yearly!$D:$AM, 10, FALSE), 1)</f>
        <v>2.3395711521512927</v>
      </c>
      <c r="P15" s="7">
        <f>$B15 * IFERROR(VLOOKUP("buildings|PM25|Work loss days", US_national_yearly!$D:$AM, 24, FALSE) / VLOOKUP("buildings|PM25|Work loss days", US_national_yearly!$D:$AM, 10, FALSE), 1)</f>
        <v>2.3561940336206662</v>
      </c>
      <c r="Q15" s="7">
        <f>$B15 * IFERROR(VLOOKUP("buildings|PM25|Work loss days", US_national_yearly!$D:$AM, 25, FALSE) / VLOOKUP("buildings|PM25|Work loss days", US_national_yearly!$D:$AM, 10, FALSE), 1)</f>
        <v>2.3728169150900396</v>
      </c>
      <c r="R15" s="7">
        <f>$B15 * IFERROR(VLOOKUP("buildings|PM25|Work loss days", US_national_yearly!$D:$AM, 26, FALSE) / VLOOKUP("buildings|PM25|Work loss days", US_national_yearly!$D:$AM, 10, FALSE), 1)</f>
        <v>2.3894397965594134</v>
      </c>
      <c r="S15" s="7">
        <f>$B15 * IFERROR(VLOOKUP("buildings|PM25|Work loss days", US_national_yearly!$D:$AM, 27, FALSE) / VLOOKUP("buildings|PM25|Work loss days", US_national_yearly!$D:$AM, 10, FALSE), 1)</f>
        <v>2.4078018350907326</v>
      </c>
      <c r="T15" s="7">
        <f>$B15 * IFERROR(VLOOKUP("buildings|PM25|Work loss days", US_national_yearly!$D:$AM, 28, FALSE) / VLOOKUP("buildings|PM25|Work loss days", US_national_yearly!$D:$AM, 10, FALSE), 1)</f>
        <v>2.4261638736220528</v>
      </c>
      <c r="U15" s="7">
        <f>$B15 * IFERROR(VLOOKUP("buildings|PM25|Work loss days", US_national_yearly!$D:$AM, 29, FALSE) / VLOOKUP("buildings|PM25|Work loss days", US_national_yearly!$D:$AM, 10, FALSE), 1)</f>
        <v>2.4445259121533724</v>
      </c>
      <c r="V15" s="7">
        <f>$B15 * IFERROR(VLOOKUP("buildings|PM25|Work loss days", US_national_yearly!$D:$AM, 30, FALSE) / VLOOKUP("buildings|PM25|Work loss days", US_national_yearly!$D:$AM, 10, FALSE), 1)</f>
        <v>2.4628879506846921</v>
      </c>
      <c r="W15" s="7">
        <f>$B15 * IFERROR(VLOOKUP("buildings|PM25|Work loss days", US_national_yearly!$D:$AM, 31, FALSE) / VLOOKUP("buildings|PM25|Work loss days", US_national_yearly!$D:$AM, 10, FALSE), 1)</f>
        <v>2.4812499892160118</v>
      </c>
      <c r="X15" s="7">
        <f>$B15 * IFERROR(VLOOKUP("buildings|PM25|Work loss days", US_national_yearly!$D:$AM, 32, FALSE) / VLOOKUP("buildings|PM25|Work loss days", US_national_yearly!$D:$AM, 10, FALSE), 1)</f>
        <v>2.4975445483374892</v>
      </c>
      <c r="Y15" s="7">
        <f>$B15 * IFERROR(VLOOKUP("buildings|PM25|Work loss days", US_national_yearly!$D:$AM, 33, FALSE) / VLOOKUP("buildings|PM25|Work loss days", US_national_yearly!$D:$AM, 10, FALSE), 1)</f>
        <v>2.5138391074589674</v>
      </c>
      <c r="Z15" s="7">
        <f>$B15 * IFERROR(VLOOKUP("buildings|PM25|Work loss days", US_national_yearly!$D:$AM, 34, FALSE) / VLOOKUP("buildings|PM25|Work loss days", US_national_yearly!$D:$AM, 10, FALSE), 1)</f>
        <v>2.5301336665804453</v>
      </c>
      <c r="AA15" s="7">
        <f>$B15 * IFERROR(VLOOKUP("buildings|PM25|Work loss days", US_national_yearly!$D:$AM, 35, FALSE) / VLOOKUP("buildings|PM25|Work loss days", US_national_yearly!$D:$AM, 10, FALSE), 1)</f>
        <v>2.5464282257019231</v>
      </c>
      <c r="AB15" s="7">
        <f>$B15 * IFERROR(VLOOKUP("buildings|PM25|Work loss days", US_national_yearly!$D:$AM, 36, FALSE) / VLOOKUP("buildings|PM25|Work loss days", US_national_yearly!$D:$AM, 10, FALSE), 1)</f>
        <v>2.5627227848234009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3.9518298629163508E-3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4.0699356203164174E-3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4.1880413777164839E-3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4.3061471351165505E-3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4.4242528925166171E-3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4.537416085923545E-3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4.6505792793304739E-3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4.7474573848181817E-3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4.8443354903058905E-3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4.9412135957935992E-3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5.0380917012813088E-3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5.1349698067690176E-3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5.1996602391634391E-3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5.2643506715578606E-3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5.3290411039522822E-3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5.3937315363467037E-3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5.4584219687411253E-3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5.4927962935125453E-3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5.5271706182839645E-3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5.5615449430553845E-3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5.5959192678268037E-3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5.6302935925982246E-3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5.6535360155685185E-3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5.6767784385388115E-3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5.7000208615091055E-3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5.7232632844793985E-3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5.7465057074496924E-3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1.0028906715403149E-3</v>
      </c>
      <c r="C2" s="7">
        <f>$B2 * IFERROR(VLOOKUP("buildings|NOx|Premature mortality", US_national_yearly!$D:$AM, 11, FALSE) / VLOOKUP("buildings|NOx|Premature mortality", US_national_yearly!$D:$AM, 10, FALSE), 1)</f>
        <v>1.0176418734520964E-3</v>
      </c>
      <c r="D2" s="7">
        <f>$B2 * IFERROR(VLOOKUP("buildings|NOx|Premature mortality", US_national_yearly!$D:$AM, 12, FALSE) / VLOOKUP("buildings|NOx|Premature mortality", US_national_yearly!$D:$AM, 10, FALSE), 1)</f>
        <v>1.0323930753638778E-3</v>
      </c>
      <c r="E2" s="7">
        <f>$B2 * IFERROR(VLOOKUP("buildings|NOx|Premature mortality", US_national_yearly!$D:$AM, 13, FALSE) / VLOOKUP("buildings|NOx|Premature mortality", US_national_yearly!$D:$AM, 10, FALSE), 1)</f>
        <v>1.0471442772756593E-3</v>
      </c>
      <c r="F2" s="7">
        <f>$B2 * IFERROR(VLOOKUP("buildings|NOx|Premature mortality", US_national_yearly!$D:$AM, 14, FALSE) / VLOOKUP("buildings|NOx|Premature mortality", US_national_yearly!$D:$AM, 10, FALSE), 1)</f>
        <v>1.0618954791874406E-3</v>
      </c>
      <c r="G2" s="7">
        <f>$B2 * IFERROR(VLOOKUP("buildings|NOx|Premature mortality", US_national_yearly!$D:$AM, 15, FALSE) / VLOOKUP("buildings|NOx|Premature mortality", US_national_yearly!$D:$AM, 10, FALSE), 1)</f>
        <v>1.0883792320167825E-3</v>
      </c>
      <c r="H2" s="7">
        <f>$B2 * IFERROR(VLOOKUP("buildings|NOx|Premature mortality", US_national_yearly!$D:$AM, 16, FALSE) / VLOOKUP("buildings|NOx|Premature mortality", US_national_yearly!$D:$AM, 10, FALSE), 1)</f>
        <v>1.1148629848461247E-3</v>
      </c>
      <c r="I2" s="7">
        <f>$B2 * IFERROR(VLOOKUP("buildings|NOx|Premature mortality", US_national_yearly!$D:$AM, 17, FALSE) / VLOOKUP("buildings|NOx|Premature mortality", US_national_yearly!$D:$AM, 10, FALSE), 1)</f>
        <v>1.131978212547561E-3</v>
      </c>
      <c r="J2" s="7">
        <f>$B2 * IFERROR(VLOOKUP("buildings|NOx|Premature mortality", US_national_yearly!$D:$AM, 18, FALSE) / VLOOKUP("buildings|NOx|Premature mortality", US_national_yearly!$D:$AM, 10, FALSE), 1)</f>
        <v>1.1490934402489971E-3</v>
      </c>
      <c r="K2" s="7">
        <f>$B2 * IFERROR(VLOOKUP("buildings|NOx|Premature mortality", US_national_yearly!$D:$AM, 19, FALSE) / VLOOKUP("buildings|NOx|Premature mortality", US_national_yearly!$D:$AM, 10, FALSE), 1)</f>
        <v>1.1662086679504332E-3</v>
      </c>
      <c r="L2" s="7">
        <f>$B2 * IFERROR(VLOOKUP("buildings|NOx|Premature mortality", US_national_yearly!$D:$AM, 20, FALSE) / VLOOKUP("buildings|NOx|Premature mortality", US_national_yearly!$D:$AM, 10, FALSE), 1)</f>
        <v>1.1833238956518695E-3</v>
      </c>
      <c r="M2" s="7">
        <f>$B2 * IFERROR(VLOOKUP("buildings|NOx|Premature mortality", US_national_yearly!$D:$AM, 21, FALSE) / VLOOKUP("buildings|NOx|Premature mortality", US_national_yearly!$D:$AM, 10, FALSE), 1)</f>
        <v>1.2004391233533056E-3</v>
      </c>
      <c r="N2" s="7">
        <f>$B2 * IFERROR(VLOOKUP("buildings|NOx|Premature mortality", US_national_yearly!$D:$AM, 22, FALSE) / VLOOKUP("buildings|NOx|Premature mortality", US_national_yearly!$D:$AM, 10, FALSE), 1)</f>
        <v>1.2131208537389223E-3</v>
      </c>
      <c r="O2" s="7">
        <f>$B2 * IFERROR(VLOOKUP("buildings|NOx|Premature mortality", US_national_yearly!$D:$AM, 23, FALSE) / VLOOKUP("buildings|NOx|Premature mortality", US_national_yearly!$D:$AM, 10, FALSE), 1)</f>
        <v>1.2258025841245389E-3</v>
      </c>
      <c r="P2" s="7">
        <f>$B2 * IFERROR(VLOOKUP("buildings|NOx|Premature mortality", US_national_yearly!$D:$AM, 24, FALSE) / VLOOKUP("buildings|NOx|Premature mortality", US_national_yearly!$D:$AM, 10, FALSE), 1)</f>
        <v>1.2384843145101557E-3</v>
      </c>
      <c r="Q2" s="7">
        <f>$B2 * IFERROR(VLOOKUP("buildings|NOx|Premature mortality", US_national_yearly!$D:$AM, 25, FALSE) / VLOOKUP("buildings|NOx|Premature mortality", US_national_yearly!$D:$AM, 10, FALSE), 1)</f>
        <v>1.2511660448957724E-3</v>
      </c>
      <c r="R2" s="7">
        <f>$B2 * IFERROR(VLOOKUP("buildings|NOx|Premature mortality", US_national_yearly!$D:$AM, 26, FALSE) / VLOOKUP("buildings|NOx|Premature mortality", US_national_yearly!$D:$AM, 10, FALSE), 1)</f>
        <v>1.263847775281389E-3</v>
      </c>
      <c r="S2" s="7">
        <f>$B2 * IFERROR(VLOOKUP("buildings|NOx|Premature mortality", US_national_yearly!$D:$AM, 27, FALSE) / VLOOKUP("buildings|NOx|Premature mortality", US_national_yearly!$D:$AM, 10, FALSE), 1)</f>
        <v>1.2696133899005992E-3</v>
      </c>
      <c r="T2" s="7">
        <f>$B2 * IFERROR(VLOOKUP("buildings|NOx|Premature mortality", US_national_yearly!$D:$AM, 28, FALSE) / VLOOKUP("buildings|NOx|Premature mortality", US_national_yearly!$D:$AM, 10, FALSE), 1)</f>
        <v>1.2753790045198089E-3</v>
      </c>
      <c r="U2" s="7">
        <f>$B2 * IFERROR(VLOOKUP("buildings|NOx|Premature mortality", US_national_yearly!$D:$AM, 29, FALSE) / VLOOKUP("buildings|NOx|Premature mortality", US_national_yearly!$D:$AM, 10, FALSE), 1)</f>
        <v>1.2811446191390188E-3</v>
      </c>
      <c r="V2" s="7">
        <f>$B2 * IFERROR(VLOOKUP("buildings|NOx|Premature mortality", US_national_yearly!$D:$AM, 30, FALSE) / VLOOKUP("buildings|NOx|Premature mortality", US_national_yearly!$D:$AM, 10, FALSE), 1)</f>
        <v>1.2869102337582288E-3</v>
      </c>
      <c r="W2" s="7">
        <f>$B2 * IFERROR(VLOOKUP("buildings|NOx|Premature mortality", US_national_yearly!$D:$AM, 31, FALSE) / VLOOKUP("buildings|NOx|Premature mortality", US_national_yearly!$D:$AM, 10, FALSE), 1)</f>
        <v>1.2926758483774387E-3</v>
      </c>
      <c r="X2" s="7">
        <f>$B2 * IFERROR(VLOOKUP("buildings|NOx|Premature mortality", US_national_yearly!$D:$AM, 32, FALSE) / VLOOKUP("buildings|NOx|Premature mortality", US_national_yearly!$D:$AM, 10, FALSE), 1)</f>
        <v>1.2928789086243792E-3</v>
      </c>
      <c r="Y2" s="7">
        <f>$B2 * IFERROR(VLOOKUP("buildings|NOx|Premature mortality", US_national_yearly!$D:$AM, 33, FALSE) / VLOOKUP("buildings|NOx|Premature mortality", US_national_yearly!$D:$AM, 10, FALSE), 1)</f>
        <v>1.2930819688713199E-3</v>
      </c>
      <c r="Z2" s="7">
        <f>$B2 * IFERROR(VLOOKUP("buildings|NOx|Premature mortality", US_national_yearly!$D:$AM, 34, FALSE) / VLOOKUP("buildings|NOx|Premature mortality", US_national_yearly!$D:$AM, 10, FALSE), 1)</f>
        <v>1.2932850291182605E-3</v>
      </c>
      <c r="AA2" s="7">
        <f>$B2 * IFERROR(VLOOKUP("buildings|NOx|Premature mortality", US_national_yearly!$D:$AM, 35, FALSE) / VLOOKUP("buildings|NOx|Premature mortality", US_national_yearly!$D:$AM, 10, FALSE), 1)</f>
        <v>1.2934880893652008E-3</v>
      </c>
      <c r="AB2" s="7">
        <f>$B2 * IFERROR(VLOOKUP("buildings|NOx|Premature mortality", US_national_yearly!$D:$AM, 36, FALSE) / VLOOKUP("buildings|NOx|Premature mortality", US_national_yearly!$D:$AM, 10, FALSE), 1)</f>
        <v>1.2936911496121417E-3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2.7111393828861846E-6</v>
      </c>
      <c r="C3" s="7">
        <f>$B3 * IFERROR(VLOOKUP("buildings|NOx|Infant mortality", US_national_yearly!$D:$AM, 11, FALSE) / VLOOKUP("buildings|NOx|Infant mortality", US_national_yearly!$D:$AM, 10, FALSE), 1)</f>
        <v>2.6853867406410721E-6</v>
      </c>
      <c r="D3" s="7">
        <f>$B3 * IFERROR(VLOOKUP("buildings|NOx|Infant mortality", US_national_yearly!$D:$AM, 12, FALSE) / VLOOKUP("buildings|NOx|Infant mortality", US_national_yearly!$D:$AM, 10, FALSE), 1)</f>
        <v>2.6596340983959588E-6</v>
      </c>
      <c r="E3" s="7">
        <f>$B3 * IFERROR(VLOOKUP("buildings|NOx|Infant mortality", US_national_yearly!$D:$AM, 13, FALSE) / VLOOKUP("buildings|NOx|Infant mortality", US_national_yearly!$D:$AM, 10, FALSE), 1)</f>
        <v>2.6338814561508464E-6</v>
      </c>
      <c r="F3" s="7">
        <f>$B3 * IFERROR(VLOOKUP("buildings|NOx|Infant mortality", US_national_yearly!$D:$AM, 14, FALSE) / VLOOKUP("buildings|NOx|Infant mortality", US_national_yearly!$D:$AM, 10, FALSE), 1)</f>
        <v>2.608128813905733E-6</v>
      </c>
      <c r="G3" s="7">
        <f>$B3 * IFERROR(VLOOKUP("buildings|NOx|Infant mortality", US_national_yearly!$D:$AM, 15, FALSE) / VLOOKUP("buildings|NOx|Infant mortality", US_national_yearly!$D:$AM, 10, FALSE), 1)</f>
        <v>1.7311127606212859E-6</v>
      </c>
      <c r="H3" s="7">
        <f>$B3 * IFERROR(VLOOKUP("buildings|NOx|Infant mortality", US_national_yearly!$D:$AM, 16, FALSE) / VLOOKUP("buildings|NOx|Infant mortality", US_national_yearly!$D:$AM, 10, FALSE), 1)</f>
        <v>8.5409670733683877E-7</v>
      </c>
      <c r="I3" s="7">
        <f>$B3 * IFERROR(VLOOKUP("buildings|NOx|Infant mortality", US_national_yearly!$D:$AM, 17, FALSE) / VLOOKUP("buildings|NOx|Infant mortality", US_national_yearly!$D:$AM, 10, FALSE), 1)</f>
        <v>8.4806289128867205E-7</v>
      </c>
      <c r="J3" s="7">
        <f>$B3 * IFERROR(VLOOKUP("buildings|NOx|Infant mortality", US_national_yearly!$D:$AM, 18, FALSE) / VLOOKUP("buildings|NOx|Infant mortality", US_national_yearly!$D:$AM, 10, FALSE), 1)</f>
        <v>8.4202907524050512E-7</v>
      </c>
      <c r="K3" s="7">
        <f>$B3 * IFERROR(VLOOKUP("buildings|NOx|Infant mortality", US_national_yearly!$D:$AM, 19, FALSE) / VLOOKUP("buildings|NOx|Infant mortality", US_national_yearly!$D:$AM, 10, FALSE), 1)</f>
        <v>8.3599525919233839E-7</v>
      </c>
      <c r="L3" s="7">
        <f>$B3 * IFERROR(VLOOKUP("buildings|NOx|Infant mortality", US_national_yearly!$D:$AM, 20, FALSE) / VLOOKUP("buildings|NOx|Infant mortality", US_national_yearly!$D:$AM, 10, FALSE), 1)</f>
        <v>8.2996144314417167E-7</v>
      </c>
      <c r="M3" s="7">
        <f>$B3 * IFERROR(VLOOKUP("buildings|NOx|Infant mortality", US_national_yearly!$D:$AM, 21, FALSE) / VLOOKUP("buildings|NOx|Infant mortality", US_national_yearly!$D:$AM, 10, FALSE), 1)</f>
        <v>8.2392762709600474E-7</v>
      </c>
      <c r="N3" s="7">
        <f>$B3 * IFERROR(VLOOKUP("buildings|NOx|Infant mortality", US_national_yearly!$D:$AM, 22, FALSE) / VLOOKUP("buildings|NOx|Infant mortality", US_national_yearly!$D:$AM, 10, FALSE), 1)</f>
        <v>8.1992935503380376E-7</v>
      </c>
      <c r="O3" s="7">
        <f>$B3 * IFERROR(VLOOKUP("buildings|NOx|Infant mortality", US_national_yearly!$D:$AM, 23, FALSE) / VLOOKUP("buildings|NOx|Infant mortality", US_national_yearly!$D:$AM, 10, FALSE), 1)</f>
        <v>8.1593108297160289E-7</v>
      </c>
      <c r="P3" s="7">
        <f>$B3 * IFERROR(VLOOKUP("buildings|NOx|Infant mortality", US_national_yearly!$D:$AM, 24, FALSE) / VLOOKUP("buildings|NOx|Infant mortality", US_national_yearly!$D:$AM, 10, FALSE), 1)</f>
        <v>8.1193281090940191E-7</v>
      </c>
      <c r="Q3" s="7">
        <f>$B3 * IFERROR(VLOOKUP("buildings|NOx|Infant mortality", US_national_yearly!$D:$AM, 25, FALSE) / VLOOKUP("buildings|NOx|Infant mortality", US_national_yearly!$D:$AM, 10, FALSE), 1)</f>
        <v>8.0793453884720114E-7</v>
      </c>
      <c r="R3" s="7">
        <f>$B3 * IFERROR(VLOOKUP("buildings|NOx|Infant mortality", US_national_yearly!$D:$AM, 26, FALSE) / VLOOKUP("buildings|NOx|Infant mortality", US_national_yearly!$D:$AM, 10, FALSE), 1)</f>
        <v>8.0393626678500016E-7</v>
      </c>
      <c r="S3" s="7">
        <f>$B3 * IFERROR(VLOOKUP("buildings|NOx|Infant mortality", US_national_yearly!$D:$AM, 27, FALSE) / VLOOKUP("buildings|NOx|Infant mortality", US_national_yearly!$D:$AM, 10, FALSE), 1)</f>
        <v>7.991266008551302E-7</v>
      </c>
      <c r="T3" s="7">
        <f>$B3 * IFERROR(VLOOKUP("buildings|NOx|Infant mortality", US_national_yearly!$D:$AM, 28, FALSE) / VLOOKUP("buildings|NOx|Infant mortality", US_national_yearly!$D:$AM, 10, FALSE), 1)</f>
        <v>7.9431693492526033E-7</v>
      </c>
      <c r="U3" s="7">
        <f>$B3 * IFERROR(VLOOKUP("buildings|NOx|Infant mortality", US_national_yearly!$D:$AM, 29, FALSE) / VLOOKUP("buildings|NOx|Infant mortality", US_national_yearly!$D:$AM, 10, FALSE), 1)</f>
        <v>7.8950726899539026E-7</v>
      </c>
      <c r="V3" s="7">
        <f>$B3 * IFERROR(VLOOKUP("buildings|NOx|Infant mortality", US_national_yearly!$D:$AM, 30, FALSE) / VLOOKUP("buildings|NOx|Infant mortality", US_national_yearly!$D:$AM, 10, FALSE), 1)</f>
        <v>7.8469760306552029E-7</v>
      </c>
      <c r="W3" s="7">
        <f>$B3 * IFERROR(VLOOKUP("buildings|NOx|Infant mortality", US_national_yearly!$D:$AM, 31, FALSE) / VLOOKUP("buildings|NOx|Infant mortality", US_national_yearly!$D:$AM, 10, FALSE), 1)</f>
        <v>7.7988793713565043E-7</v>
      </c>
      <c r="X3" s="7">
        <f>$B3 * IFERROR(VLOOKUP("buildings|NOx|Infant mortality", US_national_yearly!$D:$AM, 32, FALSE) / VLOOKUP("buildings|NOx|Infant mortality", US_national_yearly!$D:$AM, 10, FALSE), 1)</f>
        <v>7.7479888904286545E-7</v>
      </c>
      <c r="Y3" s="7">
        <f>$B3 * IFERROR(VLOOKUP("buildings|NOx|Infant mortality", US_national_yearly!$D:$AM, 33, FALSE) / VLOOKUP("buildings|NOx|Infant mortality", US_national_yearly!$D:$AM, 10, FALSE), 1)</f>
        <v>7.6970984095008068E-7</v>
      </c>
      <c r="Z3" s="7">
        <f>$B3 * IFERROR(VLOOKUP("buildings|NOx|Infant mortality", US_national_yearly!$D:$AM, 34, FALSE) / VLOOKUP("buildings|NOx|Infant mortality", US_national_yearly!$D:$AM, 10, FALSE), 1)</f>
        <v>7.6462079285729569E-7</v>
      </c>
      <c r="AA3" s="7">
        <f>$B3 * IFERROR(VLOOKUP("buildings|NOx|Infant mortality", US_national_yearly!$D:$AM, 35, FALSE) / VLOOKUP("buildings|NOx|Infant mortality", US_national_yearly!$D:$AM, 10, FALSE), 1)</f>
        <v>7.5953174476451071E-7</v>
      </c>
      <c r="AB3" s="7">
        <f>$B3 * IFERROR(VLOOKUP("buildings|NOx|Infant mortality", US_national_yearly!$D:$AM, 36, FALSE) / VLOOKUP("buildings|NOx|Infant mortality", US_national_yearly!$D:$AM, 10, FALSE), 1)</f>
        <v>7.5444269667172583E-7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3.1031765868667653E-3</v>
      </c>
      <c r="C6" s="7">
        <f>$B6 * IFERROR(VLOOKUP("buildings|NOx|Asthma symptoms cough", US_national_yearly!$D:$AM, 11, FALSE) / VLOOKUP("buildings|NOx|Asthma symptoms cough", US_national_yearly!$D:$AM, 10, FALSE), 1)</f>
        <v>3.1456444037059627E-3</v>
      </c>
      <c r="D6" s="7">
        <f>$B6 * IFERROR(VLOOKUP("buildings|NOx|Asthma symptoms cough", US_national_yearly!$D:$AM, 12, FALSE) / VLOOKUP("buildings|NOx|Asthma symptoms cough", US_national_yearly!$D:$AM, 10, FALSE), 1)</f>
        <v>3.188112220545161E-3</v>
      </c>
      <c r="E6" s="7">
        <f>$B6 * IFERROR(VLOOKUP("buildings|NOx|Asthma symptoms cough", US_national_yearly!$D:$AM, 13, FALSE) / VLOOKUP("buildings|NOx|Asthma symptoms cough", US_national_yearly!$D:$AM, 10, FALSE), 1)</f>
        <v>3.2305800373843585E-3</v>
      </c>
      <c r="F6" s="7">
        <f>$B6 * IFERROR(VLOOKUP("buildings|NOx|Asthma symptoms cough", US_national_yearly!$D:$AM, 14, FALSE) / VLOOKUP("buildings|NOx|Asthma symptoms cough", US_national_yearly!$D:$AM, 10, FALSE), 1)</f>
        <v>3.2730478542235559E-3</v>
      </c>
      <c r="G6" s="7">
        <f>$B6 * IFERROR(VLOOKUP("buildings|NOx|Asthma symptoms cough", US_national_yearly!$D:$AM, 15, FALSE) / VLOOKUP("buildings|NOx|Asthma symptoms cough", US_national_yearly!$D:$AM, 10, FALSE), 1)</f>
        <v>3.3069875974812315E-3</v>
      </c>
      <c r="H6" s="7">
        <f>$B6 * IFERROR(VLOOKUP("buildings|NOx|Asthma symptoms cough", US_national_yearly!$D:$AM, 16, FALSE) / VLOOKUP("buildings|NOx|Asthma symptoms cough", US_national_yearly!$D:$AM, 10, FALSE), 1)</f>
        <v>3.3409273407389072E-3</v>
      </c>
      <c r="I6" s="7">
        <f>$B6 * IFERROR(VLOOKUP("buildings|NOx|Asthma symptoms cough", US_national_yearly!$D:$AM, 17, FALSE) / VLOOKUP("buildings|NOx|Asthma symptoms cough", US_national_yearly!$D:$AM, 10, FALSE), 1)</f>
        <v>3.3526728834749448E-3</v>
      </c>
      <c r="J6" s="7">
        <f>$B6 * IFERROR(VLOOKUP("buildings|NOx|Asthma symptoms cough", US_national_yearly!$D:$AM, 18, FALSE) / VLOOKUP("buildings|NOx|Asthma symptoms cough", US_national_yearly!$D:$AM, 10, FALSE), 1)</f>
        <v>3.364418426210982E-3</v>
      </c>
      <c r="K6" s="7">
        <f>$B6 * IFERROR(VLOOKUP("buildings|NOx|Asthma symptoms cough", US_national_yearly!$D:$AM, 19, FALSE) / VLOOKUP("buildings|NOx|Asthma symptoms cough", US_national_yearly!$D:$AM, 10, FALSE), 1)</f>
        <v>3.3761639689470183E-3</v>
      </c>
      <c r="L6" s="7">
        <f>$B6 * IFERROR(VLOOKUP("buildings|NOx|Asthma symptoms cough", US_national_yearly!$D:$AM, 20, FALSE) / VLOOKUP("buildings|NOx|Asthma symptoms cough", US_national_yearly!$D:$AM, 10, FALSE), 1)</f>
        <v>3.3879095116830554E-3</v>
      </c>
      <c r="M6" s="7">
        <f>$B6 * IFERROR(VLOOKUP("buildings|NOx|Asthma symptoms cough", US_national_yearly!$D:$AM, 21, FALSE) / VLOOKUP("buildings|NOx|Asthma symptoms cough", US_national_yearly!$D:$AM, 10, FALSE), 1)</f>
        <v>3.3996550544190922E-3</v>
      </c>
      <c r="N6" s="7">
        <f>$B6 * IFERROR(VLOOKUP("buildings|NOx|Asthma symptoms cough", US_national_yearly!$D:$AM, 22, FALSE) / VLOOKUP("buildings|NOx|Asthma symptoms cough", US_national_yearly!$D:$AM, 10, FALSE), 1)</f>
        <v>3.4132365700556932E-3</v>
      </c>
      <c r="O6" s="7">
        <f>$B6 * IFERROR(VLOOKUP("buildings|NOx|Asthma symptoms cough", US_national_yearly!$D:$AM, 23, FALSE) / VLOOKUP("buildings|NOx|Asthma symptoms cough", US_national_yearly!$D:$AM, 10, FALSE), 1)</f>
        <v>3.4268180856922939E-3</v>
      </c>
      <c r="P6" s="7">
        <f>$B6 * IFERROR(VLOOKUP("buildings|NOx|Asthma symptoms cough", US_national_yearly!$D:$AM, 24, FALSE) / VLOOKUP("buildings|NOx|Asthma symptoms cough", US_national_yearly!$D:$AM, 10, FALSE), 1)</f>
        <v>3.440399601328894E-3</v>
      </c>
      <c r="Q6" s="7">
        <f>$B6 * IFERROR(VLOOKUP("buildings|NOx|Asthma symptoms cough", US_national_yearly!$D:$AM, 25, FALSE) / VLOOKUP("buildings|NOx|Asthma symptoms cough", US_national_yearly!$D:$AM, 10, FALSE), 1)</f>
        <v>3.4539811169654951E-3</v>
      </c>
      <c r="R6" s="7">
        <f>$B6 * IFERROR(VLOOKUP("buildings|NOx|Asthma symptoms cough", US_national_yearly!$D:$AM, 26, FALSE) / VLOOKUP("buildings|NOx|Asthma symptoms cough", US_national_yearly!$D:$AM, 10, FALSE), 1)</f>
        <v>3.4675626326020957E-3</v>
      </c>
      <c r="S6" s="7">
        <f>$B6 * IFERROR(VLOOKUP("buildings|NOx|Asthma symptoms cough", US_national_yearly!$D:$AM, 27, FALSE) / VLOOKUP("buildings|NOx|Asthma symptoms cough", US_national_yearly!$D:$AM, 10, FALSE), 1)</f>
        <v>3.485300379852983E-3</v>
      </c>
      <c r="T6" s="7">
        <f>$B6 * IFERROR(VLOOKUP("buildings|NOx|Asthma symptoms cough", US_national_yearly!$D:$AM, 28, FALSE) / VLOOKUP("buildings|NOx|Asthma symptoms cough", US_national_yearly!$D:$AM, 10, FALSE), 1)</f>
        <v>3.5030381271038695E-3</v>
      </c>
      <c r="U6" s="7">
        <f>$B6 * IFERROR(VLOOKUP("buildings|NOx|Asthma symptoms cough", US_national_yearly!$D:$AM, 29, FALSE) / VLOOKUP("buildings|NOx|Asthma symptoms cough", US_national_yearly!$D:$AM, 10, FALSE), 1)</f>
        <v>3.5207758743547564E-3</v>
      </c>
      <c r="V6" s="7">
        <f>$B6 * IFERROR(VLOOKUP("buildings|NOx|Asthma symptoms cough", US_national_yearly!$D:$AM, 30, FALSE) / VLOOKUP("buildings|NOx|Asthma symptoms cough", US_national_yearly!$D:$AM, 10, FALSE), 1)</f>
        <v>3.5385136216056442E-3</v>
      </c>
      <c r="W6" s="7">
        <f>$B6 * IFERROR(VLOOKUP("buildings|NOx|Asthma symptoms cough", US_national_yearly!$D:$AM, 31, FALSE) / VLOOKUP("buildings|NOx|Asthma symptoms cough", US_national_yearly!$D:$AM, 10, FALSE), 1)</f>
        <v>3.5562513688565311E-3</v>
      </c>
      <c r="X6" s="7">
        <f>$B6 * IFERROR(VLOOKUP("buildings|NOx|Asthma symptoms cough", US_national_yearly!$D:$AM, 32, FALSE) / VLOOKUP("buildings|NOx|Asthma symptoms cough", US_national_yearly!$D:$AM, 10, FALSE), 1)</f>
        <v>3.5727321768138842E-3</v>
      </c>
      <c r="Y6" s="7">
        <f>$B6 * IFERROR(VLOOKUP("buildings|NOx|Asthma symptoms cough", US_national_yearly!$D:$AM, 33, FALSE) / VLOOKUP("buildings|NOx|Asthma symptoms cough", US_national_yearly!$D:$AM, 10, FALSE), 1)</f>
        <v>3.5892129847712386E-3</v>
      </c>
      <c r="Z6" s="7">
        <f>$B6 * IFERROR(VLOOKUP("buildings|NOx|Asthma symptoms cough", US_national_yearly!$D:$AM, 34, FALSE) / VLOOKUP("buildings|NOx|Asthma symptoms cough", US_national_yearly!$D:$AM, 10, FALSE), 1)</f>
        <v>3.6056937927285925E-3</v>
      </c>
      <c r="AA6" s="7">
        <f>$B6 * IFERROR(VLOOKUP("buildings|NOx|Asthma symptoms cough", US_national_yearly!$D:$AM, 35, FALSE) / VLOOKUP("buildings|NOx|Asthma symptoms cough", US_national_yearly!$D:$AM, 10, FALSE), 1)</f>
        <v>3.6221746006859464E-3</v>
      </c>
      <c r="AB6" s="7">
        <f>$B6 * IFERROR(VLOOKUP("buildings|NOx|Asthma symptoms cough", US_national_yearly!$D:$AM, 36, FALSE) / VLOOKUP("buildings|NOx|Asthma symptoms cough", US_national_yearly!$D:$AM, 10, FALSE), 1)</f>
        <v>3.6386554086433004E-3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4.1788661330166132E-3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4.2360550541796146E-3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4.2932439753426152E-3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4.3504328965056167E-3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4.4076218176686173E-3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4.4533264816261501E-3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4.4990311455836828E-3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4.5148481797427217E-3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4.5306652139017606E-3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4.5464822480608012E-3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4.5622992822198409E-3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4.5781163163788798E-3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4.5964057477265591E-3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4.6146951790742375E-3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4.6329846104219167E-3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4.6512740417695951E-3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4.6695634731172744E-3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4.6934498581816027E-3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4.7173362432459311E-3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4.7412226283102595E-3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4.765109013374587E-3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4.7889953984389154E-3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4.8111891369800796E-3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4.8333828755212421E-3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4.8555766140624063E-3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4.8777703526035688E-3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4.899964091144733E-3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6.3846399899158725E-3</v>
      </c>
      <c r="C8" s="7">
        <f>$B8 * IFERROR(VLOOKUP("buildings|NOx|Asthma symptoms wheeze", US_national_yearly!$D:$AM, 11, FALSE) / VLOOKUP("buildings|NOx|Asthma symptoms wheeze", US_national_yearly!$D:$AM, 10, FALSE), 1)</f>
        <v>6.4720155272702737E-3</v>
      </c>
      <c r="D8" s="7">
        <f>$B8 * IFERROR(VLOOKUP("buildings|NOx|Asthma symptoms wheeze", US_national_yearly!$D:$AM, 12, FALSE) / VLOOKUP("buildings|NOx|Asthma symptoms wheeze", US_national_yearly!$D:$AM, 10, FALSE), 1)</f>
        <v>6.5593910646246758E-3</v>
      </c>
      <c r="E8" s="7">
        <f>$B8 * IFERROR(VLOOKUP("buildings|NOx|Asthma symptoms wheeze", US_national_yearly!$D:$AM, 13, FALSE) / VLOOKUP("buildings|NOx|Asthma symptoms wheeze", US_national_yearly!$D:$AM, 10, FALSE), 1)</f>
        <v>6.6467666019790752E-3</v>
      </c>
      <c r="F8" s="7">
        <f>$B8 * IFERROR(VLOOKUP("buildings|NOx|Asthma symptoms wheeze", US_national_yearly!$D:$AM, 14, FALSE) / VLOOKUP("buildings|NOx|Asthma symptoms wheeze", US_national_yearly!$D:$AM, 10, FALSE), 1)</f>
        <v>6.7341421393334782E-3</v>
      </c>
      <c r="G8" s="7">
        <f>$B8 * IFERROR(VLOOKUP("buildings|NOx|Asthma symptoms wheeze", US_national_yearly!$D:$AM, 15, FALSE) / VLOOKUP("buildings|NOx|Asthma symptoms wheeze", US_national_yearly!$D:$AM, 10, FALSE), 1)</f>
        <v>6.8039715660755447E-3</v>
      </c>
      <c r="H8" s="7">
        <f>$B8 * IFERROR(VLOOKUP("buildings|NOx|Asthma symptoms wheeze", US_national_yearly!$D:$AM, 16, FALSE) / VLOOKUP("buildings|NOx|Asthma symptoms wheeze", US_national_yearly!$D:$AM, 10, FALSE), 1)</f>
        <v>6.8738009928176096E-3</v>
      </c>
      <c r="I8" s="7">
        <f>$B8 * IFERROR(VLOOKUP("buildings|NOx|Asthma symptoms wheeze", US_national_yearly!$D:$AM, 17, FALSE) / VLOOKUP("buildings|NOx|Asthma symptoms wheeze", US_national_yearly!$D:$AM, 10, FALSE), 1)</f>
        <v>6.8979668950146711E-3</v>
      </c>
      <c r="J8" s="7">
        <f>$B8 * IFERROR(VLOOKUP("buildings|NOx|Asthma symptoms wheeze", US_national_yearly!$D:$AM, 18, FALSE) / VLOOKUP("buildings|NOx|Asthma symptoms wheeze", US_national_yearly!$D:$AM, 10, FALSE), 1)</f>
        <v>6.9221327972117308E-3</v>
      </c>
      <c r="K8" s="7">
        <f>$B8 * IFERROR(VLOOKUP("buildings|NOx|Asthma symptoms wheeze", US_national_yearly!$D:$AM, 19, FALSE) / VLOOKUP("buildings|NOx|Asthma symptoms wheeze", US_national_yearly!$D:$AM, 10, FALSE), 1)</f>
        <v>6.9462986994087914E-3</v>
      </c>
      <c r="L8" s="7">
        <f>$B8 * IFERROR(VLOOKUP("buildings|NOx|Asthma symptoms wheeze", US_national_yearly!$D:$AM, 20, FALSE) / VLOOKUP("buildings|NOx|Asthma symptoms wheeze", US_national_yearly!$D:$AM, 10, FALSE), 1)</f>
        <v>6.9704646016058511E-3</v>
      </c>
      <c r="M8" s="7">
        <f>$B8 * IFERROR(VLOOKUP("buildings|NOx|Asthma symptoms wheeze", US_national_yearly!$D:$AM, 21, FALSE) / VLOOKUP("buildings|NOx|Asthma symptoms wheeze", US_national_yearly!$D:$AM, 10, FALSE), 1)</f>
        <v>6.9946305038029125E-3</v>
      </c>
      <c r="N8" s="7">
        <f>$B8 * IFERROR(VLOOKUP("buildings|NOx|Asthma symptoms wheeze", US_national_yearly!$D:$AM, 22, FALSE) / VLOOKUP("buildings|NOx|Asthma symptoms wheeze", US_national_yearly!$D:$AM, 10, FALSE), 1)</f>
        <v>7.0225738339622836E-3</v>
      </c>
      <c r="O8" s="7">
        <f>$B8 * IFERROR(VLOOKUP("buildings|NOx|Asthma symptoms wheeze", US_national_yearly!$D:$AM, 23, FALSE) / VLOOKUP("buildings|NOx|Asthma symptoms wheeze", US_national_yearly!$D:$AM, 10, FALSE), 1)</f>
        <v>7.0505171641216556E-3</v>
      </c>
      <c r="P8" s="7">
        <f>$B8 * IFERROR(VLOOKUP("buildings|NOx|Asthma symptoms wheeze", US_national_yearly!$D:$AM, 24, FALSE) / VLOOKUP("buildings|NOx|Asthma symptoms wheeze", US_national_yearly!$D:$AM, 10, FALSE), 1)</f>
        <v>7.0784604942810267E-3</v>
      </c>
      <c r="Q8" s="7">
        <f>$B8 * IFERROR(VLOOKUP("buildings|NOx|Asthma symptoms wheeze", US_national_yearly!$D:$AM, 25, FALSE) / VLOOKUP("buildings|NOx|Asthma symptoms wheeze", US_national_yearly!$D:$AM, 10, FALSE), 1)</f>
        <v>7.1064038244403995E-3</v>
      </c>
      <c r="R8" s="7">
        <f>$B8 * IFERROR(VLOOKUP("buildings|NOx|Asthma symptoms wheeze", US_national_yearly!$D:$AM, 26, FALSE) / VLOOKUP("buildings|NOx|Asthma symptoms wheeze", US_national_yearly!$D:$AM, 10, FALSE), 1)</f>
        <v>7.1343471545997697E-3</v>
      </c>
      <c r="S8" s="7">
        <f>$B8 * IFERROR(VLOOKUP("buildings|NOx|Asthma symptoms wheeze", US_national_yearly!$D:$AM, 27, FALSE) / VLOOKUP("buildings|NOx|Asthma symptoms wheeze", US_national_yearly!$D:$AM, 10, FALSE), 1)</f>
        <v>7.170841735992169E-3</v>
      </c>
      <c r="T8" s="7">
        <f>$B8 * IFERROR(VLOOKUP("buildings|NOx|Asthma symptoms wheeze", US_national_yearly!$D:$AM, 28, FALSE) / VLOOKUP("buildings|NOx|Asthma symptoms wheeze", US_national_yearly!$D:$AM, 10, FALSE), 1)</f>
        <v>7.2073363173845674E-3</v>
      </c>
      <c r="U8" s="7">
        <f>$B8 * IFERROR(VLOOKUP("buildings|NOx|Asthma symptoms wheeze", US_national_yearly!$D:$AM, 29, FALSE) / VLOOKUP("buildings|NOx|Asthma symptoms wheeze", US_national_yearly!$D:$AM, 10, FALSE), 1)</f>
        <v>7.2438308987769658E-3</v>
      </c>
      <c r="V8" s="7">
        <f>$B8 * IFERROR(VLOOKUP("buildings|NOx|Asthma symptoms wheeze", US_national_yearly!$D:$AM, 30, FALSE) / VLOOKUP("buildings|NOx|Asthma symptoms wheeze", US_national_yearly!$D:$AM, 10, FALSE), 1)</f>
        <v>7.2803254801693642E-3</v>
      </c>
      <c r="W8" s="7">
        <f>$B8 * IFERROR(VLOOKUP("buildings|NOx|Asthma symptoms wheeze", US_national_yearly!$D:$AM, 31, FALSE) / VLOOKUP("buildings|NOx|Asthma symptoms wheeze", US_national_yearly!$D:$AM, 10, FALSE), 1)</f>
        <v>7.3168200615617634E-3</v>
      </c>
      <c r="X8" s="7">
        <f>$B8 * IFERROR(VLOOKUP("buildings|NOx|Asthma symptoms wheeze", US_national_yearly!$D:$AM, 32, FALSE) / VLOOKUP("buildings|NOx|Asthma symptoms wheeze", US_national_yearly!$D:$AM, 10, FALSE), 1)</f>
        <v>7.3507285494286761E-3</v>
      </c>
      <c r="Y8" s="7">
        <f>$B8 * IFERROR(VLOOKUP("buildings|NOx|Asthma symptoms wheeze", US_national_yearly!$D:$AM, 33, FALSE) / VLOOKUP("buildings|NOx|Asthma symptoms wheeze", US_national_yearly!$D:$AM, 10, FALSE), 1)</f>
        <v>7.3846370372955879E-3</v>
      </c>
      <c r="Z8" s="7">
        <f>$B8 * IFERROR(VLOOKUP("buildings|NOx|Asthma symptoms wheeze", US_national_yearly!$D:$AM, 34, FALSE) / VLOOKUP("buildings|NOx|Asthma symptoms wheeze", US_national_yearly!$D:$AM, 10, FALSE), 1)</f>
        <v>7.4185455251625024E-3</v>
      </c>
      <c r="AA8" s="7">
        <f>$B8 * IFERROR(VLOOKUP("buildings|NOx|Asthma symptoms wheeze", US_national_yearly!$D:$AM, 35, FALSE) / VLOOKUP("buildings|NOx|Asthma symptoms wheeze", US_national_yearly!$D:$AM, 10, FALSE), 1)</f>
        <v>7.4524540130294151E-3</v>
      </c>
      <c r="AB8" s="7">
        <f>$B8 * IFERROR(VLOOKUP("buildings|NOx|Asthma symptoms wheeze", US_national_yearly!$D:$AM, 36, FALSE) / VLOOKUP("buildings|NOx|Asthma symptoms wheeze", US_national_yearly!$D:$AM, 10, FALSE), 1)</f>
        <v>7.4863625008963286E-3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7.3297194083358637E-5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7.5128476870239588E-5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7.6959759657120553E-5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7.8791042444001505E-5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8.0622325230882469E-5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8.2373087300678357E-5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8.4123849370474203E-5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8.5611080500346709E-5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8.7098311630219227E-5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8.8585542760091733E-5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9.0072773889964238E-5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9.1560005019836757E-5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9.2554210847102671E-5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9.3548416674368599E-5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9.4542622501634526E-5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9.5536828328900467E-5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9.6531034156166381E-5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9.7064097212552601E-5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9.7597160268938821E-5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9.813022332532504E-5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9.866328638171126E-5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9.9196349438097466E-5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9.9561256252549702E-5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9.992616306700191E-5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1.0029106988145416E-4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1.0065597669590638E-4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1.0102088351035862E-4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4.9304529329442499E-4</v>
      </c>
      <c r="C13" s="7">
        <f>$B13 * IFERROR(VLOOKUP("buildings|NOx|Non-fatal heart attacks", US_national_yearly!$D:$AM, 11, FALSE) / VLOOKUP("buildings|NOx|Non-fatal heart attacks", US_national_yearly!$D:$AM, 10, FALSE), 1)</f>
        <v>5.0715031388375552E-4</v>
      </c>
      <c r="D13" s="7">
        <f>$B13 * IFERROR(VLOOKUP("buildings|NOx|Non-fatal heart attacks", US_national_yearly!$D:$AM, 12, FALSE) / VLOOKUP("buildings|NOx|Non-fatal heart attacks", US_national_yearly!$D:$AM, 10, FALSE), 1)</f>
        <v>5.2125533447308625E-4</v>
      </c>
      <c r="E13" s="7">
        <f>$B13 * IFERROR(VLOOKUP("buildings|NOx|Non-fatal heart attacks", US_national_yearly!$D:$AM, 13, FALSE) / VLOOKUP("buildings|NOx|Non-fatal heart attacks", US_national_yearly!$D:$AM, 10, FALSE), 1)</f>
        <v>5.3536035506241678E-4</v>
      </c>
      <c r="F13" s="7">
        <f>$B13 * IFERROR(VLOOKUP("buildings|NOx|Non-fatal heart attacks", US_national_yearly!$D:$AM, 14, FALSE) / VLOOKUP("buildings|NOx|Non-fatal heart attacks", US_national_yearly!$D:$AM, 10, FALSE), 1)</f>
        <v>5.494653756517473E-4</v>
      </c>
      <c r="G13" s="7">
        <f>$B13 * IFERROR(VLOOKUP("buildings|NOx|Non-fatal heart attacks", US_national_yearly!$D:$AM, 15, FALSE) / VLOOKUP("buildings|NOx|Non-fatal heart attacks", US_national_yearly!$D:$AM, 10, FALSE), 1)</f>
        <v>5.6264929095521112E-4</v>
      </c>
      <c r="H13" s="7">
        <f>$B13 * IFERROR(VLOOKUP("buildings|NOx|Non-fatal heart attacks", US_national_yearly!$D:$AM, 16, FALSE) / VLOOKUP("buildings|NOx|Non-fatal heart attacks", US_national_yearly!$D:$AM, 10, FALSE), 1)</f>
        <v>5.7583320625867517E-4</v>
      </c>
      <c r="I13" s="7">
        <f>$B13 * IFERROR(VLOOKUP("buildings|NOx|Non-fatal heart attacks", US_national_yearly!$D:$AM, 17, FALSE) / VLOOKUP("buildings|NOx|Non-fatal heart attacks", US_national_yearly!$D:$AM, 10, FALSE), 1)</f>
        <v>5.8623436771329692E-4</v>
      </c>
      <c r="J13" s="7">
        <f>$B13 * IFERROR(VLOOKUP("buildings|NOx|Non-fatal heart attacks", US_national_yearly!$D:$AM, 18, FALSE) / VLOOKUP("buildings|NOx|Non-fatal heart attacks", US_national_yearly!$D:$AM, 10, FALSE), 1)</f>
        <v>5.9663552916791867E-4</v>
      </c>
      <c r="K13" s="7">
        <f>$B13 * IFERROR(VLOOKUP("buildings|NOx|Non-fatal heart attacks", US_national_yearly!$D:$AM, 19, FALSE) / VLOOKUP("buildings|NOx|Non-fatal heart attacks", US_national_yearly!$D:$AM, 10, FALSE), 1)</f>
        <v>6.0703669062254063E-4</v>
      </c>
      <c r="L13" s="7">
        <f>$B13 * IFERROR(VLOOKUP("buildings|NOx|Non-fatal heart attacks", US_national_yearly!$D:$AM, 20, FALSE) / VLOOKUP("buildings|NOx|Non-fatal heart attacks", US_national_yearly!$D:$AM, 10, FALSE), 1)</f>
        <v>6.1743785207716206E-4</v>
      </c>
      <c r="M13" s="7">
        <f>$B13 * IFERROR(VLOOKUP("buildings|NOx|Non-fatal heart attacks", US_national_yearly!$D:$AM, 21, FALSE) / VLOOKUP("buildings|NOx|Non-fatal heart attacks", US_national_yearly!$D:$AM, 10, FALSE), 1)</f>
        <v>6.2783901353178403E-4</v>
      </c>
      <c r="N13" s="7">
        <f>$B13 * IFERROR(VLOOKUP("buildings|NOx|Non-fatal heart attacks", US_national_yearly!$D:$AM, 22, FALSE) / VLOOKUP("buildings|NOx|Non-fatal heart attacks", US_national_yearly!$D:$AM, 10, FALSE), 1)</f>
        <v>6.3409874779628717E-4</v>
      </c>
      <c r="O13" s="7">
        <f>$B13 * IFERROR(VLOOKUP("buildings|NOx|Non-fatal heart attacks", US_national_yearly!$D:$AM, 23, FALSE) / VLOOKUP("buildings|NOx|Non-fatal heart attacks", US_national_yearly!$D:$AM, 10, FALSE), 1)</f>
        <v>6.4035848206079021E-4</v>
      </c>
      <c r="P13" s="7">
        <f>$B13 * IFERROR(VLOOKUP("buildings|NOx|Non-fatal heart attacks", US_national_yearly!$D:$AM, 24, FALSE) / VLOOKUP("buildings|NOx|Non-fatal heart attacks", US_national_yearly!$D:$AM, 10, FALSE), 1)</f>
        <v>6.4661821632529335E-4</v>
      </c>
      <c r="Q13" s="7">
        <f>$B13 * IFERROR(VLOOKUP("buildings|NOx|Non-fatal heart attacks", US_national_yearly!$D:$AM, 25, FALSE) / VLOOKUP("buildings|NOx|Non-fatal heart attacks", US_national_yearly!$D:$AM, 10, FALSE), 1)</f>
        <v>6.528779505897965E-4</v>
      </c>
      <c r="R13" s="7">
        <f>$B13 * IFERROR(VLOOKUP("buildings|NOx|Non-fatal heart attacks", US_national_yearly!$D:$AM, 26, FALSE) / VLOOKUP("buildings|NOx|Non-fatal heart attacks", US_national_yearly!$D:$AM, 10, FALSE), 1)</f>
        <v>6.5913768485429953E-4</v>
      </c>
      <c r="S13" s="7">
        <f>$B13 * IFERROR(VLOOKUP("buildings|NOx|Non-fatal heart attacks", US_national_yearly!$D:$AM, 27, FALSE) / VLOOKUP("buildings|NOx|Non-fatal heart attacks", US_national_yearly!$D:$AM, 10, FALSE), 1)</f>
        <v>6.6198235367443108E-4</v>
      </c>
      <c r="T13" s="7">
        <f>$B13 * IFERROR(VLOOKUP("buildings|NOx|Non-fatal heart attacks", US_national_yearly!$D:$AM, 28, FALSE) / VLOOKUP("buildings|NOx|Non-fatal heart attacks", US_national_yearly!$D:$AM, 10, FALSE), 1)</f>
        <v>6.6482702249456285E-4</v>
      </c>
      <c r="U13" s="7">
        <f>$B13 * IFERROR(VLOOKUP("buildings|NOx|Non-fatal heart attacks", US_national_yearly!$D:$AM, 29, FALSE) / VLOOKUP("buildings|NOx|Non-fatal heart attacks", US_national_yearly!$D:$AM, 10, FALSE), 1)</f>
        <v>6.676716913146944E-4</v>
      </c>
      <c r="V13" s="7">
        <f>$B13 * IFERROR(VLOOKUP("buildings|NOx|Non-fatal heart attacks", US_national_yearly!$D:$AM, 30, FALSE) / VLOOKUP("buildings|NOx|Non-fatal heart attacks", US_national_yearly!$D:$AM, 10, FALSE), 1)</f>
        <v>6.7051636013482595E-4</v>
      </c>
      <c r="W13" s="7">
        <f>$B13 * IFERROR(VLOOKUP("buildings|NOx|Non-fatal heart attacks", US_national_yearly!$D:$AM, 31, FALSE) / VLOOKUP("buildings|NOx|Non-fatal heart attacks", US_national_yearly!$D:$AM, 10, FALSE), 1)</f>
        <v>6.7336102895495761E-4</v>
      </c>
      <c r="X13" s="7">
        <f>$B13 * IFERROR(VLOOKUP("buildings|NOx|Non-fatal heart attacks", US_national_yearly!$D:$AM, 32, FALSE) / VLOOKUP("buildings|NOx|Non-fatal heart attacks", US_national_yearly!$D:$AM, 10, FALSE), 1)</f>
        <v>6.7526388074998027E-4</v>
      </c>
      <c r="Y13" s="7">
        <f>$B13 * IFERROR(VLOOKUP("buildings|NOx|Non-fatal heart attacks", US_national_yearly!$D:$AM, 33, FALSE) / VLOOKUP("buildings|NOx|Non-fatal heart attacks", US_national_yearly!$D:$AM, 10, FALSE), 1)</f>
        <v>6.7716673254500294E-4</v>
      </c>
      <c r="Z13" s="7">
        <f>$B13 * IFERROR(VLOOKUP("buildings|NOx|Non-fatal heart attacks", US_national_yearly!$D:$AM, 34, FALSE) / VLOOKUP("buildings|NOx|Non-fatal heart attacks", US_national_yearly!$D:$AM, 10, FALSE), 1)</f>
        <v>6.7906958434002572E-4</v>
      </c>
      <c r="AA13" s="7">
        <f>$B13 * IFERROR(VLOOKUP("buildings|NOx|Non-fatal heart attacks", US_national_yearly!$D:$AM, 35, FALSE) / VLOOKUP("buildings|NOx|Non-fatal heart attacks", US_national_yearly!$D:$AM, 10, FALSE), 1)</f>
        <v>6.8097243613504839E-4</v>
      </c>
      <c r="AB13" s="7">
        <f>$B13 * IFERROR(VLOOKUP("buildings|NOx|Non-fatal heart attacks", US_national_yearly!$D:$AM, 36, FALSE) / VLOOKUP("buildings|NOx|Non-fatal heart attacks", US_national_yearly!$D:$AM, 10, FALSE), 1)</f>
        <v>6.8287528793007095E-4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0.41073318647715129</v>
      </c>
      <c r="C14" s="7">
        <f>$B14 * IFERROR(VLOOKUP("buildings|NOx|Minor restricted activity days", US_national_yearly!$D:$AM, 11, FALSE) / VLOOKUP("buildings|NOx|Minor restricted activity days", US_national_yearly!$D:$AM, 10, FALSE), 1)</f>
        <v>0.41137054724707811</v>
      </c>
      <c r="D14" s="7">
        <f>$B14 * IFERROR(VLOOKUP("buildings|NOx|Minor restricted activity days", US_national_yearly!$D:$AM, 12, FALSE) / VLOOKUP("buildings|NOx|Minor restricted activity days", US_national_yearly!$D:$AM, 10, FALSE), 1)</f>
        <v>0.41200790801700488</v>
      </c>
      <c r="E14" s="7">
        <f>$B14 * IFERROR(VLOOKUP("buildings|NOx|Minor restricted activity days", US_national_yearly!$D:$AM, 13, FALSE) / VLOOKUP("buildings|NOx|Minor restricted activity days", US_national_yearly!$D:$AM, 10, FALSE), 1)</f>
        <v>0.4126452687869317</v>
      </c>
      <c r="F14" s="7">
        <f>$B14 * IFERROR(VLOOKUP("buildings|NOx|Minor restricted activity days", US_national_yearly!$D:$AM, 14, FALSE) / VLOOKUP("buildings|NOx|Minor restricted activity days", US_national_yearly!$D:$AM, 10, FALSE), 1)</f>
        <v>0.41328262955685846</v>
      </c>
      <c r="G14" s="7">
        <f>$B14 * IFERROR(VLOOKUP("buildings|NOx|Minor restricted activity days", US_national_yearly!$D:$AM, 15, FALSE) / VLOOKUP("buildings|NOx|Minor restricted activity days", US_national_yearly!$D:$AM, 10, FALSE), 1)</f>
        <v>0.41442764928605541</v>
      </c>
      <c r="H14" s="7">
        <f>$B14 * IFERROR(VLOOKUP("buildings|NOx|Minor restricted activity days", US_national_yearly!$D:$AM, 16, FALSE) / VLOOKUP("buildings|NOx|Minor restricted activity days", US_national_yearly!$D:$AM, 10, FALSE), 1)</f>
        <v>0.41557266901525231</v>
      </c>
      <c r="I14" s="7">
        <f>$B14 * IFERROR(VLOOKUP("buildings|NOx|Minor restricted activity days", US_national_yearly!$D:$AM, 17, FALSE) / VLOOKUP("buildings|NOx|Minor restricted activity days", US_national_yearly!$D:$AM, 10, FALSE), 1)</f>
        <v>0.41780513081140858</v>
      </c>
      <c r="J14" s="7">
        <f>$B14 * IFERROR(VLOOKUP("buildings|NOx|Minor restricted activity days", US_national_yearly!$D:$AM, 18, FALSE) / VLOOKUP("buildings|NOx|Minor restricted activity days", US_national_yearly!$D:$AM, 10, FALSE), 1)</f>
        <v>0.42003759260756479</v>
      </c>
      <c r="K14" s="7">
        <f>$B14 * IFERROR(VLOOKUP("buildings|NOx|Minor restricted activity days", US_national_yearly!$D:$AM, 19, FALSE) / VLOOKUP("buildings|NOx|Minor restricted activity days", US_national_yearly!$D:$AM, 10, FALSE), 1)</f>
        <v>0.42227005440372106</v>
      </c>
      <c r="L14" s="7">
        <f>$B14 * IFERROR(VLOOKUP("buildings|NOx|Minor restricted activity days", US_national_yearly!$D:$AM, 20, FALSE) / VLOOKUP("buildings|NOx|Minor restricted activity days", US_national_yearly!$D:$AM, 10, FALSE), 1)</f>
        <v>0.42450251619987728</v>
      </c>
      <c r="M14" s="7">
        <f>$B14 * IFERROR(VLOOKUP("buildings|NOx|Minor restricted activity days", US_national_yearly!$D:$AM, 21, FALSE) / VLOOKUP("buildings|NOx|Minor restricted activity days", US_national_yearly!$D:$AM, 10, FALSE), 1)</f>
        <v>0.42673497799603355</v>
      </c>
      <c r="N14" s="7">
        <f>$B14 * IFERROR(VLOOKUP("buildings|NOx|Minor restricted activity days", US_national_yearly!$D:$AM, 22, FALSE) / VLOOKUP("buildings|NOx|Minor restricted activity days", US_national_yearly!$D:$AM, 10, FALSE), 1)</f>
        <v>0.42992875633768135</v>
      </c>
      <c r="O14" s="7">
        <f>$B14 * IFERROR(VLOOKUP("buildings|NOx|Minor restricted activity days", US_national_yearly!$D:$AM, 23, FALSE) / VLOOKUP("buildings|NOx|Minor restricted activity days", US_national_yearly!$D:$AM, 10, FALSE), 1)</f>
        <v>0.4331225346793291</v>
      </c>
      <c r="P14" s="7">
        <f>$B14 * IFERROR(VLOOKUP("buildings|NOx|Minor restricted activity days", US_national_yearly!$D:$AM, 24, FALSE) / VLOOKUP("buildings|NOx|Minor restricted activity days", US_national_yearly!$D:$AM, 10, FALSE), 1)</f>
        <v>0.4363163130209769</v>
      </c>
      <c r="Q14" s="7">
        <f>$B14 * IFERROR(VLOOKUP("buildings|NOx|Minor restricted activity days", US_national_yearly!$D:$AM, 25, FALSE) / VLOOKUP("buildings|NOx|Minor restricted activity days", US_national_yearly!$D:$AM, 10, FALSE), 1)</f>
        <v>0.43951009136262464</v>
      </c>
      <c r="R14" s="7">
        <f>$B14 * IFERROR(VLOOKUP("buildings|NOx|Minor restricted activity days", US_national_yearly!$D:$AM, 26, FALSE) / VLOOKUP("buildings|NOx|Minor restricted activity days", US_national_yearly!$D:$AM, 10, FALSE), 1)</f>
        <v>0.44270386970427239</v>
      </c>
      <c r="S14" s="7">
        <f>$B14 * IFERROR(VLOOKUP("buildings|NOx|Minor restricted activity days", US_national_yearly!$D:$AM, 27, FALSE) / VLOOKUP("buildings|NOx|Minor restricted activity days", US_national_yearly!$D:$AM, 10, FALSE), 1)</f>
        <v>0.44589672864385088</v>
      </c>
      <c r="T14" s="7">
        <f>$B14 * IFERROR(VLOOKUP("buildings|NOx|Minor restricted activity days", US_national_yearly!$D:$AM, 28, FALSE) / VLOOKUP("buildings|NOx|Minor restricted activity days", US_national_yearly!$D:$AM, 10, FALSE), 1)</f>
        <v>0.44908958758342943</v>
      </c>
      <c r="U14" s="7">
        <f>$B14 * IFERROR(VLOOKUP("buildings|NOx|Minor restricted activity days", US_national_yearly!$D:$AM, 29, FALSE) / VLOOKUP("buildings|NOx|Minor restricted activity days", US_national_yearly!$D:$AM, 10, FALSE), 1)</f>
        <v>0.45228244652300803</v>
      </c>
      <c r="V14" s="7">
        <f>$B14 * IFERROR(VLOOKUP("buildings|NOx|Minor restricted activity days", US_national_yearly!$D:$AM, 30, FALSE) / VLOOKUP("buildings|NOx|Minor restricted activity days", US_national_yearly!$D:$AM, 10, FALSE), 1)</f>
        <v>0.45547530546258658</v>
      </c>
      <c r="W14" s="7">
        <f>$B14 * IFERROR(VLOOKUP("buildings|NOx|Minor restricted activity days", US_national_yearly!$D:$AM, 31, FALSE) / VLOOKUP("buildings|NOx|Minor restricted activity days", US_national_yearly!$D:$AM, 10, FALSE), 1)</f>
        <v>0.45866816440216512</v>
      </c>
      <c r="X14" s="7">
        <f>$B14 * IFERROR(VLOOKUP("buildings|NOx|Minor restricted activity days", US_national_yearly!$D:$AM, 32, FALSE) / VLOOKUP("buildings|NOx|Minor restricted activity days", US_national_yearly!$D:$AM, 10, FALSE), 1)</f>
        <v>0.461368496360064</v>
      </c>
      <c r="Y14" s="7">
        <f>$B14 * IFERROR(VLOOKUP("buildings|NOx|Minor restricted activity days", US_national_yearly!$D:$AM, 33, FALSE) / VLOOKUP("buildings|NOx|Minor restricted activity days", US_national_yearly!$D:$AM, 10, FALSE), 1)</f>
        <v>0.46406882831796303</v>
      </c>
      <c r="Z14" s="7">
        <f>$B14 * IFERROR(VLOOKUP("buildings|NOx|Minor restricted activity days", US_national_yearly!$D:$AM, 34, FALSE) / VLOOKUP("buildings|NOx|Minor restricted activity days", US_national_yearly!$D:$AM, 10, FALSE), 1)</f>
        <v>0.46676916027586185</v>
      </c>
      <c r="AA14" s="7">
        <f>$B14 * IFERROR(VLOOKUP("buildings|NOx|Minor restricted activity days", US_national_yearly!$D:$AM, 35, FALSE) / VLOOKUP("buildings|NOx|Minor restricted activity days", US_national_yearly!$D:$AM, 10, FALSE), 1)</f>
        <v>0.46946949223376083</v>
      </c>
      <c r="AB14" s="7">
        <f>$B14 * IFERROR(VLOOKUP("buildings|NOx|Minor restricted activity days", US_national_yearly!$D:$AM, 36, FALSE) / VLOOKUP("buildings|NOx|Minor restricted activity days", US_national_yearly!$D:$AM, 10, FALSE), 1)</f>
        <v>0.47216982419165976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6.9772735442460307E-2</v>
      </c>
      <c r="C15" s="7">
        <f>$B15 * IFERROR(VLOOKUP("buildings|NOx|Work loss days", US_national_yearly!$D:$AM, 11, FALSE) / VLOOKUP("buildings|NOx|Work loss days", US_national_yearly!$D:$AM, 10, FALSE), 1)</f>
        <v>6.9929147429833541E-2</v>
      </c>
      <c r="D15" s="7">
        <f>$B15 * IFERROR(VLOOKUP("buildings|NOx|Work loss days", US_national_yearly!$D:$AM, 12, FALSE) / VLOOKUP("buildings|NOx|Work loss days", US_national_yearly!$D:$AM, 10, FALSE), 1)</f>
        <v>7.0085559417206761E-2</v>
      </c>
      <c r="E15" s="7">
        <f>$B15 * IFERROR(VLOOKUP("buildings|NOx|Work loss days", US_national_yearly!$D:$AM, 13, FALSE) / VLOOKUP("buildings|NOx|Work loss days", US_national_yearly!$D:$AM, 10, FALSE), 1)</f>
        <v>7.0241971404579981E-2</v>
      </c>
      <c r="F15" s="7">
        <f>$B15 * IFERROR(VLOOKUP("buildings|NOx|Work loss days", US_national_yearly!$D:$AM, 14, FALSE) / VLOOKUP("buildings|NOx|Work loss days", US_national_yearly!$D:$AM, 10, FALSE), 1)</f>
        <v>7.0398383391953215E-2</v>
      </c>
      <c r="G15" s="7">
        <f>$B15 * IFERROR(VLOOKUP("buildings|NOx|Work loss days", US_national_yearly!$D:$AM, 15, FALSE) / VLOOKUP("buildings|NOx|Work loss days", US_national_yearly!$D:$AM, 10, FALSE), 1)</f>
        <v>7.0626214987706035E-2</v>
      </c>
      <c r="H15" s="7">
        <f>$B15 * IFERROR(VLOOKUP("buildings|NOx|Work loss days", US_national_yearly!$D:$AM, 16, FALSE) / VLOOKUP("buildings|NOx|Work loss days", US_national_yearly!$D:$AM, 10, FALSE), 1)</f>
        <v>7.0854046583458855E-2</v>
      </c>
      <c r="I15" s="7">
        <f>$B15 * IFERROR(VLOOKUP("buildings|NOx|Work loss days", US_national_yearly!$D:$AM, 17, FALSE) / VLOOKUP("buildings|NOx|Work loss days", US_national_yearly!$D:$AM, 10, FALSE), 1)</f>
        <v>7.1222518946333455E-2</v>
      </c>
      <c r="J15" s="7">
        <f>$B15 * IFERROR(VLOOKUP("buildings|NOx|Work loss days", US_national_yearly!$D:$AM, 18, FALSE) / VLOOKUP("buildings|NOx|Work loss days", US_national_yearly!$D:$AM, 10, FALSE), 1)</f>
        <v>7.1590991309208013E-2</v>
      </c>
      <c r="K15" s="7">
        <f>$B15 * IFERROR(VLOOKUP("buildings|NOx|Work loss days", US_national_yearly!$D:$AM, 19, FALSE) / VLOOKUP("buildings|NOx|Work loss days", US_national_yearly!$D:$AM, 10, FALSE), 1)</f>
        <v>7.1959463672082599E-2</v>
      </c>
      <c r="L15" s="7">
        <f>$B15 * IFERROR(VLOOKUP("buildings|NOx|Work loss days", US_national_yearly!$D:$AM, 20, FALSE) / VLOOKUP("buildings|NOx|Work loss days", US_national_yearly!$D:$AM, 10, FALSE), 1)</f>
        <v>7.2327936034957185E-2</v>
      </c>
      <c r="M15" s="7">
        <f>$B15 * IFERROR(VLOOKUP("buildings|NOx|Work loss days", US_national_yearly!$D:$AM, 21, FALSE) / VLOOKUP("buildings|NOx|Work loss days", US_national_yearly!$D:$AM, 10, FALSE), 1)</f>
        <v>7.2696408397831758E-2</v>
      </c>
      <c r="N15" s="7">
        <f>$B15 * IFERROR(VLOOKUP("buildings|NOx|Work loss days", US_national_yearly!$D:$AM, 22, FALSE) / VLOOKUP("buildings|NOx|Work loss days", US_national_yearly!$D:$AM, 10, FALSE), 1)</f>
        <v>7.3175791549720801E-2</v>
      </c>
      <c r="O15" s="7">
        <f>$B15 * IFERROR(VLOOKUP("buildings|NOx|Work loss days", US_national_yearly!$D:$AM, 23, FALSE) / VLOOKUP("buildings|NOx|Work loss days", US_national_yearly!$D:$AM, 10, FALSE), 1)</f>
        <v>7.3655174701609843E-2</v>
      </c>
      <c r="P15" s="7">
        <f>$B15 * IFERROR(VLOOKUP("buildings|NOx|Work loss days", US_national_yearly!$D:$AM, 24, FALSE) / VLOOKUP("buildings|NOx|Work loss days", US_national_yearly!$D:$AM, 10, FALSE), 1)</f>
        <v>7.4134557853498886E-2</v>
      </c>
      <c r="Q15" s="7">
        <f>$B15 * IFERROR(VLOOKUP("buildings|NOx|Work loss days", US_national_yearly!$D:$AM, 25, FALSE) / VLOOKUP("buildings|NOx|Work loss days", US_national_yearly!$D:$AM, 10, FALSE), 1)</f>
        <v>7.4613941005387943E-2</v>
      </c>
      <c r="R15" s="7">
        <f>$B15 * IFERROR(VLOOKUP("buildings|NOx|Work loss days", US_national_yearly!$D:$AM, 26, FALSE) / VLOOKUP("buildings|NOx|Work loss days", US_national_yearly!$D:$AM, 10, FALSE), 1)</f>
        <v>7.5093324157276972E-2</v>
      </c>
      <c r="S15" s="7">
        <f>$B15 * IFERROR(VLOOKUP("buildings|NOx|Work loss days", US_national_yearly!$D:$AM, 27, FALSE) / VLOOKUP("buildings|NOx|Work loss days", US_national_yearly!$D:$AM, 10, FALSE), 1)</f>
        <v>7.5627512668795291E-2</v>
      </c>
      <c r="T15" s="7">
        <f>$B15 * IFERROR(VLOOKUP("buildings|NOx|Work loss days", US_national_yearly!$D:$AM, 28, FALSE) / VLOOKUP("buildings|NOx|Work loss days", US_national_yearly!$D:$AM, 10, FALSE), 1)</f>
        <v>7.6161701180313623E-2</v>
      </c>
      <c r="U15" s="7">
        <f>$B15 * IFERROR(VLOOKUP("buildings|NOx|Work loss days", US_national_yearly!$D:$AM, 29, FALSE) / VLOOKUP("buildings|NOx|Work loss days", US_national_yearly!$D:$AM, 10, FALSE), 1)</f>
        <v>7.6695889691831942E-2</v>
      </c>
      <c r="V15" s="7">
        <f>$B15 * IFERROR(VLOOKUP("buildings|NOx|Work loss days", US_national_yearly!$D:$AM, 30, FALSE) / VLOOKUP("buildings|NOx|Work loss days", US_national_yearly!$D:$AM, 10, FALSE), 1)</f>
        <v>7.7230078203350261E-2</v>
      </c>
      <c r="W15" s="7">
        <f>$B15 * IFERROR(VLOOKUP("buildings|NOx|Work loss days", US_national_yearly!$D:$AM, 31, FALSE) / VLOOKUP("buildings|NOx|Work loss days", US_national_yearly!$D:$AM, 10, FALSE), 1)</f>
        <v>7.776426671486858E-2</v>
      </c>
      <c r="X15" s="7">
        <f>$B15 * IFERROR(VLOOKUP("buildings|NOx|Work loss days", US_national_yearly!$D:$AM, 32, FALSE) / VLOOKUP("buildings|NOx|Work loss days", US_national_yearly!$D:$AM, 10, FALSE), 1)</f>
        <v>7.8228053954733229E-2</v>
      </c>
      <c r="Y15" s="7">
        <f>$B15 * IFERROR(VLOOKUP("buildings|NOx|Work loss days", US_national_yearly!$D:$AM, 33, FALSE) / VLOOKUP("buildings|NOx|Work loss days", US_national_yearly!$D:$AM, 10, FALSE), 1)</f>
        <v>7.8691841194597878E-2</v>
      </c>
      <c r="Z15" s="7">
        <f>$B15 * IFERROR(VLOOKUP("buildings|NOx|Work loss days", US_national_yearly!$D:$AM, 34, FALSE) / VLOOKUP("buildings|NOx|Work loss days", US_national_yearly!$D:$AM, 10, FALSE), 1)</f>
        <v>7.9155628434462527E-2</v>
      </c>
      <c r="AA15" s="7">
        <f>$B15 * IFERROR(VLOOKUP("buildings|NOx|Work loss days", US_national_yearly!$D:$AM, 35, FALSE) / VLOOKUP("buildings|NOx|Work loss days", US_national_yearly!$D:$AM, 10, FALSE), 1)</f>
        <v>7.9619415674327176E-2</v>
      </c>
      <c r="AB15" s="7">
        <f>$B15 * IFERROR(VLOOKUP("buildings|NOx|Work loss days", US_national_yearly!$D:$AM, 36, FALSE) / VLOOKUP("buildings|NOx|Work loss days", US_national_yearly!$D:$AM, 10, FALSE), 1)</f>
        <v>8.0083202914191826E-2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1.2719589802026533E-4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1.3093546872458765E-4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1.3467503942890999E-4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1.384146101332323E-4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1.4215418083755462E-4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1.4570670499284655E-4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1.4925922914813845E-4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1.5224832748347031E-4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1.5523742581880214E-4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1.5822652415413394E-4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1.6121562248946577E-4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1.6420472082479757E-4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1.6607450393890563E-4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1.6794428705301363E-4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1.6981407016712164E-4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1.7168385328122967E-4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1.7355363639533767E-4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1.7440799350103089E-4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1.752623506067241E-4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1.7611670771241732E-4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1.7697106481811051E-4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1.7782542192380376E-4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1.7830163194821737E-4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1.7877784197263105E-4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1.7925405199704469E-4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1.7973026202145837E-4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1.8020647204587201E-4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3.7953704364720904E-3</v>
      </c>
      <c r="C2" s="7">
        <f>$B2 * IFERROR(VLOOKUP("buildings|SO2|Premature mortality", US_national_yearly!$D:$AM, 11, FALSE) / VLOOKUP("buildings|SO2|Premature mortality", US_national_yearly!$D:$AM, 10, FALSE), 1)</f>
        <v>3.8434517522260322E-3</v>
      </c>
      <c r="D2" s="7">
        <f>$B2 * IFERROR(VLOOKUP("buildings|SO2|Premature mortality", US_national_yearly!$D:$AM, 12, FALSE) / VLOOKUP("buildings|SO2|Premature mortality", US_national_yearly!$D:$AM, 10, FALSE), 1)</f>
        <v>3.8915330679799732E-3</v>
      </c>
      <c r="E2" s="7">
        <f>$B2 * IFERROR(VLOOKUP("buildings|SO2|Premature mortality", US_national_yearly!$D:$AM, 13, FALSE) / VLOOKUP("buildings|SO2|Premature mortality", US_national_yearly!$D:$AM, 10, FALSE), 1)</f>
        <v>3.9396143837339154E-3</v>
      </c>
      <c r="F2" s="7">
        <f>$B2 * IFERROR(VLOOKUP("buildings|SO2|Premature mortality", US_national_yearly!$D:$AM, 14, FALSE) / VLOOKUP("buildings|SO2|Premature mortality", US_national_yearly!$D:$AM, 10, FALSE), 1)</f>
        <v>3.9876956994878568E-3</v>
      </c>
      <c r="G2" s="7">
        <f>$B2 * IFERROR(VLOOKUP("buildings|SO2|Premature mortality", US_national_yearly!$D:$AM, 15, FALSE) / VLOOKUP("buildings|SO2|Premature mortality", US_national_yearly!$D:$AM, 10, FALSE), 1)</f>
        <v>4.0803386389028761E-3</v>
      </c>
      <c r="H2" s="7">
        <f>$B2 * IFERROR(VLOOKUP("buildings|SO2|Premature mortality", US_national_yearly!$D:$AM, 16, FALSE) / VLOOKUP("buildings|SO2|Premature mortality", US_national_yearly!$D:$AM, 10, FALSE), 1)</f>
        <v>4.1729815783178954E-3</v>
      </c>
      <c r="I2" s="7">
        <f>$B2 * IFERROR(VLOOKUP("buildings|SO2|Premature mortality", US_national_yearly!$D:$AM, 17, FALSE) / VLOOKUP("buildings|SO2|Premature mortality", US_national_yearly!$D:$AM, 10, FALSE), 1)</f>
        <v>4.234236557733537E-3</v>
      </c>
      <c r="J2" s="7">
        <f>$B2 * IFERROR(VLOOKUP("buildings|SO2|Premature mortality", US_national_yearly!$D:$AM, 18, FALSE) / VLOOKUP("buildings|SO2|Premature mortality", US_national_yearly!$D:$AM, 10, FALSE), 1)</f>
        <v>4.2954915371491778E-3</v>
      </c>
      <c r="K2" s="7">
        <f>$B2 * IFERROR(VLOOKUP("buildings|SO2|Premature mortality", US_national_yearly!$D:$AM, 19, FALSE) / VLOOKUP("buildings|SO2|Premature mortality", US_national_yearly!$D:$AM, 10, FALSE), 1)</f>
        <v>4.3567465165648194E-3</v>
      </c>
      <c r="L2" s="7">
        <f>$B2 * IFERROR(VLOOKUP("buildings|SO2|Premature mortality", US_national_yearly!$D:$AM, 20, FALSE) / VLOOKUP("buildings|SO2|Premature mortality", US_national_yearly!$D:$AM, 10, FALSE), 1)</f>
        <v>4.4180014959804602E-3</v>
      </c>
      <c r="M2" s="7">
        <f>$B2 * IFERROR(VLOOKUP("buildings|SO2|Premature mortality", US_national_yearly!$D:$AM, 21, FALSE) / VLOOKUP("buildings|SO2|Premature mortality", US_national_yearly!$D:$AM, 10, FALSE), 1)</f>
        <v>4.479256475396101E-3</v>
      </c>
      <c r="N2" s="7">
        <f>$B2 * IFERROR(VLOOKUP("buildings|SO2|Premature mortality", US_national_yearly!$D:$AM, 22, FALSE) / VLOOKUP("buildings|SO2|Premature mortality", US_national_yearly!$D:$AM, 10, FALSE), 1)</f>
        <v>4.5271067136901507E-3</v>
      </c>
      <c r="O2" s="7">
        <f>$B2 * IFERROR(VLOOKUP("buildings|SO2|Premature mortality", US_national_yearly!$D:$AM, 23, FALSE) / VLOOKUP("buildings|SO2|Premature mortality", US_national_yearly!$D:$AM, 10, FALSE), 1)</f>
        <v>4.574956951984197E-3</v>
      </c>
      <c r="P2" s="7">
        <f>$B2 * IFERROR(VLOOKUP("buildings|SO2|Premature mortality", US_national_yearly!$D:$AM, 24, FALSE) / VLOOKUP("buildings|SO2|Premature mortality", US_national_yearly!$D:$AM, 10, FALSE), 1)</f>
        <v>4.622807190278245E-3</v>
      </c>
      <c r="Q2" s="7">
        <f>$B2 * IFERROR(VLOOKUP("buildings|SO2|Premature mortality", US_national_yearly!$D:$AM, 25, FALSE) / VLOOKUP("buildings|SO2|Premature mortality", US_national_yearly!$D:$AM, 10, FALSE), 1)</f>
        <v>4.6706574285722922E-3</v>
      </c>
      <c r="R2" s="7">
        <f>$B2 * IFERROR(VLOOKUP("buildings|SO2|Premature mortality", US_national_yearly!$D:$AM, 26, FALSE) / VLOOKUP("buildings|SO2|Premature mortality", US_national_yearly!$D:$AM, 10, FALSE), 1)</f>
        <v>4.7185076668663411E-3</v>
      </c>
      <c r="S2" s="7">
        <f>$B2 * IFERROR(VLOOKUP("buildings|SO2|Premature mortality", US_national_yearly!$D:$AM, 27, FALSE) / VLOOKUP("buildings|SO2|Premature mortality", US_national_yearly!$D:$AM, 10, FALSE), 1)</f>
        <v>4.7441176605993972E-3</v>
      </c>
      <c r="T2" s="7">
        <f>$B2 * IFERROR(VLOOKUP("buildings|SO2|Premature mortality", US_national_yearly!$D:$AM, 28, FALSE) / VLOOKUP("buildings|SO2|Premature mortality", US_national_yearly!$D:$AM, 10, FALSE), 1)</f>
        <v>4.7697276543324542E-3</v>
      </c>
      <c r="U2" s="7">
        <f>$B2 * IFERROR(VLOOKUP("buildings|SO2|Premature mortality", US_national_yearly!$D:$AM, 29, FALSE) / VLOOKUP("buildings|SO2|Premature mortality", US_national_yearly!$D:$AM, 10, FALSE), 1)</f>
        <v>4.7953376480655103E-3</v>
      </c>
      <c r="V2" s="7">
        <f>$B2 * IFERROR(VLOOKUP("buildings|SO2|Premature mortality", US_national_yearly!$D:$AM, 30, FALSE) / VLOOKUP("buildings|SO2|Premature mortality", US_national_yearly!$D:$AM, 10, FALSE), 1)</f>
        <v>4.8209476417985673E-3</v>
      </c>
      <c r="W2" s="7">
        <f>$B2 * IFERROR(VLOOKUP("buildings|SO2|Premature mortality", US_national_yearly!$D:$AM, 31, FALSE) / VLOOKUP("buildings|SO2|Premature mortality", US_national_yearly!$D:$AM, 10, FALSE), 1)</f>
        <v>4.8465576355316235E-3</v>
      </c>
      <c r="X2" s="7">
        <f>$B2 * IFERROR(VLOOKUP("buildings|SO2|Premature mortality", US_national_yearly!$D:$AM, 32, FALSE) / VLOOKUP("buildings|SO2|Premature mortality", US_national_yearly!$D:$AM, 10, FALSE), 1)</f>
        <v>4.8517325177900254E-3</v>
      </c>
      <c r="Y2" s="7">
        <f>$B2 * IFERROR(VLOOKUP("buildings|SO2|Premature mortality", US_national_yearly!$D:$AM, 33, FALSE) / VLOOKUP("buildings|SO2|Premature mortality", US_national_yearly!$D:$AM, 10, FALSE), 1)</f>
        <v>4.8569074000484281E-3</v>
      </c>
      <c r="Z2" s="7">
        <f>$B2 * IFERROR(VLOOKUP("buildings|SO2|Premature mortality", US_national_yearly!$D:$AM, 34, FALSE) / VLOOKUP("buildings|SO2|Premature mortality", US_national_yearly!$D:$AM, 10, FALSE), 1)</f>
        <v>4.8620822823068292E-3</v>
      </c>
      <c r="AA2" s="7">
        <f>$B2 * IFERROR(VLOOKUP("buildings|SO2|Premature mortality", US_national_yearly!$D:$AM, 35, FALSE) / VLOOKUP("buildings|SO2|Premature mortality", US_national_yearly!$D:$AM, 10, FALSE), 1)</f>
        <v>4.8672571645652311E-3</v>
      </c>
      <c r="AB2" s="7">
        <f>$B2 * IFERROR(VLOOKUP("buildings|SO2|Premature mortality", US_national_yearly!$D:$AM, 36, FALSE) / VLOOKUP("buildings|SO2|Premature mortality", US_national_yearly!$D:$AM, 10, FALSE), 1)</f>
        <v>4.872432046823633E-3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1.0106968235043368E-5</v>
      </c>
      <c r="C3" s="7">
        <f>$B3 * IFERROR(VLOOKUP("buildings|SO2|Infant mortality", US_national_yearly!$D:$AM, 11, FALSE) / VLOOKUP("buildings|SO2|Infant mortality", US_national_yearly!$D:$AM, 10, FALSE), 1)</f>
        <v>1.0020337294706692E-5</v>
      </c>
      <c r="D3" s="7">
        <f>$B3 * IFERROR(VLOOKUP("buildings|SO2|Infant mortality", US_national_yearly!$D:$AM, 12, FALSE) / VLOOKUP("buildings|SO2|Infant mortality", US_national_yearly!$D:$AM, 10, FALSE), 1)</f>
        <v>9.9337063543700156E-6</v>
      </c>
      <c r="E3" s="7">
        <f>$B3 * IFERROR(VLOOKUP("buildings|SO2|Infant mortality", US_national_yearly!$D:$AM, 13, FALSE) / VLOOKUP("buildings|SO2|Infant mortality", US_national_yearly!$D:$AM, 10, FALSE), 1)</f>
        <v>9.847075414033341E-6</v>
      </c>
      <c r="F3" s="7">
        <f>$B3 * IFERROR(VLOOKUP("buildings|SO2|Infant mortality", US_national_yearly!$D:$AM, 14, FALSE) / VLOOKUP("buildings|SO2|Infant mortality", US_national_yearly!$D:$AM, 10, FALSE), 1)</f>
        <v>9.7604444736966664E-6</v>
      </c>
      <c r="G3" s="7">
        <f>$B3 * IFERROR(VLOOKUP("buildings|SO2|Infant mortality", US_national_yearly!$D:$AM, 15, FALSE) / VLOOKUP("buildings|SO2|Infant mortality", US_national_yearly!$D:$AM, 10, FALSE), 1)</f>
        <v>6.5000693424579312E-6</v>
      </c>
      <c r="H3" s="7">
        <f>$B3 * IFERROR(VLOOKUP("buildings|SO2|Infant mortality", US_national_yearly!$D:$AM, 16, FALSE) / VLOOKUP("buildings|SO2|Infant mortality", US_national_yearly!$D:$AM, 10, FALSE), 1)</f>
        <v>3.239694211219196E-6</v>
      </c>
      <c r="I3" s="7">
        <f>$B3 * IFERROR(VLOOKUP("buildings|SO2|Infant mortality", US_national_yearly!$D:$AM, 17, FALSE) / VLOOKUP("buildings|SO2|Infant mortality", US_national_yearly!$D:$AM, 10, FALSE), 1)</f>
        <v>3.2193680119786891E-6</v>
      </c>
      <c r="J3" s="7">
        <f>$B3 * IFERROR(VLOOKUP("buildings|SO2|Infant mortality", US_national_yearly!$D:$AM, 18, FALSE) / VLOOKUP("buildings|SO2|Infant mortality", US_national_yearly!$D:$AM, 10, FALSE), 1)</f>
        <v>3.1990418127381823E-6</v>
      </c>
      <c r="K3" s="7">
        <f>$B3 * IFERROR(VLOOKUP("buildings|SO2|Infant mortality", US_national_yearly!$D:$AM, 19, FALSE) / VLOOKUP("buildings|SO2|Infant mortality", US_national_yearly!$D:$AM, 10, FALSE), 1)</f>
        <v>3.1787156134976758E-6</v>
      </c>
      <c r="L3" s="7">
        <f>$B3 * IFERROR(VLOOKUP("buildings|SO2|Infant mortality", US_national_yearly!$D:$AM, 20, FALSE) / VLOOKUP("buildings|SO2|Infant mortality", US_national_yearly!$D:$AM, 10, FALSE), 1)</f>
        <v>3.1583894142571686E-6</v>
      </c>
      <c r="M3" s="7">
        <f>$B3 * IFERROR(VLOOKUP("buildings|SO2|Infant mortality", US_national_yearly!$D:$AM, 21, FALSE) / VLOOKUP("buildings|SO2|Infant mortality", US_national_yearly!$D:$AM, 10, FALSE), 1)</f>
        <v>3.1380632150166621E-6</v>
      </c>
      <c r="N3" s="7">
        <f>$B3 * IFERROR(VLOOKUP("buildings|SO2|Infant mortality", US_national_yearly!$D:$AM, 22, FALSE) / VLOOKUP("buildings|SO2|Infant mortality", US_national_yearly!$D:$AM, 10, FALSE), 1)</f>
        <v>3.1253208473861457E-6</v>
      </c>
      <c r="O3" s="7">
        <f>$B3 * IFERROR(VLOOKUP("buildings|SO2|Infant mortality", US_national_yearly!$D:$AM, 23, FALSE) / VLOOKUP("buildings|SO2|Infant mortality", US_national_yearly!$D:$AM, 10, FALSE), 1)</f>
        <v>3.1125784797556292E-6</v>
      </c>
      <c r="P3" s="7">
        <f>$B3 * IFERROR(VLOOKUP("buildings|SO2|Infant mortality", US_national_yearly!$D:$AM, 24, FALSE) / VLOOKUP("buildings|SO2|Infant mortality", US_national_yearly!$D:$AM, 10, FALSE), 1)</f>
        <v>3.0998361121251128E-6</v>
      </c>
      <c r="Q3" s="7">
        <f>$B3 * IFERROR(VLOOKUP("buildings|SO2|Infant mortality", US_national_yearly!$D:$AM, 25, FALSE) / VLOOKUP("buildings|SO2|Infant mortality", US_national_yearly!$D:$AM, 10, FALSE), 1)</f>
        <v>3.0870937444945963E-6</v>
      </c>
      <c r="R3" s="7">
        <f>$B3 * IFERROR(VLOOKUP("buildings|SO2|Infant mortality", US_national_yearly!$D:$AM, 26, FALSE) / VLOOKUP("buildings|SO2|Infant mortality", US_national_yearly!$D:$AM, 10, FALSE), 1)</f>
        <v>3.0743513768640799E-6</v>
      </c>
      <c r="S3" s="7">
        <f>$B3 * IFERROR(VLOOKUP("buildings|SO2|Infant mortality", US_national_yearly!$D:$AM, 27, FALSE) / VLOOKUP("buildings|SO2|Infant mortality", US_national_yearly!$D:$AM, 10, FALSE), 1)</f>
        <v>3.0583510028456753E-6</v>
      </c>
      <c r="T3" s="7">
        <f>$B3 * IFERROR(VLOOKUP("buildings|SO2|Infant mortality", US_national_yearly!$D:$AM, 28, FALSE) / VLOOKUP("buildings|SO2|Infant mortality", US_national_yearly!$D:$AM, 10, FALSE), 1)</f>
        <v>3.0423506288272707E-6</v>
      </c>
      <c r="U3" s="7">
        <f>$B3 * IFERROR(VLOOKUP("buildings|SO2|Infant mortality", US_national_yearly!$D:$AM, 29, FALSE) / VLOOKUP("buildings|SO2|Infant mortality", US_national_yearly!$D:$AM, 10, FALSE), 1)</f>
        <v>3.0263502548088662E-6</v>
      </c>
      <c r="V3" s="7">
        <f>$B3 * IFERROR(VLOOKUP("buildings|SO2|Infant mortality", US_national_yearly!$D:$AM, 30, FALSE) / VLOOKUP("buildings|SO2|Infant mortality", US_national_yearly!$D:$AM, 10, FALSE), 1)</f>
        <v>3.0103498807904616E-6</v>
      </c>
      <c r="W3" s="7">
        <f>$B3 * IFERROR(VLOOKUP("buildings|SO2|Infant mortality", US_national_yearly!$D:$AM, 31, FALSE) / VLOOKUP("buildings|SO2|Infant mortality", US_national_yearly!$D:$AM, 10, FALSE), 1)</f>
        <v>2.9943495067720575E-6</v>
      </c>
      <c r="X3" s="7">
        <f>$B3 * IFERROR(VLOOKUP("buildings|SO2|Infant mortality", US_national_yearly!$D:$AM, 32, FALSE) / VLOOKUP("buildings|SO2|Infant mortality", US_national_yearly!$D:$AM, 10, FALSE), 1)</f>
        <v>2.9768745630594397E-6</v>
      </c>
      <c r="Y3" s="7">
        <f>$B3 * IFERROR(VLOOKUP("buildings|SO2|Infant mortality", US_national_yearly!$D:$AM, 33, FALSE) / VLOOKUP("buildings|SO2|Infant mortality", US_national_yearly!$D:$AM, 10, FALSE), 1)</f>
        <v>2.9593996193468219E-6</v>
      </c>
      <c r="Z3" s="7">
        <f>$B3 * IFERROR(VLOOKUP("buildings|SO2|Infant mortality", US_national_yearly!$D:$AM, 34, FALSE) / VLOOKUP("buildings|SO2|Infant mortality", US_national_yearly!$D:$AM, 10, FALSE), 1)</f>
        <v>2.9419246756342045E-6</v>
      </c>
      <c r="AA3" s="7">
        <f>$B3 * IFERROR(VLOOKUP("buildings|SO2|Infant mortality", US_national_yearly!$D:$AM, 35, FALSE) / VLOOKUP("buildings|SO2|Infant mortality", US_national_yearly!$D:$AM, 10, FALSE), 1)</f>
        <v>2.9244497319215862E-6</v>
      </c>
      <c r="AB3" s="7">
        <f>$B3 * IFERROR(VLOOKUP("buildings|SO2|Infant mortality", US_national_yearly!$D:$AM, 36, FALSE) / VLOOKUP("buildings|SO2|Infant mortality", US_national_yearly!$D:$AM, 10, FALSE), 1)</f>
        <v>2.9069747882089688E-6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1.1521545636466936E-2</v>
      </c>
      <c r="C6" s="7">
        <f>$B6 * IFERROR(VLOOKUP("buildings|SO2|Asthma symptoms cough", US_national_yearly!$D:$AM, 11, FALSE) / VLOOKUP("buildings|SO2|Asthma symptoms cough", US_national_yearly!$D:$AM, 10, FALSE), 1)</f>
        <v>1.1521545636466936E-2</v>
      </c>
      <c r="D6" s="7">
        <f>$B6 * IFERROR(VLOOKUP("buildings|SO2|Asthma symptoms cough", US_national_yearly!$D:$AM, 12, FALSE) / VLOOKUP("buildings|SO2|Asthma symptoms cough", US_national_yearly!$D:$AM, 10, FALSE), 1)</f>
        <v>1.1521545636466936E-2</v>
      </c>
      <c r="E6" s="7">
        <f>$B6 * IFERROR(VLOOKUP("buildings|SO2|Asthma symptoms cough", US_national_yearly!$D:$AM, 13, FALSE) / VLOOKUP("buildings|SO2|Asthma symptoms cough", US_national_yearly!$D:$AM, 10, FALSE), 1)</f>
        <v>1.1521545636466936E-2</v>
      </c>
      <c r="F6" s="7">
        <f>$B6 * IFERROR(VLOOKUP("buildings|SO2|Asthma symptoms cough", US_national_yearly!$D:$AM, 14, FALSE) / VLOOKUP("buildings|SO2|Asthma symptoms cough", US_national_yearly!$D:$AM, 10, FALSE), 1)</f>
        <v>1.1521545636466936E-2</v>
      </c>
      <c r="G6" s="7">
        <f>$B6 * IFERROR(VLOOKUP("buildings|SO2|Asthma symptoms cough", US_national_yearly!$D:$AM, 15, FALSE) / VLOOKUP("buildings|SO2|Asthma symptoms cough", US_national_yearly!$D:$AM, 10, FALSE), 1)</f>
        <v>1.1521545636466936E-2</v>
      </c>
      <c r="H6" s="7">
        <f>$B6 * IFERROR(VLOOKUP("buildings|SO2|Asthma symptoms cough", US_national_yearly!$D:$AM, 16, FALSE) / VLOOKUP("buildings|SO2|Asthma symptoms cough", US_national_yearly!$D:$AM, 10, FALSE), 1)</f>
        <v>1.1521545636466936E-2</v>
      </c>
      <c r="I6" s="7">
        <f>$B6 * IFERROR(VLOOKUP("buildings|SO2|Asthma symptoms cough", US_national_yearly!$D:$AM, 17, FALSE) / VLOOKUP("buildings|SO2|Asthma symptoms cough", US_national_yearly!$D:$AM, 10, FALSE), 1)</f>
        <v>1.1521545636466936E-2</v>
      </c>
      <c r="J6" s="7">
        <f>$B6 * IFERROR(VLOOKUP("buildings|SO2|Asthma symptoms cough", US_national_yearly!$D:$AM, 18, FALSE) / VLOOKUP("buildings|SO2|Asthma symptoms cough", US_national_yearly!$D:$AM, 10, FALSE), 1)</f>
        <v>1.1521545636466936E-2</v>
      </c>
      <c r="K6" s="7">
        <f>$B6 * IFERROR(VLOOKUP("buildings|SO2|Asthma symptoms cough", US_national_yearly!$D:$AM, 19, FALSE) / VLOOKUP("buildings|SO2|Asthma symptoms cough", US_national_yearly!$D:$AM, 10, FALSE), 1)</f>
        <v>1.1521545636466936E-2</v>
      </c>
      <c r="L6" s="7">
        <f>$B6 * IFERROR(VLOOKUP("buildings|SO2|Asthma symptoms cough", US_national_yearly!$D:$AM, 20, FALSE) / VLOOKUP("buildings|SO2|Asthma symptoms cough", US_national_yearly!$D:$AM, 10, FALSE), 1)</f>
        <v>1.1521545636466936E-2</v>
      </c>
      <c r="M6" s="7">
        <f>$B6 * IFERROR(VLOOKUP("buildings|SO2|Asthma symptoms cough", US_national_yearly!$D:$AM, 21, FALSE) / VLOOKUP("buildings|SO2|Asthma symptoms cough", US_national_yearly!$D:$AM, 10, FALSE), 1)</f>
        <v>1.1521545636466936E-2</v>
      </c>
      <c r="N6" s="7">
        <f>$B6 * IFERROR(VLOOKUP("buildings|SO2|Asthma symptoms cough", US_national_yearly!$D:$AM, 22, FALSE) / VLOOKUP("buildings|SO2|Asthma symptoms cough", US_national_yearly!$D:$AM, 10, FALSE), 1)</f>
        <v>1.1521545636466936E-2</v>
      </c>
      <c r="O6" s="7">
        <f>$B6 * IFERROR(VLOOKUP("buildings|SO2|Asthma symptoms cough", US_national_yearly!$D:$AM, 23, FALSE) / VLOOKUP("buildings|SO2|Asthma symptoms cough", US_national_yearly!$D:$AM, 10, FALSE), 1)</f>
        <v>1.1521545636466936E-2</v>
      </c>
      <c r="P6" s="7">
        <f>$B6 * IFERROR(VLOOKUP("buildings|SO2|Asthma symptoms cough", US_national_yearly!$D:$AM, 24, FALSE) / VLOOKUP("buildings|SO2|Asthma symptoms cough", US_national_yearly!$D:$AM, 10, FALSE), 1)</f>
        <v>1.1521545636466936E-2</v>
      </c>
      <c r="Q6" s="7">
        <f>$B6 * IFERROR(VLOOKUP("buildings|SO2|Asthma symptoms cough", US_national_yearly!$D:$AM, 25, FALSE) / VLOOKUP("buildings|SO2|Asthma symptoms cough", US_national_yearly!$D:$AM, 10, FALSE), 1)</f>
        <v>1.1521545636466936E-2</v>
      </c>
      <c r="R6" s="7">
        <f>$B6 * IFERROR(VLOOKUP("buildings|SO2|Asthma symptoms cough", US_national_yearly!$D:$AM, 26, FALSE) / VLOOKUP("buildings|SO2|Asthma symptoms cough", US_national_yearly!$D:$AM, 10, FALSE), 1)</f>
        <v>1.1521545636466936E-2</v>
      </c>
      <c r="S6" s="7">
        <f>$B6 * IFERROR(VLOOKUP("buildings|SO2|Asthma symptoms cough", US_national_yearly!$D:$AM, 27, FALSE) / VLOOKUP("buildings|SO2|Asthma symptoms cough", US_national_yearly!$D:$AM, 10, FALSE), 1)</f>
        <v>1.1521545636466936E-2</v>
      </c>
      <c r="T6" s="7">
        <f>$B6 * IFERROR(VLOOKUP("buildings|SO2|Asthma symptoms cough", US_national_yearly!$D:$AM, 28, FALSE) / VLOOKUP("buildings|SO2|Asthma symptoms cough", US_national_yearly!$D:$AM, 10, FALSE), 1)</f>
        <v>1.1521545636466936E-2</v>
      </c>
      <c r="U6" s="7">
        <f>$B6 * IFERROR(VLOOKUP("buildings|SO2|Asthma symptoms cough", US_national_yearly!$D:$AM, 29, FALSE) / VLOOKUP("buildings|SO2|Asthma symptoms cough", US_national_yearly!$D:$AM, 10, FALSE), 1)</f>
        <v>1.1521545636466936E-2</v>
      </c>
      <c r="V6" s="7">
        <f>$B6 * IFERROR(VLOOKUP("buildings|SO2|Asthma symptoms cough", US_national_yearly!$D:$AM, 30, FALSE) / VLOOKUP("buildings|SO2|Asthma symptoms cough", US_national_yearly!$D:$AM, 10, FALSE), 1)</f>
        <v>1.1521545636466936E-2</v>
      </c>
      <c r="W6" s="7">
        <f>$B6 * IFERROR(VLOOKUP("buildings|SO2|Asthma symptoms cough", US_national_yearly!$D:$AM, 31, FALSE) / VLOOKUP("buildings|SO2|Asthma symptoms cough", US_national_yearly!$D:$AM, 10, FALSE), 1)</f>
        <v>1.1521545636466936E-2</v>
      </c>
      <c r="X6" s="7">
        <f>$B6 * IFERROR(VLOOKUP("buildings|SO2|Asthma symptoms cough", US_national_yearly!$D:$AM, 32, FALSE) / VLOOKUP("buildings|SO2|Asthma symptoms cough", US_national_yearly!$D:$AM, 10, FALSE), 1)</f>
        <v>1.1521545636466936E-2</v>
      </c>
      <c r="Y6" s="7">
        <f>$B6 * IFERROR(VLOOKUP("buildings|SO2|Asthma symptoms cough", US_national_yearly!$D:$AM, 33, FALSE) / VLOOKUP("buildings|SO2|Asthma symptoms cough", US_national_yearly!$D:$AM, 10, FALSE), 1)</f>
        <v>1.1521545636466936E-2</v>
      </c>
      <c r="Z6" s="7">
        <f>$B6 * IFERROR(VLOOKUP("buildings|SO2|Asthma symptoms cough", US_national_yearly!$D:$AM, 34, FALSE) / VLOOKUP("buildings|SO2|Asthma symptoms cough", US_national_yearly!$D:$AM, 10, FALSE), 1)</f>
        <v>1.1521545636466936E-2</v>
      </c>
      <c r="AA6" s="7">
        <f>$B6 * IFERROR(VLOOKUP("buildings|SO2|Asthma symptoms cough", US_national_yearly!$D:$AM, 35, FALSE) / VLOOKUP("buildings|SO2|Asthma symptoms cough", US_national_yearly!$D:$AM, 10, FALSE), 1)</f>
        <v>1.1521545636466936E-2</v>
      </c>
      <c r="AB6" s="7">
        <f>$B6 * IFERROR(VLOOKUP("buildings|SO2|Asthma symptoms cough", US_national_yearly!$D:$AM, 36, FALSE) / VLOOKUP("buildings|SO2|Asthma symptoms cough", US_national_yearly!$D:$AM, 10, FALSE), 1)</f>
        <v>1.1521545636466936E-2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1.5515426794877588E-2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1.5515426794877588E-2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1.5515426794877588E-2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1.5515426794877588E-2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1.5515426794877588E-2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1.5515426794877588E-2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1.5515426794877588E-2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1.5515426794877588E-2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1.5515426794877588E-2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1.5515426794877588E-2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1.5515426794877588E-2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1.5515426794877588E-2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1.5515426794877588E-2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1.5515426794877588E-2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1.5515426794877588E-2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1.5515426794877588E-2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1.5515426794877588E-2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1.5515426794877588E-2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1.5515426794877588E-2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1.5515426794877588E-2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1.5515426794877588E-2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1.5515426794877588E-2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1.5515426794877588E-2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1.5515426794877588E-2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1.5515426794877588E-2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1.5515426794877588E-2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1.5515426794877588E-2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2.3704964864923139E-2</v>
      </c>
      <c r="C8" s="7">
        <f>$B8 * IFERROR(VLOOKUP("buildings|SO2|Asthma symptoms wheeze", US_national_yearly!$D:$AM, 11, FALSE) / VLOOKUP("buildings|SO2|Asthma symptoms wheeze", US_national_yearly!$D:$AM, 10, FALSE), 1)</f>
        <v>2.3704964864923139E-2</v>
      </c>
      <c r="D8" s="7">
        <f>$B8 * IFERROR(VLOOKUP("buildings|SO2|Asthma symptoms wheeze", US_national_yearly!$D:$AM, 12, FALSE) / VLOOKUP("buildings|SO2|Asthma symptoms wheeze", US_national_yearly!$D:$AM, 10, FALSE), 1)</f>
        <v>2.3704964864923139E-2</v>
      </c>
      <c r="E8" s="7">
        <f>$B8 * IFERROR(VLOOKUP("buildings|SO2|Asthma symptoms wheeze", US_national_yearly!$D:$AM, 13, FALSE) / VLOOKUP("buildings|SO2|Asthma symptoms wheeze", US_national_yearly!$D:$AM, 10, FALSE), 1)</f>
        <v>2.3704964864923139E-2</v>
      </c>
      <c r="F8" s="7">
        <f>$B8 * IFERROR(VLOOKUP("buildings|SO2|Asthma symptoms wheeze", US_national_yearly!$D:$AM, 14, FALSE) / VLOOKUP("buildings|SO2|Asthma symptoms wheeze", US_national_yearly!$D:$AM, 10, FALSE), 1)</f>
        <v>2.3704964864923139E-2</v>
      </c>
      <c r="G8" s="7">
        <f>$B8 * IFERROR(VLOOKUP("buildings|SO2|Asthma symptoms wheeze", US_national_yearly!$D:$AM, 15, FALSE) / VLOOKUP("buildings|SO2|Asthma symptoms wheeze", US_national_yearly!$D:$AM, 10, FALSE), 1)</f>
        <v>2.3704964864923139E-2</v>
      </c>
      <c r="H8" s="7">
        <f>$B8 * IFERROR(VLOOKUP("buildings|SO2|Asthma symptoms wheeze", US_national_yearly!$D:$AM, 16, FALSE) / VLOOKUP("buildings|SO2|Asthma symptoms wheeze", US_national_yearly!$D:$AM, 10, FALSE), 1)</f>
        <v>2.3704964864923139E-2</v>
      </c>
      <c r="I8" s="7">
        <f>$B8 * IFERROR(VLOOKUP("buildings|SO2|Asthma symptoms wheeze", US_national_yearly!$D:$AM, 17, FALSE) / VLOOKUP("buildings|SO2|Asthma symptoms wheeze", US_national_yearly!$D:$AM, 10, FALSE), 1)</f>
        <v>2.3704964864923139E-2</v>
      </c>
      <c r="J8" s="7">
        <f>$B8 * IFERROR(VLOOKUP("buildings|SO2|Asthma symptoms wheeze", US_national_yearly!$D:$AM, 18, FALSE) / VLOOKUP("buildings|SO2|Asthma symptoms wheeze", US_national_yearly!$D:$AM, 10, FALSE), 1)</f>
        <v>2.3704964864923139E-2</v>
      </c>
      <c r="K8" s="7">
        <f>$B8 * IFERROR(VLOOKUP("buildings|SO2|Asthma symptoms wheeze", US_national_yearly!$D:$AM, 19, FALSE) / VLOOKUP("buildings|SO2|Asthma symptoms wheeze", US_national_yearly!$D:$AM, 10, FALSE), 1)</f>
        <v>2.3704964864923139E-2</v>
      </c>
      <c r="L8" s="7">
        <f>$B8 * IFERROR(VLOOKUP("buildings|SO2|Asthma symptoms wheeze", US_national_yearly!$D:$AM, 20, FALSE) / VLOOKUP("buildings|SO2|Asthma symptoms wheeze", US_national_yearly!$D:$AM, 10, FALSE), 1)</f>
        <v>2.3704964864923139E-2</v>
      </c>
      <c r="M8" s="7">
        <f>$B8 * IFERROR(VLOOKUP("buildings|SO2|Asthma symptoms wheeze", US_national_yearly!$D:$AM, 21, FALSE) / VLOOKUP("buildings|SO2|Asthma symptoms wheeze", US_national_yearly!$D:$AM, 10, FALSE), 1)</f>
        <v>2.3704964864923139E-2</v>
      </c>
      <c r="N8" s="7">
        <f>$B8 * IFERROR(VLOOKUP("buildings|SO2|Asthma symptoms wheeze", US_national_yearly!$D:$AM, 22, FALSE) / VLOOKUP("buildings|SO2|Asthma symptoms wheeze", US_national_yearly!$D:$AM, 10, FALSE), 1)</f>
        <v>2.3704964864923139E-2</v>
      </c>
      <c r="O8" s="7">
        <f>$B8 * IFERROR(VLOOKUP("buildings|SO2|Asthma symptoms wheeze", US_national_yearly!$D:$AM, 23, FALSE) / VLOOKUP("buildings|SO2|Asthma symptoms wheeze", US_national_yearly!$D:$AM, 10, FALSE), 1)</f>
        <v>2.3704964864923139E-2</v>
      </c>
      <c r="P8" s="7">
        <f>$B8 * IFERROR(VLOOKUP("buildings|SO2|Asthma symptoms wheeze", US_national_yearly!$D:$AM, 24, FALSE) / VLOOKUP("buildings|SO2|Asthma symptoms wheeze", US_national_yearly!$D:$AM, 10, FALSE), 1)</f>
        <v>2.3704964864923139E-2</v>
      </c>
      <c r="Q8" s="7">
        <f>$B8 * IFERROR(VLOOKUP("buildings|SO2|Asthma symptoms wheeze", US_national_yearly!$D:$AM, 25, FALSE) / VLOOKUP("buildings|SO2|Asthma symptoms wheeze", US_national_yearly!$D:$AM, 10, FALSE), 1)</f>
        <v>2.3704964864923139E-2</v>
      </c>
      <c r="R8" s="7">
        <f>$B8 * IFERROR(VLOOKUP("buildings|SO2|Asthma symptoms wheeze", US_national_yearly!$D:$AM, 26, FALSE) / VLOOKUP("buildings|SO2|Asthma symptoms wheeze", US_national_yearly!$D:$AM, 10, FALSE), 1)</f>
        <v>2.3704964864923139E-2</v>
      </c>
      <c r="S8" s="7">
        <f>$B8 * IFERROR(VLOOKUP("buildings|SO2|Asthma symptoms wheeze", US_national_yearly!$D:$AM, 27, FALSE) / VLOOKUP("buildings|SO2|Asthma symptoms wheeze", US_national_yearly!$D:$AM, 10, FALSE), 1)</f>
        <v>2.3704964864923139E-2</v>
      </c>
      <c r="T8" s="7">
        <f>$B8 * IFERROR(VLOOKUP("buildings|SO2|Asthma symptoms wheeze", US_national_yearly!$D:$AM, 28, FALSE) / VLOOKUP("buildings|SO2|Asthma symptoms wheeze", US_national_yearly!$D:$AM, 10, FALSE), 1)</f>
        <v>2.3704964864923139E-2</v>
      </c>
      <c r="U8" s="7">
        <f>$B8 * IFERROR(VLOOKUP("buildings|SO2|Asthma symptoms wheeze", US_national_yearly!$D:$AM, 29, FALSE) / VLOOKUP("buildings|SO2|Asthma symptoms wheeze", US_national_yearly!$D:$AM, 10, FALSE), 1)</f>
        <v>2.3704964864923139E-2</v>
      </c>
      <c r="V8" s="7">
        <f>$B8 * IFERROR(VLOOKUP("buildings|SO2|Asthma symptoms wheeze", US_national_yearly!$D:$AM, 30, FALSE) / VLOOKUP("buildings|SO2|Asthma symptoms wheeze", US_national_yearly!$D:$AM, 10, FALSE), 1)</f>
        <v>2.3704964864923139E-2</v>
      </c>
      <c r="W8" s="7">
        <f>$B8 * IFERROR(VLOOKUP("buildings|SO2|Asthma symptoms wheeze", US_national_yearly!$D:$AM, 31, FALSE) / VLOOKUP("buildings|SO2|Asthma symptoms wheeze", US_national_yearly!$D:$AM, 10, FALSE), 1)</f>
        <v>2.3704964864923139E-2</v>
      </c>
      <c r="X8" s="7">
        <f>$B8 * IFERROR(VLOOKUP("buildings|SO2|Asthma symptoms wheeze", US_national_yearly!$D:$AM, 32, FALSE) / VLOOKUP("buildings|SO2|Asthma symptoms wheeze", US_national_yearly!$D:$AM, 10, FALSE), 1)</f>
        <v>2.3704964864923139E-2</v>
      </c>
      <c r="Y8" s="7">
        <f>$B8 * IFERROR(VLOOKUP("buildings|SO2|Asthma symptoms wheeze", US_national_yearly!$D:$AM, 33, FALSE) / VLOOKUP("buildings|SO2|Asthma symptoms wheeze", US_national_yearly!$D:$AM, 10, FALSE), 1)</f>
        <v>2.3704964864923139E-2</v>
      </c>
      <c r="Z8" s="7">
        <f>$B8 * IFERROR(VLOOKUP("buildings|SO2|Asthma symptoms wheeze", US_national_yearly!$D:$AM, 34, FALSE) / VLOOKUP("buildings|SO2|Asthma symptoms wheeze", US_national_yearly!$D:$AM, 10, FALSE), 1)</f>
        <v>2.3704964864923139E-2</v>
      </c>
      <c r="AA8" s="7">
        <f>$B8 * IFERROR(VLOOKUP("buildings|SO2|Asthma symptoms wheeze", US_national_yearly!$D:$AM, 35, FALSE) / VLOOKUP("buildings|SO2|Asthma symptoms wheeze", US_national_yearly!$D:$AM, 10, FALSE), 1)</f>
        <v>2.3704964864923139E-2</v>
      </c>
      <c r="AB8" s="7">
        <f>$B8 * IFERROR(VLOOKUP("buildings|SO2|Asthma symptoms wheeze", US_national_yearly!$D:$AM, 36, FALSE) / VLOOKUP("buildings|SO2|Asthma symptoms wheeze", US_national_yearly!$D:$AM, 10, FALSE), 1)</f>
        <v>2.3704964864923139E-2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2.7442873678119721E-4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2.7604961801240666E-4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2.7767049924361606E-4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2.7929138047482551E-4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2.8091226170603485E-4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2.8267881803971075E-4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2.844453743733866E-4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2.8618386069258444E-4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2.8792234701178234E-4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2.8966083333098025E-4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2.9139931965017809E-4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2.9313780596937599E-4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2.9440718877272028E-4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2.9567657157606451E-4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2.9694595437940879E-4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2.9821533718275302E-4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2.9948471998609731E-4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3.0069509138946568E-4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3.0190546279283416E-4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3.0311583419620253E-4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3.0432620559957095E-4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3.0553657700293938E-4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3.0668674563867095E-4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3.0783691427440258E-4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3.0898708291013415E-4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3.1013725154586572E-4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3.1128742018159735E-4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1.836246901805371E-3</v>
      </c>
      <c r="C13" s="7">
        <f>$B13 * IFERROR(VLOOKUP("buildings|SO2|Non-fatal heart attacks", US_national_yearly!$D:$AM, 11, FALSE) / VLOOKUP("buildings|SO2|Non-fatal heart attacks", US_national_yearly!$D:$AM, 10, FALSE), 1)</f>
        <v>1.8901698692834754E-3</v>
      </c>
      <c r="D13" s="7">
        <f>$B13 * IFERROR(VLOOKUP("buildings|SO2|Non-fatal heart attacks", US_national_yearly!$D:$AM, 12, FALSE) / VLOOKUP("buildings|SO2|Non-fatal heart attacks", US_national_yearly!$D:$AM, 10, FALSE), 1)</f>
        <v>1.9440928367615794E-3</v>
      </c>
      <c r="E13" s="7">
        <f>$B13 * IFERROR(VLOOKUP("buildings|SO2|Non-fatal heart attacks", US_national_yearly!$D:$AM, 13, FALSE) / VLOOKUP("buildings|SO2|Non-fatal heart attacks", US_national_yearly!$D:$AM, 10, FALSE), 1)</f>
        <v>1.9980158042396837E-3</v>
      </c>
      <c r="F13" s="7">
        <f>$B13 * IFERROR(VLOOKUP("buildings|SO2|Non-fatal heart attacks", US_national_yearly!$D:$AM, 14, FALSE) / VLOOKUP("buildings|SO2|Non-fatal heart attacks", US_national_yearly!$D:$AM, 10, FALSE), 1)</f>
        <v>2.0519387717177879E-3</v>
      </c>
      <c r="G13" s="7">
        <f>$B13 * IFERROR(VLOOKUP("buildings|SO2|Non-fatal heart attacks", US_national_yearly!$D:$AM, 15, FALSE) / VLOOKUP("buildings|SO2|Non-fatal heart attacks", US_national_yearly!$D:$AM, 10, FALSE), 1)</f>
        <v>2.1027968267615872E-3</v>
      </c>
      <c r="H13" s="7">
        <f>$B13 * IFERROR(VLOOKUP("buildings|SO2|Non-fatal heart attacks", US_national_yearly!$D:$AM, 16, FALSE) / VLOOKUP("buildings|SO2|Non-fatal heart attacks", US_national_yearly!$D:$AM, 10, FALSE), 1)</f>
        <v>2.1536548818053866E-3</v>
      </c>
      <c r="I13" s="7">
        <f>$B13 * IFERROR(VLOOKUP("buildings|SO2|Non-fatal heart attacks", US_national_yearly!$D:$AM, 17, FALSE) / VLOOKUP("buildings|SO2|Non-fatal heart attacks", US_national_yearly!$D:$AM, 10, FALSE), 1)</f>
        <v>2.1945922450520398E-3</v>
      </c>
      <c r="J13" s="7">
        <f>$B13 * IFERROR(VLOOKUP("buildings|SO2|Non-fatal heart attacks", US_national_yearly!$D:$AM, 18, FALSE) / VLOOKUP("buildings|SO2|Non-fatal heart attacks", US_national_yearly!$D:$AM, 10, FALSE), 1)</f>
        <v>2.2355296082986935E-3</v>
      </c>
      <c r="K13" s="7">
        <f>$B13 * IFERROR(VLOOKUP("buildings|SO2|Non-fatal heart attacks", US_national_yearly!$D:$AM, 19, FALSE) / VLOOKUP("buildings|SO2|Non-fatal heart attacks", US_national_yearly!$D:$AM, 10, FALSE), 1)</f>
        <v>2.2764669715453472E-3</v>
      </c>
      <c r="L13" s="7">
        <f>$B13 * IFERROR(VLOOKUP("buildings|SO2|Non-fatal heart attacks", US_national_yearly!$D:$AM, 20, FALSE) / VLOOKUP("buildings|SO2|Non-fatal heart attacks", US_national_yearly!$D:$AM, 10, FALSE), 1)</f>
        <v>2.3174043347920013E-3</v>
      </c>
      <c r="M13" s="7">
        <f>$B13 * IFERROR(VLOOKUP("buildings|SO2|Non-fatal heart attacks", US_national_yearly!$D:$AM, 21, FALSE) / VLOOKUP("buildings|SO2|Non-fatal heart attacks", US_national_yearly!$D:$AM, 10, FALSE), 1)</f>
        <v>2.358341698038655E-3</v>
      </c>
      <c r="N13" s="7">
        <f>$B13 * IFERROR(VLOOKUP("buildings|SO2|Non-fatal heart attacks", US_national_yearly!$D:$AM, 22, FALSE) / VLOOKUP("buildings|SO2|Non-fatal heart attacks", US_national_yearly!$D:$AM, 10, FALSE), 1)</f>
        <v>2.3849119497932766E-3</v>
      </c>
      <c r="O13" s="7">
        <f>$B13 * IFERROR(VLOOKUP("buildings|SO2|Non-fatal heart attacks", US_national_yearly!$D:$AM, 23, FALSE) / VLOOKUP("buildings|SO2|Non-fatal heart attacks", US_national_yearly!$D:$AM, 10, FALSE), 1)</f>
        <v>2.411482201547899E-3</v>
      </c>
      <c r="P13" s="7">
        <f>$B13 * IFERROR(VLOOKUP("buildings|SO2|Non-fatal heart attacks", US_national_yearly!$D:$AM, 24, FALSE) / VLOOKUP("buildings|SO2|Non-fatal heart attacks", US_national_yearly!$D:$AM, 10, FALSE), 1)</f>
        <v>2.4380524533025205E-3</v>
      </c>
      <c r="Q13" s="7">
        <f>$B13 * IFERROR(VLOOKUP("buildings|SO2|Non-fatal heart attacks", US_national_yearly!$D:$AM, 25, FALSE) / VLOOKUP("buildings|SO2|Non-fatal heart attacks", US_national_yearly!$D:$AM, 10, FALSE), 1)</f>
        <v>2.4646227050571421E-3</v>
      </c>
      <c r="R13" s="7">
        <f>$B13 * IFERROR(VLOOKUP("buildings|SO2|Non-fatal heart attacks", US_national_yearly!$D:$AM, 26, FALSE) / VLOOKUP("buildings|SO2|Non-fatal heart attacks", US_national_yearly!$D:$AM, 10, FALSE), 1)</f>
        <v>2.4911929568117645E-3</v>
      </c>
      <c r="S13" s="7">
        <f>$B13 * IFERROR(VLOOKUP("buildings|SO2|Non-fatal heart attacks", US_national_yearly!$D:$AM, 27, FALSE) / VLOOKUP("buildings|SO2|Non-fatal heart attacks", US_national_yearly!$D:$AM, 10, FALSE), 1)</f>
        <v>2.505067898772514E-3</v>
      </c>
      <c r="T13" s="7">
        <f>$B13 * IFERROR(VLOOKUP("buildings|SO2|Non-fatal heart attacks", US_national_yearly!$D:$AM, 28, FALSE) / VLOOKUP("buildings|SO2|Non-fatal heart attacks", US_national_yearly!$D:$AM, 10, FALSE), 1)</f>
        <v>2.5189428407332635E-3</v>
      </c>
      <c r="U13" s="7">
        <f>$B13 * IFERROR(VLOOKUP("buildings|SO2|Non-fatal heart attacks", US_national_yearly!$D:$AM, 29, FALSE) / VLOOKUP("buildings|SO2|Non-fatal heart attacks", US_national_yearly!$D:$AM, 10, FALSE), 1)</f>
        <v>2.5328177826940126E-3</v>
      </c>
      <c r="V13" s="7">
        <f>$B13 * IFERROR(VLOOKUP("buildings|SO2|Non-fatal heart attacks", US_national_yearly!$D:$AM, 30, FALSE) / VLOOKUP("buildings|SO2|Non-fatal heart attacks", US_national_yearly!$D:$AM, 10, FALSE), 1)</f>
        <v>2.5466927246547621E-3</v>
      </c>
      <c r="W13" s="7">
        <f>$B13 * IFERROR(VLOOKUP("buildings|SO2|Non-fatal heart attacks", US_national_yearly!$D:$AM, 31, FALSE) / VLOOKUP("buildings|SO2|Non-fatal heart attacks", US_national_yearly!$D:$AM, 10, FALSE), 1)</f>
        <v>2.5605676666155116E-3</v>
      </c>
      <c r="X13" s="7">
        <f>$B13 * IFERROR(VLOOKUP("buildings|SO2|Non-fatal heart attacks", US_national_yearly!$D:$AM, 32, FALSE) / VLOOKUP("buildings|SO2|Non-fatal heart attacks", US_national_yearly!$D:$AM, 10, FALSE), 1)</f>
        <v>2.5710470416838434E-3</v>
      </c>
      <c r="Y13" s="7">
        <f>$B13 * IFERROR(VLOOKUP("buildings|SO2|Non-fatal heart attacks", US_national_yearly!$D:$AM, 33, FALSE) / VLOOKUP("buildings|SO2|Non-fatal heart attacks", US_national_yearly!$D:$AM, 10, FALSE), 1)</f>
        <v>2.5815264167521755E-3</v>
      </c>
      <c r="Z13" s="7">
        <f>$B13 * IFERROR(VLOOKUP("buildings|SO2|Non-fatal heart attacks", US_national_yearly!$D:$AM, 34, FALSE) / VLOOKUP("buildings|SO2|Non-fatal heart attacks", US_national_yearly!$D:$AM, 10, FALSE), 1)</f>
        <v>2.5920057918205064E-3</v>
      </c>
      <c r="AA13" s="7">
        <f>$B13 * IFERROR(VLOOKUP("buildings|SO2|Non-fatal heart attacks", US_national_yearly!$D:$AM, 35, FALSE) / VLOOKUP("buildings|SO2|Non-fatal heart attacks", US_national_yearly!$D:$AM, 10, FALSE), 1)</f>
        <v>2.6024851668888386E-3</v>
      </c>
      <c r="AB13" s="7">
        <f>$B13 * IFERROR(VLOOKUP("buildings|SO2|Non-fatal heart attacks", US_national_yearly!$D:$AM, 36, FALSE) / VLOOKUP("buildings|SO2|Non-fatal heart attacks", US_national_yearly!$D:$AM, 10, FALSE), 1)</f>
        <v>2.6129645419571699E-3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1.5206753428426101</v>
      </c>
      <c r="C14" s="7">
        <f>$B14 * IFERROR(VLOOKUP("buildings|SO2|Minor restricted activity days", US_national_yearly!$D:$AM, 11, FALSE) / VLOOKUP("buildings|SO2|Minor restricted activity days", US_national_yearly!$D:$AM, 10, FALSE), 1)</f>
        <v>1.5245248523664501</v>
      </c>
      <c r="D14" s="7">
        <f>$B14 * IFERROR(VLOOKUP("buildings|SO2|Minor restricted activity days", US_national_yearly!$D:$AM, 12, FALSE) / VLOOKUP("buildings|SO2|Minor restricted activity days", US_national_yearly!$D:$AM, 10, FALSE), 1)</f>
        <v>1.5283743618902905</v>
      </c>
      <c r="E14" s="7">
        <f>$B14 * IFERROR(VLOOKUP("buildings|SO2|Minor restricted activity days", US_national_yearly!$D:$AM, 13, FALSE) / VLOOKUP("buildings|SO2|Minor restricted activity days", US_national_yearly!$D:$AM, 10, FALSE), 1)</f>
        <v>1.532223871414131</v>
      </c>
      <c r="F14" s="7">
        <f>$B14 * IFERROR(VLOOKUP("buildings|SO2|Minor restricted activity days", US_national_yearly!$D:$AM, 14, FALSE) / VLOOKUP("buildings|SO2|Minor restricted activity days", US_national_yearly!$D:$AM, 10, FALSE), 1)</f>
        <v>1.5360733809379712</v>
      </c>
      <c r="G14" s="7">
        <f>$B14 * IFERROR(VLOOKUP("buildings|SO2|Minor restricted activity days", US_national_yearly!$D:$AM, 15, FALSE) / VLOOKUP("buildings|SO2|Minor restricted activity days", US_national_yearly!$D:$AM, 10, FALSE), 1)</f>
        <v>1.5417336852055388</v>
      </c>
      <c r="H14" s="7">
        <f>$B14 * IFERROR(VLOOKUP("buildings|SO2|Minor restricted activity days", US_national_yearly!$D:$AM, 16, FALSE) / VLOOKUP("buildings|SO2|Minor restricted activity days", US_national_yearly!$D:$AM, 10, FALSE), 1)</f>
        <v>1.5473939894731066</v>
      </c>
      <c r="I14" s="7">
        <f>$B14 * IFERROR(VLOOKUP("buildings|SO2|Minor restricted activity days", US_national_yearly!$D:$AM, 17, FALSE) / VLOOKUP("buildings|SO2|Minor restricted activity days", US_national_yearly!$D:$AM, 10, FALSE), 1)</f>
        <v>1.5570340572687336</v>
      </c>
      <c r="J14" s="7">
        <f>$B14 * IFERROR(VLOOKUP("buildings|SO2|Minor restricted activity days", US_national_yearly!$D:$AM, 18, FALSE) / VLOOKUP("buildings|SO2|Minor restricted activity days", US_national_yearly!$D:$AM, 10, FALSE), 1)</f>
        <v>1.566674125064361</v>
      </c>
      <c r="K14" s="7">
        <f>$B14 * IFERROR(VLOOKUP("buildings|SO2|Minor restricted activity days", US_national_yearly!$D:$AM, 19, FALSE) / VLOOKUP("buildings|SO2|Minor restricted activity days", US_national_yearly!$D:$AM, 10, FALSE), 1)</f>
        <v>1.576314192859988</v>
      </c>
      <c r="L14" s="7">
        <f>$B14 * IFERROR(VLOOKUP("buildings|SO2|Minor restricted activity days", US_national_yearly!$D:$AM, 20, FALSE) / VLOOKUP("buildings|SO2|Minor restricted activity days", US_national_yearly!$D:$AM, 10, FALSE), 1)</f>
        <v>1.585954260655615</v>
      </c>
      <c r="M14" s="7">
        <f>$B14 * IFERROR(VLOOKUP("buildings|SO2|Minor restricted activity days", US_national_yearly!$D:$AM, 21, FALSE) / VLOOKUP("buildings|SO2|Minor restricted activity days", US_national_yearly!$D:$AM, 10, FALSE), 1)</f>
        <v>1.5955943284512422</v>
      </c>
      <c r="N14" s="7">
        <f>$B14 * IFERROR(VLOOKUP("buildings|SO2|Minor restricted activity days", US_national_yearly!$D:$AM, 22, FALSE) / VLOOKUP("buildings|SO2|Minor restricted activity days", US_national_yearly!$D:$AM, 10, FALSE), 1)</f>
        <v>1.6087766145840279</v>
      </c>
      <c r="O14" s="7">
        <f>$B14 * IFERROR(VLOOKUP("buildings|SO2|Minor restricted activity days", US_national_yearly!$D:$AM, 23, FALSE) / VLOOKUP("buildings|SO2|Minor restricted activity days", US_national_yearly!$D:$AM, 10, FALSE), 1)</f>
        <v>1.6219589007168134</v>
      </c>
      <c r="P14" s="7">
        <f>$B14 * IFERROR(VLOOKUP("buildings|SO2|Minor restricted activity days", US_national_yearly!$D:$AM, 24, FALSE) / VLOOKUP("buildings|SO2|Minor restricted activity days", US_national_yearly!$D:$AM, 10, FALSE), 1)</f>
        <v>1.6351411868495989</v>
      </c>
      <c r="Q14" s="7">
        <f>$B14 * IFERROR(VLOOKUP("buildings|SO2|Minor restricted activity days", US_national_yearly!$D:$AM, 25, FALSE) / VLOOKUP("buildings|SO2|Minor restricted activity days", US_national_yearly!$D:$AM, 10, FALSE), 1)</f>
        <v>1.6483234729823846</v>
      </c>
      <c r="R14" s="7">
        <f>$B14 * IFERROR(VLOOKUP("buildings|SO2|Minor restricted activity days", US_national_yearly!$D:$AM, 26, FALSE) / VLOOKUP("buildings|SO2|Minor restricted activity days", US_national_yearly!$D:$AM, 10, FALSE), 1)</f>
        <v>1.6615057591151701</v>
      </c>
      <c r="S14" s="7">
        <f>$B14 * IFERROR(VLOOKUP("buildings|SO2|Minor restricted activity days", US_national_yearly!$D:$AM, 27, FALSE) / VLOOKUP("buildings|SO2|Minor restricted activity days", US_national_yearly!$D:$AM, 10, FALSE), 1)</f>
        <v>1.674944244010661</v>
      </c>
      <c r="T14" s="7">
        <f>$B14 * IFERROR(VLOOKUP("buildings|SO2|Minor restricted activity days", US_national_yearly!$D:$AM, 28, FALSE) / VLOOKUP("buildings|SO2|Minor restricted activity days", US_national_yearly!$D:$AM, 10, FALSE), 1)</f>
        <v>1.6883827289061519</v>
      </c>
      <c r="U14" s="7">
        <f>$B14 * IFERROR(VLOOKUP("buildings|SO2|Minor restricted activity days", US_national_yearly!$D:$AM, 29, FALSE) / VLOOKUP("buildings|SO2|Minor restricted activity days", US_national_yearly!$D:$AM, 10, FALSE), 1)</f>
        <v>1.7018212138016429</v>
      </c>
      <c r="V14" s="7">
        <f>$B14 * IFERROR(VLOOKUP("buildings|SO2|Minor restricted activity days", US_national_yearly!$D:$AM, 30, FALSE) / VLOOKUP("buildings|SO2|Minor restricted activity days", US_national_yearly!$D:$AM, 10, FALSE), 1)</f>
        <v>1.7152596986971338</v>
      </c>
      <c r="W14" s="7">
        <f>$B14 * IFERROR(VLOOKUP("buildings|SO2|Minor restricted activity days", US_national_yearly!$D:$AM, 31, FALSE) / VLOOKUP("buildings|SO2|Minor restricted activity days", US_national_yearly!$D:$AM, 10, FALSE), 1)</f>
        <v>1.7286981835926249</v>
      </c>
      <c r="X14" s="7">
        <f>$B14 * IFERROR(VLOOKUP("buildings|SO2|Minor restricted activity days", US_national_yearly!$D:$AM, 32, FALSE) / VLOOKUP("buildings|SO2|Minor restricted activity days", US_national_yearly!$D:$AM, 10, FALSE), 1)</f>
        <v>1.7405165533599958</v>
      </c>
      <c r="Y14" s="7">
        <f>$B14 * IFERROR(VLOOKUP("buildings|SO2|Minor restricted activity days", US_national_yearly!$D:$AM, 33, FALSE) / VLOOKUP("buildings|SO2|Minor restricted activity days", US_national_yearly!$D:$AM, 10, FALSE), 1)</f>
        <v>1.7523349231273668</v>
      </c>
      <c r="Z14" s="7">
        <f>$B14 * IFERROR(VLOOKUP("buildings|SO2|Minor restricted activity days", US_national_yearly!$D:$AM, 34, FALSE) / VLOOKUP("buildings|SO2|Minor restricted activity days", US_national_yearly!$D:$AM, 10, FALSE), 1)</f>
        <v>1.7641532928947377</v>
      </c>
      <c r="AA14" s="7">
        <f>$B14 * IFERROR(VLOOKUP("buildings|SO2|Minor restricted activity days", US_national_yearly!$D:$AM, 35, FALSE) / VLOOKUP("buildings|SO2|Minor restricted activity days", US_national_yearly!$D:$AM, 10, FALSE), 1)</f>
        <v>1.7759716626621087</v>
      </c>
      <c r="AB14" s="7">
        <f>$B14 * IFERROR(VLOOKUP("buildings|SO2|Minor restricted activity days", US_national_yearly!$D:$AM, 36, FALSE) / VLOOKUP("buildings|SO2|Minor restricted activity days", US_national_yearly!$D:$AM, 10, FALSE), 1)</f>
        <v>1.7877900324294795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0.25801247344910805</v>
      </c>
      <c r="C15" s="7">
        <f>$B15 * IFERROR(VLOOKUP("buildings|SO2|Work loss days", US_national_yearly!$D:$AM, 11, FALSE) / VLOOKUP("buildings|SO2|Work loss days", US_national_yearly!$D:$AM, 10, FALSE), 1)</f>
        <v>0.25885075177352734</v>
      </c>
      <c r="D15" s="7">
        <f>$B15 * IFERROR(VLOOKUP("buildings|SO2|Work loss days", US_national_yearly!$D:$AM, 12, FALSE) / VLOOKUP("buildings|SO2|Work loss days", US_national_yearly!$D:$AM, 10, FALSE), 1)</f>
        <v>0.25968903009794658</v>
      </c>
      <c r="E15" s="7">
        <f>$B15 * IFERROR(VLOOKUP("buildings|SO2|Work loss days", US_national_yearly!$D:$AM, 13, FALSE) / VLOOKUP("buildings|SO2|Work loss days", US_national_yearly!$D:$AM, 10, FALSE), 1)</f>
        <v>0.26052730842236588</v>
      </c>
      <c r="F15" s="7">
        <f>$B15 * IFERROR(VLOOKUP("buildings|SO2|Work loss days", US_national_yearly!$D:$AM, 14, FALSE) / VLOOKUP("buildings|SO2|Work loss days", US_national_yearly!$D:$AM, 10, FALSE), 1)</f>
        <v>0.26136558674678506</v>
      </c>
      <c r="G15" s="7">
        <f>$B15 * IFERROR(VLOOKUP("buildings|SO2|Work loss days", US_national_yearly!$D:$AM, 15, FALSE) / VLOOKUP("buildings|SO2|Work loss days", US_national_yearly!$D:$AM, 10, FALSE), 1)</f>
        <v>0.26246042462764313</v>
      </c>
      <c r="H15" s="7">
        <f>$B15 * IFERROR(VLOOKUP("buildings|SO2|Work loss days", US_national_yearly!$D:$AM, 16, FALSE) / VLOOKUP("buildings|SO2|Work loss days", US_national_yearly!$D:$AM, 10, FALSE), 1)</f>
        <v>0.26355526250850125</v>
      </c>
      <c r="I15" s="7">
        <f>$B15 * IFERROR(VLOOKUP("buildings|SO2|Work loss days", US_national_yearly!$D:$AM, 17, FALSE) / VLOOKUP("buildings|SO2|Work loss days", US_national_yearly!$D:$AM, 10, FALSE), 1)</f>
        <v>0.26515597677076358</v>
      </c>
      <c r="J15" s="7">
        <f>$B15 * IFERROR(VLOOKUP("buildings|SO2|Work loss days", US_national_yearly!$D:$AM, 18, FALSE) / VLOOKUP("buildings|SO2|Work loss days", US_national_yearly!$D:$AM, 10, FALSE), 1)</f>
        <v>0.26675669103302591</v>
      </c>
      <c r="K15" s="7">
        <f>$B15 * IFERROR(VLOOKUP("buildings|SO2|Work loss days", US_national_yearly!$D:$AM, 19, FALSE) / VLOOKUP("buildings|SO2|Work loss days", US_national_yearly!$D:$AM, 10, FALSE), 1)</f>
        <v>0.26835740529528829</v>
      </c>
      <c r="L15" s="7">
        <f>$B15 * IFERROR(VLOOKUP("buildings|SO2|Work loss days", US_national_yearly!$D:$AM, 20, FALSE) / VLOOKUP("buildings|SO2|Work loss days", US_national_yearly!$D:$AM, 10, FALSE), 1)</f>
        <v>0.26995811955755061</v>
      </c>
      <c r="M15" s="7">
        <f>$B15 * IFERROR(VLOOKUP("buildings|SO2|Work loss days", US_national_yearly!$D:$AM, 21, FALSE) / VLOOKUP("buildings|SO2|Work loss days", US_national_yearly!$D:$AM, 10, FALSE), 1)</f>
        <v>0.27155883381981288</v>
      </c>
      <c r="N15" s="7">
        <f>$B15 * IFERROR(VLOOKUP("buildings|SO2|Work loss days", US_national_yearly!$D:$AM, 22, FALSE) / VLOOKUP("buildings|SO2|Work loss days", US_national_yearly!$D:$AM, 10, FALSE), 1)</f>
        <v>0.27356610328293307</v>
      </c>
      <c r="O15" s="7">
        <f>$B15 * IFERROR(VLOOKUP("buildings|SO2|Work loss days", US_national_yearly!$D:$AM, 23, FALSE) / VLOOKUP("buildings|SO2|Work loss days", US_national_yearly!$D:$AM, 10, FALSE), 1)</f>
        <v>0.27557337274605315</v>
      </c>
      <c r="P15" s="7">
        <f>$B15 * IFERROR(VLOOKUP("buildings|SO2|Work loss days", US_national_yearly!$D:$AM, 24, FALSE) / VLOOKUP("buildings|SO2|Work loss days", US_national_yearly!$D:$AM, 10, FALSE), 1)</f>
        <v>0.27758064220917328</v>
      </c>
      <c r="Q15" s="7">
        <f>$B15 * IFERROR(VLOOKUP("buildings|SO2|Work loss days", US_national_yearly!$D:$AM, 25, FALSE) / VLOOKUP("buildings|SO2|Work loss days", US_national_yearly!$D:$AM, 10, FALSE), 1)</f>
        <v>0.27958791167229341</v>
      </c>
      <c r="R15" s="7">
        <f>$B15 * IFERROR(VLOOKUP("buildings|SO2|Work loss days", US_national_yearly!$D:$AM, 26, FALSE) / VLOOKUP("buildings|SO2|Work loss days", US_national_yearly!$D:$AM, 10, FALSE), 1)</f>
        <v>0.28159518113541343</v>
      </c>
      <c r="S15" s="7">
        <f>$B15 * IFERROR(VLOOKUP("buildings|SO2|Work loss days", US_national_yearly!$D:$AM, 27, FALSE) / VLOOKUP("buildings|SO2|Work loss days", US_national_yearly!$D:$AM, 10, FALSE), 1)</f>
        <v>0.28383747695153405</v>
      </c>
      <c r="T15" s="7">
        <f>$B15 * IFERROR(VLOOKUP("buildings|SO2|Work loss days", US_national_yearly!$D:$AM, 28, FALSE) / VLOOKUP("buildings|SO2|Work loss days", US_national_yearly!$D:$AM, 10, FALSE), 1)</f>
        <v>0.28607977276765467</v>
      </c>
      <c r="U15" s="7">
        <f>$B15 * IFERROR(VLOOKUP("buildings|SO2|Work loss days", US_national_yearly!$D:$AM, 29, FALSE) / VLOOKUP("buildings|SO2|Work loss days", US_national_yearly!$D:$AM, 10, FALSE), 1)</f>
        <v>0.28832206858377524</v>
      </c>
      <c r="V15" s="7">
        <f>$B15 * IFERROR(VLOOKUP("buildings|SO2|Work loss days", US_national_yearly!$D:$AM, 30, FALSE) / VLOOKUP("buildings|SO2|Work loss days", US_national_yearly!$D:$AM, 10, FALSE), 1)</f>
        <v>0.2905643643998958</v>
      </c>
      <c r="W15" s="7">
        <f>$B15 * IFERROR(VLOOKUP("buildings|SO2|Work loss days", US_national_yearly!$D:$AM, 31, FALSE) / VLOOKUP("buildings|SO2|Work loss days", US_national_yearly!$D:$AM, 10, FALSE), 1)</f>
        <v>0.29280666021601642</v>
      </c>
      <c r="X15" s="7">
        <f>$B15 * IFERROR(VLOOKUP("buildings|SO2|Work loss days", US_national_yearly!$D:$AM, 32, FALSE) / VLOOKUP("buildings|SO2|Work loss days", US_national_yearly!$D:$AM, 10, FALSE), 1)</f>
        <v>0.29481997755062855</v>
      </c>
      <c r="Y15" s="7">
        <f>$B15 * IFERROR(VLOOKUP("buildings|SO2|Work loss days", US_national_yearly!$D:$AM, 33, FALSE) / VLOOKUP("buildings|SO2|Work loss days", US_national_yearly!$D:$AM, 10, FALSE), 1)</f>
        <v>0.29683329488524074</v>
      </c>
      <c r="Z15" s="7">
        <f>$B15 * IFERROR(VLOOKUP("buildings|SO2|Work loss days", US_national_yearly!$D:$AM, 34, FALSE) / VLOOKUP("buildings|SO2|Work loss days", US_national_yearly!$D:$AM, 10, FALSE), 1)</f>
        <v>0.29884661221985287</v>
      </c>
      <c r="AA15" s="7">
        <f>$B15 * IFERROR(VLOOKUP("buildings|SO2|Work loss days", US_national_yearly!$D:$AM, 35, FALSE) / VLOOKUP("buildings|SO2|Work loss days", US_national_yearly!$D:$AM, 10, FALSE), 1)</f>
        <v>0.30085992955446506</v>
      </c>
      <c r="AB15" s="7">
        <f>$B15 * IFERROR(VLOOKUP("buildings|SO2|Work loss days", US_national_yearly!$D:$AM, 36, FALSE) / VLOOKUP("buildings|SO2|Work loss days", US_national_yearly!$D:$AM, 10, FALSE), 1)</f>
        <v>0.30287324688907713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4.7366472722865056E-4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4.8799278136925101E-4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5.0232083550985141E-4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5.1664888965045192E-4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5.3097694379105242E-4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5.4470236142583229E-4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5.5842777906061215E-4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5.7019043432412196E-4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5.8195308958763155E-4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5.9371574485114135E-4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6.0547840011465105E-4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6.1724105537816075E-4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6.2513944265091346E-4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6.3303782992366628E-4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6.4093621719641899E-4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6.4883460446917159E-4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6.5673299174192441E-4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6.6088658675744305E-4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6.6504018177296158E-4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6.6919377678848011E-4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6.7334737180399864E-4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6.7750096681951717E-4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6.8029011520989735E-4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6.830792636002773E-4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6.8586841199065737E-4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6.8865756038103754E-4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6.914467087714175E-4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2.3111389141625971E-2</v>
      </c>
      <c r="C2" s="7">
        <f>$B2 * IFERROR(VLOOKUP("industry|PM25|Premature mortality", US_national_yearly!$D:$AM, 11, FALSE) / VLOOKUP("industry|PM25|Premature mortality", US_national_yearly!$D:$AM, 10, FALSE), 1)</f>
        <v>2.3399201462019677E-2</v>
      </c>
      <c r="D2" s="7">
        <f>$B2 * IFERROR(VLOOKUP("industry|PM25|Premature mortality", US_national_yearly!$D:$AM, 12, FALSE) / VLOOKUP("industry|PM25|Premature mortality", US_national_yearly!$D:$AM, 10, FALSE), 1)</f>
        <v>2.3687013782413377E-2</v>
      </c>
      <c r="E2" s="7">
        <f>$B2 * IFERROR(VLOOKUP("industry|PM25|Premature mortality", US_national_yearly!$D:$AM, 13, FALSE) / VLOOKUP("industry|PM25|Premature mortality", US_national_yearly!$D:$AM, 10, FALSE), 1)</f>
        <v>2.397482610280708E-2</v>
      </c>
      <c r="F2" s="7">
        <f>$B2 * IFERROR(VLOOKUP("industry|PM25|Premature mortality", US_national_yearly!$D:$AM, 14, FALSE) / VLOOKUP("industry|PM25|Premature mortality", US_national_yearly!$D:$AM, 10, FALSE), 1)</f>
        <v>2.426263842320078E-2</v>
      </c>
      <c r="G2" s="7">
        <f>$B2 * IFERROR(VLOOKUP("industry|PM25|Premature mortality", US_national_yearly!$D:$AM, 15, FALSE) / VLOOKUP("industry|PM25|Premature mortality", US_national_yearly!$D:$AM, 10, FALSE), 1)</f>
        <v>2.4822572822097114E-2</v>
      </c>
      <c r="H2" s="7">
        <f>$B2 * IFERROR(VLOOKUP("industry|PM25|Premature mortality", US_national_yearly!$D:$AM, 16, FALSE) / VLOOKUP("industry|PM25|Premature mortality", US_national_yearly!$D:$AM, 10, FALSE), 1)</f>
        <v>2.5382507220993448E-2</v>
      </c>
      <c r="I2" s="7">
        <f>$B2 * IFERROR(VLOOKUP("industry|PM25|Premature mortality", US_national_yearly!$D:$AM, 17, FALSE) / VLOOKUP("industry|PM25|Premature mortality", US_national_yearly!$D:$AM, 10, FALSE), 1)</f>
        <v>2.5752230043181393E-2</v>
      </c>
      <c r="J2" s="7">
        <f>$B2 * IFERROR(VLOOKUP("industry|PM25|Premature mortality", US_national_yearly!$D:$AM, 18, FALSE) / VLOOKUP("industry|PM25|Premature mortality", US_national_yearly!$D:$AM, 10, FALSE), 1)</f>
        <v>2.6121952865369336E-2</v>
      </c>
      <c r="K2" s="7">
        <f>$B2 * IFERROR(VLOOKUP("industry|PM25|Premature mortality", US_national_yearly!$D:$AM, 19, FALSE) / VLOOKUP("industry|PM25|Premature mortality", US_national_yearly!$D:$AM, 10, FALSE), 1)</f>
        <v>2.6491675687557278E-2</v>
      </c>
      <c r="L2" s="7">
        <f>$B2 * IFERROR(VLOOKUP("industry|PM25|Premature mortality", US_national_yearly!$D:$AM, 20, FALSE) / VLOOKUP("industry|PM25|Premature mortality", US_national_yearly!$D:$AM, 10, FALSE), 1)</f>
        <v>2.686139850974522E-2</v>
      </c>
      <c r="M2" s="7">
        <f>$B2 * IFERROR(VLOOKUP("industry|PM25|Premature mortality", US_national_yearly!$D:$AM, 21, FALSE) / VLOOKUP("industry|PM25|Premature mortality", US_national_yearly!$D:$AM, 10, FALSE), 1)</f>
        <v>2.7231121331933165E-2</v>
      </c>
      <c r="N2" s="7">
        <f>$B2 * IFERROR(VLOOKUP("industry|PM25|Premature mortality", US_national_yearly!$D:$AM, 22, FALSE) / VLOOKUP("industry|PM25|Premature mortality", US_national_yearly!$D:$AM, 10, FALSE), 1)</f>
        <v>2.7519167020559971E-2</v>
      </c>
      <c r="O2" s="7">
        <f>$B2 * IFERROR(VLOOKUP("industry|PM25|Premature mortality", US_national_yearly!$D:$AM, 23, FALSE) / VLOOKUP("industry|PM25|Premature mortality", US_national_yearly!$D:$AM, 10, FALSE), 1)</f>
        <v>2.780721270918677E-2</v>
      </c>
      <c r="P2" s="7">
        <f>$B2 * IFERROR(VLOOKUP("industry|PM25|Premature mortality", US_national_yearly!$D:$AM, 24, FALSE) / VLOOKUP("industry|PM25|Premature mortality", US_national_yearly!$D:$AM, 10, FALSE), 1)</f>
        <v>2.8095258397813575E-2</v>
      </c>
      <c r="Q2" s="7">
        <f>$B2 * IFERROR(VLOOKUP("industry|PM25|Premature mortality", US_national_yearly!$D:$AM, 25, FALSE) / VLOOKUP("industry|PM25|Premature mortality", US_national_yearly!$D:$AM, 10, FALSE), 1)</f>
        <v>2.8383304086440377E-2</v>
      </c>
      <c r="R2" s="7">
        <f>$B2 * IFERROR(VLOOKUP("industry|PM25|Premature mortality", US_national_yearly!$D:$AM, 26, FALSE) / VLOOKUP("industry|PM25|Premature mortality", US_national_yearly!$D:$AM, 10, FALSE), 1)</f>
        <v>2.8671349775067176E-2</v>
      </c>
      <c r="S2" s="7">
        <f>$B2 * IFERROR(VLOOKUP("industry|PM25|Premature mortality", US_national_yearly!$D:$AM, 27, FALSE) / VLOOKUP("industry|PM25|Premature mortality", US_national_yearly!$D:$AM, 10, FALSE), 1)</f>
        <v>2.8826883763390737E-2</v>
      </c>
      <c r="T2" s="7">
        <f>$B2 * IFERROR(VLOOKUP("industry|PM25|Premature mortality", US_national_yearly!$D:$AM, 28, FALSE) / VLOOKUP("industry|PM25|Premature mortality", US_national_yearly!$D:$AM, 10, FALSE), 1)</f>
        <v>2.8982417751714298E-2</v>
      </c>
      <c r="U2" s="7">
        <f>$B2 * IFERROR(VLOOKUP("industry|PM25|Premature mortality", US_national_yearly!$D:$AM, 29, FALSE) / VLOOKUP("industry|PM25|Premature mortality", US_national_yearly!$D:$AM, 10, FALSE), 1)</f>
        <v>2.9137951740037867E-2</v>
      </c>
      <c r="V2" s="7">
        <f>$B2 * IFERROR(VLOOKUP("industry|PM25|Premature mortality", US_national_yearly!$D:$AM, 30, FALSE) / VLOOKUP("industry|PM25|Premature mortality", US_national_yearly!$D:$AM, 10, FALSE), 1)</f>
        <v>2.9293485728361428E-2</v>
      </c>
      <c r="W2" s="7">
        <f>$B2 * IFERROR(VLOOKUP("industry|PM25|Premature mortality", US_national_yearly!$D:$AM, 31, FALSE) / VLOOKUP("industry|PM25|Premature mortality", US_national_yearly!$D:$AM, 10, FALSE), 1)</f>
        <v>2.9449019716684989E-2</v>
      </c>
      <c r="X2" s="7">
        <f>$B2 * IFERROR(VLOOKUP("industry|PM25|Premature mortality", US_national_yearly!$D:$AM, 32, FALSE) / VLOOKUP("industry|PM25|Premature mortality", US_national_yearly!$D:$AM, 10, FALSE), 1)</f>
        <v>2.9481132033707537E-2</v>
      </c>
      <c r="Y2" s="7">
        <f>$B2 * IFERROR(VLOOKUP("industry|PM25|Premature mortality", US_national_yearly!$D:$AM, 33, FALSE) / VLOOKUP("industry|PM25|Premature mortality", US_national_yearly!$D:$AM, 10, FALSE), 1)</f>
        <v>2.9513244350730102E-2</v>
      </c>
      <c r="Z2" s="7">
        <f>$B2 * IFERROR(VLOOKUP("industry|PM25|Premature mortality", US_national_yearly!$D:$AM, 34, FALSE) / VLOOKUP("industry|PM25|Premature mortality", US_national_yearly!$D:$AM, 10, FALSE), 1)</f>
        <v>2.954535666775265E-2</v>
      </c>
      <c r="AA2" s="7">
        <f>$B2 * IFERROR(VLOOKUP("industry|PM25|Premature mortality", US_national_yearly!$D:$AM, 35, FALSE) / VLOOKUP("industry|PM25|Premature mortality", US_national_yearly!$D:$AM, 10, FALSE), 1)</f>
        <v>2.9577468984775208E-2</v>
      </c>
      <c r="AB2" s="7">
        <f>$B2 * IFERROR(VLOOKUP("industry|PM25|Premature mortality", US_national_yearly!$D:$AM, 36, FALSE) / VLOOKUP("industry|PM25|Premature mortality", US_national_yearly!$D:$AM, 10, FALSE), 1)</f>
        <v>2.9609581301797763E-2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6.0913509565057112E-5</v>
      </c>
      <c r="C3" s="7">
        <f>$B3 * IFERROR(VLOOKUP("industry|PM25|Infant mortality", US_national_yearly!$D:$AM, 11, FALSE) / VLOOKUP("industry|PM25|Infant mortality", US_national_yearly!$D:$AM, 10, FALSE), 1)</f>
        <v>6.0383144844405358E-5</v>
      </c>
      <c r="D3" s="7">
        <f>$B3 * IFERROR(VLOOKUP("industry|PM25|Infant mortality", US_national_yearly!$D:$AM, 12, FALSE) / VLOOKUP("industry|PM25|Infant mortality", US_national_yearly!$D:$AM, 10, FALSE), 1)</f>
        <v>5.9852780123753597E-5</v>
      </c>
      <c r="E3" s="7">
        <f>$B3 * IFERROR(VLOOKUP("industry|PM25|Infant mortality", US_national_yearly!$D:$AM, 13, FALSE) / VLOOKUP("industry|PM25|Infant mortality", US_national_yearly!$D:$AM, 10, FALSE), 1)</f>
        <v>5.9322415403101828E-5</v>
      </c>
      <c r="F3" s="7">
        <f>$B3 * IFERROR(VLOOKUP("industry|PM25|Infant mortality", US_national_yearly!$D:$AM, 14, FALSE) / VLOOKUP("industry|PM25|Infant mortality", US_national_yearly!$D:$AM, 10, FALSE), 1)</f>
        <v>5.8792050682450074E-5</v>
      </c>
      <c r="G3" s="7">
        <f>$B3 * IFERROR(VLOOKUP("industry|PM25|Infant mortality", US_national_yearly!$D:$AM, 15, FALSE) / VLOOKUP("industry|PM25|Infant mortality", US_national_yearly!$D:$AM, 10, FALSE), 1)</f>
        <v>3.9063496370496574E-5</v>
      </c>
      <c r="H3" s="7">
        <f>$B3 * IFERROR(VLOOKUP("industry|PM25|Infant mortality", US_national_yearly!$D:$AM, 16, FALSE) / VLOOKUP("industry|PM25|Infant mortality", US_national_yearly!$D:$AM, 10, FALSE), 1)</f>
        <v>1.9334942058543074E-5</v>
      </c>
      <c r="I3" s="7">
        <f>$B3 * IFERROR(VLOOKUP("industry|PM25|Infant mortality", US_national_yearly!$D:$AM, 17, FALSE) / VLOOKUP("industry|PM25|Infant mortality", US_national_yearly!$D:$AM, 10, FALSE), 1)</f>
        <v>1.9206248948831478E-5</v>
      </c>
      <c r="J3" s="7">
        <f>$B3 * IFERROR(VLOOKUP("industry|PM25|Infant mortality", US_national_yearly!$D:$AM, 18, FALSE) / VLOOKUP("industry|PM25|Infant mortality", US_national_yearly!$D:$AM, 10, FALSE), 1)</f>
        <v>1.9077555839119879E-5</v>
      </c>
      <c r="K3" s="7">
        <f>$B3 * IFERROR(VLOOKUP("industry|PM25|Infant mortality", US_national_yearly!$D:$AM, 19, FALSE) / VLOOKUP("industry|PM25|Infant mortality", US_national_yearly!$D:$AM, 10, FALSE), 1)</f>
        <v>1.8948862729408284E-5</v>
      </c>
      <c r="L3" s="7">
        <f>$B3 * IFERROR(VLOOKUP("industry|PM25|Infant mortality", US_national_yearly!$D:$AM, 20, FALSE) / VLOOKUP("industry|PM25|Infant mortality", US_national_yearly!$D:$AM, 10, FALSE), 1)</f>
        <v>1.8820169619696685E-5</v>
      </c>
      <c r="M3" s="7">
        <f>$B3 * IFERROR(VLOOKUP("industry|PM25|Infant mortality", US_national_yearly!$D:$AM, 21, FALSE) / VLOOKUP("industry|PM25|Infant mortality", US_national_yearly!$D:$AM, 10, FALSE), 1)</f>
        <v>1.869147650998509E-5</v>
      </c>
      <c r="N3" s="7">
        <f>$B3 * IFERROR(VLOOKUP("industry|PM25|Infant mortality", US_national_yearly!$D:$AM, 22, FALSE) / VLOOKUP("industry|PM25|Infant mortality", US_national_yearly!$D:$AM, 10, FALSE), 1)</f>
        <v>1.8609357773965433E-5</v>
      </c>
      <c r="O3" s="7">
        <f>$B3 * IFERROR(VLOOKUP("industry|PM25|Infant mortality", US_national_yearly!$D:$AM, 23, FALSE) / VLOOKUP("industry|PM25|Infant mortality", US_national_yearly!$D:$AM, 10, FALSE), 1)</f>
        <v>1.8527239037945776E-5</v>
      </c>
      <c r="P3" s="7">
        <f>$B3 * IFERROR(VLOOKUP("industry|PM25|Infant mortality", US_national_yearly!$D:$AM, 24, FALSE) / VLOOKUP("industry|PM25|Infant mortality", US_national_yearly!$D:$AM, 10, FALSE), 1)</f>
        <v>1.8445120301926126E-5</v>
      </c>
      <c r="Q3" s="7">
        <f>$B3 * IFERROR(VLOOKUP("industry|PM25|Infant mortality", US_national_yearly!$D:$AM, 25, FALSE) / VLOOKUP("industry|PM25|Infant mortality", US_national_yearly!$D:$AM, 10, FALSE), 1)</f>
        <v>1.8363001565906469E-5</v>
      </c>
      <c r="R3" s="7">
        <f>$B3 * IFERROR(VLOOKUP("industry|PM25|Infant mortality", US_national_yearly!$D:$AM, 26, FALSE) / VLOOKUP("industry|PM25|Infant mortality", US_national_yearly!$D:$AM, 10, FALSE), 1)</f>
        <v>1.8280882829886816E-5</v>
      </c>
      <c r="S3" s="7">
        <f>$B3 * IFERROR(VLOOKUP("industry|PM25|Infant mortality", US_national_yearly!$D:$AM, 27, FALSE) / VLOOKUP("industry|PM25|Infant mortality", US_national_yearly!$D:$AM, 10, FALSE), 1)</f>
        <v>1.8179884199113666E-5</v>
      </c>
      <c r="T3" s="7">
        <f>$B3 * IFERROR(VLOOKUP("industry|PM25|Infant mortality", US_national_yearly!$D:$AM, 28, FALSE) / VLOOKUP("industry|PM25|Infant mortality", US_national_yearly!$D:$AM, 10, FALSE), 1)</f>
        <v>1.807888556834052E-5</v>
      </c>
      <c r="U3" s="7">
        <f>$B3 * IFERROR(VLOOKUP("industry|PM25|Infant mortality", US_national_yearly!$D:$AM, 29, FALSE) / VLOOKUP("industry|PM25|Infant mortality", US_national_yearly!$D:$AM, 10, FALSE), 1)</f>
        <v>1.7977886937567374E-5</v>
      </c>
      <c r="V3" s="7">
        <f>$B3 * IFERROR(VLOOKUP("industry|PM25|Infant mortality", US_national_yearly!$D:$AM, 30, FALSE) / VLOOKUP("industry|PM25|Infant mortality", US_national_yearly!$D:$AM, 10, FALSE), 1)</f>
        <v>1.7876888306794228E-5</v>
      </c>
      <c r="W3" s="7">
        <f>$B3 * IFERROR(VLOOKUP("industry|PM25|Infant mortality", US_national_yearly!$D:$AM, 31, FALSE) / VLOOKUP("industry|PM25|Infant mortality", US_national_yearly!$D:$AM, 10, FALSE), 1)</f>
        <v>1.7775889676021082E-5</v>
      </c>
      <c r="X3" s="7">
        <f>$B3 * IFERROR(VLOOKUP("industry|PM25|Infant mortality", US_national_yearly!$D:$AM, 32, FALSE) / VLOOKUP("industry|PM25|Infant mortality", US_national_yearly!$D:$AM, 10, FALSE), 1)</f>
        <v>1.7667959983560949E-5</v>
      </c>
      <c r="Y3" s="7">
        <f>$B3 * IFERROR(VLOOKUP("industry|PM25|Infant mortality", US_national_yearly!$D:$AM, 33, FALSE) / VLOOKUP("industry|PM25|Infant mortality", US_national_yearly!$D:$AM, 10, FALSE), 1)</f>
        <v>1.7560030291100816E-5</v>
      </c>
      <c r="Z3" s="7">
        <f>$B3 * IFERROR(VLOOKUP("industry|PM25|Infant mortality", US_national_yearly!$D:$AM, 34, FALSE) / VLOOKUP("industry|PM25|Infant mortality", US_national_yearly!$D:$AM, 10, FALSE), 1)</f>
        <v>1.745210059864068E-5</v>
      </c>
      <c r="AA3" s="7">
        <f>$B3 * IFERROR(VLOOKUP("industry|PM25|Infant mortality", US_national_yearly!$D:$AM, 35, FALSE) / VLOOKUP("industry|PM25|Infant mortality", US_national_yearly!$D:$AM, 10, FALSE), 1)</f>
        <v>1.7344170906180547E-5</v>
      </c>
      <c r="AB3" s="7">
        <f>$B3 * IFERROR(VLOOKUP("industry|PM25|Infant mortality", US_national_yearly!$D:$AM, 36, FALSE) / VLOOKUP("industry|PM25|Infant mortality", US_national_yearly!$D:$AM, 10, FALSE), 1)</f>
        <v>1.7236241213720414E-5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6.8112909552029602E-2</v>
      </c>
      <c r="C6" s="7">
        <f>$B6 * IFERROR(VLOOKUP("industry|PM25|Asthma symptoms cough", US_national_yearly!$D:$AM, 11, FALSE) / VLOOKUP("industry|PM25|Asthma symptoms cough", US_national_yearly!$D:$AM, 10, FALSE), 1)</f>
        <v>6.8112909552029602E-2</v>
      </c>
      <c r="D6" s="7">
        <f>$B6 * IFERROR(VLOOKUP("industry|PM25|Asthma symptoms cough", US_national_yearly!$D:$AM, 12, FALSE) / VLOOKUP("industry|PM25|Asthma symptoms cough", US_national_yearly!$D:$AM, 10, FALSE), 1)</f>
        <v>6.8112909552029602E-2</v>
      </c>
      <c r="E6" s="7">
        <f>$B6 * IFERROR(VLOOKUP("industry|PM25|Asthma symptoms cough", US_national_yearly!$D:$AM, 13, FALSE) / VLOOKUP("industry|PM25|Asthma symptoms cough", US_national_yearly!$D:$AM, 10, FALSE), 1)</f>
        <v>6.8112909552029602E-2</v>
      </c>
      <c r="F6" s="7">
        <f>$B6 * IFERROR(VLOOKUP("industry|PM25|Asthma symptoms cough", US_national_yearly!$D:$AM, 14, FALSE) / VLOOKUP("industry|PM25|Asthma symptoms cough", US_national_yearly!$D:$AM, 10, FALSE), 1)</f>
        <v>6.8112909552029602E-2</v>
      </c>
      <c r="G6" s="7">
        <f>$B6 * IFERROR(VLOOKUP("industry|PM25|Asthma symptoms cough", US_national_yearly!$D:$AM, 15, FALSE) / VLOOKUP("industry|PM25|Asthma symptoms cough", US_national_yearly!$D:$AM, 10, FALSE), 1)</f>
        <v>6.8112909552029602E-2</v>
      </c>
      <c r="H6" s="7">
        <f>$B6 * IFERROR(VLOOKUP("industry|PM25|Asthma symptoms cough", US_national_yearly!$D:$AM, 16, FALSE) / VLOOKUP("industry|PM25|Asthma symptoms cough", US_national_yearly!$D:$AM, 10, FALSE), 1)</f>
        <v>6.8112909552029602E-2</v>
      </c>
      <c r="I6" s="7">
        <f>$B6 * IFERROR(VLOOKUP("industry|PM25|Asthma symptoms cough", US_national_yearly!$D:$AM, 17, FALSE) / VLOOKUP("industry|PM25|Asthma symptoms cough", US_national_yearly!$D:$AM, 10, FALSE), 1)</f>
        <v>6.8112909552029602E-2</v>
      </c>
      <c r="J6" s="7">
        <f>$B6 * IFERROR(VLOOKUP("industry|PM25|Asthma symptoms cough", US_national_yearly!$D:$AM, 18, FALSE) / VLOOKUP("industry|PM25|Asthma symptoms cough", US_national_yearly!$D:$AM, 10, FALSE), 1)</f>
        <v>6.8112909552029602E-2</v>
      </c>
      <c r="K6" s="7">
        <f>$B6 * IFERROR(VLOOKUP("industry|PM25|Asthma symptoms cough", US_national_yearly!$D:$AM, 19, FALSE) / VLOOKUP("industry|PM25|Asthma symptoms cough", US_national_yearly!$D:$AM, 10, FALSE), 1)</f>
        <v>6.8112909552029602E-2</v>
      </c>
      <c r="L6" s="7">
        <f>$B6 * IFERROR(VLOOKUP("industry|PM25|Asthma symptoms cough", US_national_yearly!$D:$AM, 20, FALSE) / VLOOKUP("industry|PM25|Asthma symptoms cough", US_national_yearly!$D:$AM, 10, FALSE), 1)</f>
        <v>6.8112909552029602E-2</v>
      </c>
      <c r="M6" s="7">
        <f>$B6 * IFERROR(VLOOKUP("industry|PM25|Asthma symptoms cough", US_national_yearly!$D:$AM, 21, FALSE) / VLOOKUP("industry|PM25|Asthma symptoms cough", US_national_yearly!$D:$AM, 10, FALSE), 1)</f>
        <v>6.8112909552029602E-2</v>
      </c>
      <c r="N6" s="7">
        <f>$B6 * IFERROR(VLOOKUP("industry|PM25|Asthma symptoms cough", US_national_yearly!$D:$AM, 22, FALSE) / VLOOKUP("industry|PM25|Asthma symptoms cough", US_national_yearly!$D:$AM, 10, FALSE), 1)</f>
        <v>6.8112909552029602E-2</v>
      </c>
      <c r="O6" s="7">
        <f>$B6 * IFERROR(VLOOKUP("industry|PM25|Asthma symptoms cough", US_national_yearly!$D:$AM, 23, FALSE) / VLOOKUP("industry|PM25|Asthma symptoms cough", US_national_yearly!$D:$AM, 10, FALSE), 1)</f>
        <v>6.8112909552029602E-2</v>
      </c>
      <c r="P6" s="7">
        <f>$B6 * IFERROR(VLOOKUP("industry|PM25|Asthma symptoms cough", US_national_yearly!$D:$AM, 24, FALSE) / VLOOKUP("industry|PM25|Asthma symptoms cough", US_national_yearly!$D:$AM, 10, FALSE), 1)</f>
        <v>6.8112909552029602E-2</v>
      </c>
      <c r="Q6" s="7">
        <f>$B6 * IFERROR(VLOOKUP("industry|PM25|Asthma symptoms cough", US_national_yearly!$D:$AM, 25, FALSE) / VLOOKUP("industry|PM25|Asthma symptoms cough", US_national_yearly!$D:$AM, 10, FALSE), 1)</f>
        <v>6.8112909552029602E-2</v>
      </c>
      <c r="R6" s="7">
        <f>$B6 * IFERROR(VLOOKUP("industry|PM25|Asthma symptoms cough", US_national_yearly!$D:$AM, 26, FALSE) / VLOOKUP("industry|PM25|Asthma symptoms cough", US_national_yearly!$D:$AM, 10, FALSE), 1)</f>
        <v>6.8112909552029602E-2</v>
      </c>
      <c r="S6" s="7">
        <f>$B6 * IFERROR(VLOOKUP("industry|PM25|Asthma symptoms cough", US_national_yearly!$D:$AM, 27, FALSE) / VLOOKUP("industry|PM25|Asthma symptoms cough", US_national_yearly!$D:$AM, 10, FALSE), 1)</f>
        <v>6.8112909552029602E-2</v>
      </c>
      <c r="T6" s="7">
        <f>$B6 * IFERROR(VLOOKUP("industry|PM25|Asthma symptoms cough", US_national_yearly!$D:$AM, 28, FALSE) / VLOOKUP("industry|PM25|Asthma symptoms cough", US_national_yearly!$D:$AM, 10, FALSE), 1)</f>
        <v>6.8112909552029602E-2</v>
      </c>
      <c r="U6" s="7">
        <f>$B6 * IFERROR(VLOOKUP("industry|PM25|Asthma symptoms cough", US_national_yearly!$D:$AM, 29, FALSE) / VLOOKUP("industry|PM25|Asthma symptoms cough", US_national_yearly!$D:$AM, 10, FALSE), 1)</f>
        <v>6.8112909552029602E-2</v>
      </c>
      <c r="V6" s="7">
        <f>$B6 * IFERROR(VLOOKUP("industry|PM25|Asthma symptoms cough", US_national_yearly!$D:$AM, 30, FALSE) / VLOOKUP("industry|PM25|Asthma symptoms cough", US_national_yearly!$D:$AM, 10, FALSE), 1)</f>
        <v>6.8112909552029602E-2</v>
      </c>
      <c r="W6" s="7">
        <f>$B6 * IFERROR(VLOOKUP("industry|PM25|Asthma symptoms cough", US_national_yearly!$D:$AM, 31, FALSE) / VLOOKUP("industry|PM25|Asthma symptoms cough", US_national_yearly!$D:$AM, 10, FALSE), 1)</f>
        <v>6.8112909552029602E-2</v>
      </c>
      <c r="X6" s="7">
        <f>$B6 * IFERROR(VLOOKUP("industry|PM25|Asthma symptoms cough", US_national_yearly!$D:$AM, 32, FALSE) / VLOOKUP("industry|PM25|Asthma symptoms cough", US_national_yearly!$D:$AM, 10, FALSE), 1)</f>
        <v>6.8112909552029602E-2</v>
      </c>
      <c r="Y6" s="7">
        <f>$B6 * IFERROR(VLOOKUP("industry|PM25|Asthma symptoms cough", US_national_yearly!$D:$AM, 33, FALSE) / VLOOKUP("industry|PM25|Asthma symptoms cough", US_national_yearly!$D:$AM, 10, FALSE), 1)</f>
        <v>6.8112909552029602E-2</v>
      </c>
      <c r="Z6" s="7">
        <f>$B6 * IFERROR(VLOOKUP("industry|PM25|Asthma symptoms cough", US_national_yearly!$D:$AM, 34, FALSE) / VLOOKUP("industry|PM25|Asthma symptoms cough", US_national_yearly!$D:$AM, 10, FALSE), 1)</f>
        <v>6.8112909552029602E-2</v>
      </c>
      <c r="AA6" s="7">
        <f>$B6 * IFERROR(VLOOKUP("industry|PM25|Asthma symptoms cough", US_national_yearly!$D:$AM, 35, FALSE) / VLOOKUP("industry|PM25|Asthma symptoms cough", US_national_yearly!$D:$AM, 10, FALSE), 1)</f>
        <v>6.8112909552029602E-2</v>
      </c>
      <c r="AB6" s="7">
        <f>$B6 * IFERROR(VLOOKUP("industry|PM25|Asthma symptoms cough", US_national_yearly!$D:$AM, 36, FALSE) / VLOOKUP("industry|PM25|Asthma symptoms cough", US_national_yearly!$D:$AM, 10, FALSE), 1)</f>
        <v>6.8112909552029602E-2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9.1715897161229992E-2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9.1715897161229992E-2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9.1715897161229992E-2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9.1715897161229992E-2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9.1715897161229992E-2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9.1715897161229992E-2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9.1715897161229992E-2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9.1715897161229992E-2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9.1715897161229992E-2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9.1715897161229992E-2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9.1715897161229992E-2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9.1715897161229992E-2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9.1715897161229992E-2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9.1715897161229992E-2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9.1715897161229992E-2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9.1715897161229992E-2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9.1715897161229992E-2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9.1715897161229992E-2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9.1715897161229992E-2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9.1715897161229992E-2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9.1715897161229992E-2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9.1715897161229992E-2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9.1715897161229992E-2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9.1715897161229992E-2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9.1715897161229992E-2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9.1715897161229992E-2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9.1715897161229992E-2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0.140154916844177</v>
      </c>
      <c r="C8" s="7">
        <f>$B8 * IFERROR(VLOOKUP("industry|PM25|Asthma symptoms wheeze", US_national_yearly!$D:$AM, 11, FALSE) / VLOOKUP("industry|PM25|Asthma symptoms wheeze", US_national_yearly!$D:$AM, 10, FALSE), 1)</f>
        <v>0.140154916844177</v>
      </c>
      <c r="D8" s="7">
        <f>$B8 * IFERROR(VLOOKUP("industry|PM25|Asthma symptoms wheeze", US_national_yearly!$D:$AM, 12, FALSE) / VLOOKUP("industry|PM25|Asthma symptoms wheeze", US_national_yearly!$D:$AM, 10, FALSE), 1)</f>
        <v>0.140154916844177</v>
      </c>
      <c r="E8" s="7">
        <f>$B8 * IFERROR(VLOOKUP("industry|PM25|Asthma symptoms wheeze", US_national_yearly!$D:$AM, 13, FALSE) / VLOOKUP("industry|PM25|Asthma symptoms wheeze", US_national_yearly!$D:$AM, 10, FALSE), 1)</f>
        <v>0.140154916844177</v>
      </c>
      <c r="F8" s="7">
        <f>$B8 * IFERROR(VLOOKUP("industry|PM25|Asthma symptoms wheeze", US_national_yearly!$D:$AM, 14, FALSE) / VLOOKUP("industry|PM25|Asthma symptoms wheeze", US_national_yearly!$D:$AM, 10, FALSE), 1)</f>
        <v>0.140154916844177</v>
      </c>
      <c r="G8" s="7">
        <f>$B8 * IFERROR(VLOOKUP("industry|PM25|Asthma symptoms wheeze", US_national_yearly!$D:$AM, 15, FALSE) / VLOOKUP("industry|PM25|Asthma symptoms wheeze", US_national_yearly!$D:$AM, 10, FALSE), 1)</f>
        <v>0.140154916844177</v>
      </c>
      <c r="H8" s="7">
        <f>$B8 * IFERROR(VLOOKUP("industry|PM25|Asthma symptoms wheeze", US_national_yearly!$D:$AM, 16, FALSE) / VLOOKUP("industry|PM25|Asthma symptoms wheeze", US_national_yearly!$D:$AM, 10, FALSE), 1)</f>
        <v>0.140154916844177</v>
      </c>
      <c r="I8" s="7">
        <f>$B8 * IFERROR(VLOOKUP("industry|PM25|Asthma symptoms wheeze", US_national_yearly!$D:$AM, 17, FALSE) / VLOOKUP("industry|PM25|Asthma symptoms wheeze", US_national_yearly!$D:$AM, 10, FALSE), 1)</f>
        <v>0.140154916844177</v>
      </c>
      <c r="J8" s="7">
        <f>$B8 * IFERROR(VLOOKUP("industry|PM25|Asthma symptoms wheeze", US_national_yearly!$D:$AM, 18, FALSE) / VLOOKUP("industry|PM25|Asthma symptoms wheeze", US_national_yearly!$D:$AM, 10, FALSE), 1)</f>
        <v>0.140154916844177</v>
      </c>
      <c r="K8" s="7">
        <f>$B8 * IFERROR(VLOOKUP("industry|PM25|Asthma symptoms wheeze", US_national_yearly!$D:$AM, 19, FALSE) / VLOOKUP("industry|PM25|Asthma symptoms wheeze", US_national_yearly!$D:$AM, 10, FALSE), 1)</f>
        <v>0.140154916844177</v>
      </c>
      <c r="L8" s="7">
        <f>$B8 * IFERROR(VLOOKUP("industry|PM25|Asthma symptoms wheeze", US_national_yearly!$D:$AM, 20, FALSE) / VLOOKUP("industry|PM25|Asthma symptoms wheeze", US_national_yearly!$D:$AM, 10, FALSE), 1)</f>
        <v>0.140154916844177</v>
      </c>
      <c r="M8" s="7">
        <f>$B8 * IFERROR(VLOOKUP("industry|PM25|Asthma symptoms wheeze", US_national_yearly!$D:$AM, 21, FALSE) / VLOOKUP("industry|PM25|Asthma symptoms wheeze", US_national_yearly!$D:$AM, 10, FALSE), 1)</f>
        <v>0.140154916844177</v>
      </c>
      <c r="N8" s="7">
        <f>$B8 * IFERROR(VLOOKUP("industry|PM25|Asthma symptoms wheeze", US_national_yearly!$D:$AM, 22, FALSE) / VLOOKUP("industry|PM25|Asthma symptoms wheeze", US_national_yearly!$D:$AM, 10, FALSE), 1)</f>
        <v>0.140154916844177</v>
      </c>
      <c r="O8" s="7">
        <f>$B8 * IFERROR(VLOOKUP("industry|PM25|Asthma symptoms wheeze", US_national_yearly!$D:$AM, 23, FALSE) / VLOOKUP("industry|PM25|Asthma symptoms wheeze", US_national_yearly!$D:$AM, 10, FALSE), 1)</f>
        <v>0.140154916844177</v>
      </c>
      <c r="P8" s="7">
        <f>$B8 * IFERROR(VLOOKUP("industry|PM25|Asthma symptoms wheeze", US_national_yearly!$D:$AM, 24, FALSE) / VLOOKUP("industry|PM25|Asthma symptoms wheeze", US_national_yearly!$D:$AM, 10, FALSE), 1)</f>
        <v>0.140154916844177</v>
      </c>
      <c r="Q8" s="7">
        <f>$B8 * IFERROR(VLOOKUP("industry|PM25|Asthma symptoms wheeze", US_national_yearly!$D:$AM, 25, FALSE) / VLOOKUP("industry|PM25|Asthma symptoms wheeze", US_national_yearly!$D:$AM, 10, FALSE), 1)</f>
        <v>0.140154916844177</v>
      </c>
      <c r="R8" s="7">
        <f>$B8 * IFERROR(VLOOKUP("industry|PM25|Asthma symptoms wheeze", US_national_yearly!$D:$AM, 26, FALSE) / VLOOKUP("industry|PM25|Asthma symptoms wheeze", US_national_yearly!$D:$AM, 10, FALSE), 1)</f>
        <v>0.140154916844177</v>
      </c>
      <c r="S8" s="7">
        <f>$B8 * IFERROR(VLOOKUP("industry|PM25|Asthma symptoms wheeze", US_national_yearly!$D:$AM, 27, FALSE) / VLOOKUP("industry|PM25|Asthma symptoms wheeze", US_national_yearly!$D:$AM, 10, FALSE), 1)</f>
        <v>0.140154916844177</v>
      </c>
      <c r="T8" s="7">
        <f>$B8 * IFERROR(VLOOKUP("industry|PM25|Asthma symptoms wheeze", US_national_yearly!$D:$AM, 28, FALSE) / VLOOKUP("industry|PM25|Asthma symptoms wheeze", US_national_yearly!$D:$AM, 10, FALSE), 1)</f>
        <v>0.140154916844177</v>
      </c>
      <c r="U8" s="7">
        <f>$B8 * IFERROR(VLOOKUP("industry|PM25|Asthma symptoms wheeze", US_national_yearly!$D:$AM, 29, FALSE) / VLOOKUP("industry|PM25|Asthma symptoms wheeze", US_national_yearly!$D:$AM, 10, FALSE), 1)</f>
        <v>0.140154916844177</v>
      </c>
      <c r="V8" s="7">
        <f>$B8 * IFERROR(VLOOKUP("industry|PM25|Asthma symptoms wheeze", US_national_yearly!$D:$AM, 30, FALSE) / VLOOKUP("industry|PM25|Asthma symptoms wheeze", US_national_yearly!$D:$AM, 10, FALSE), 1)</f>
        <v>0.140154916844177</v>
      </c>
      <c r="W8" s="7">
        <f>$B8 * IFERROR(VLOOKUP("industry|PM25|Asthma symptoms wheeze", US_national_yearly!$D:$AM, 31, FALSE) / VLOOKUP("industry|PM25|Asthma symptoms wheeze", US_national_yearly!$D:$AM, 10, FALSE), 1)</f>
        <v>0.140154916844177</v>
      </c>
      <c r="X8" s="7">
        <f>$B8 * IFERROR(VLOOKUP("industry|PM25|Asthma symptoms wheeze", US_national_yearly!$D:$AM, 32, FALSE) / VLOOKUP("industry|PM25|Asthma symptoms wheeze", US_national_yearly!$D:$AM, 10, FALSE), 1)</f>
        <v>0.140154916844177</v>
      </c>
      <c r="Y8" s="7">
        <f>$B8 * IFERROR(VLOOKUP("industry|PM25|Asthma symptoms wheeze", US_national_yearly!$D:$AM, 33, FALSE) / VLOOKUP("industry|PM25|Asthma symptoms wheeze", US_national_yearly!$D:$AM, 10, FALSE), 1)</f>
        <v>0.140154916844177</v>
      </c>
      <c r="Z8" s="7">
        <f>$B8 * IFERROR(VLOOKUP("industry|PM25|Asthma symptoms wheeze", US_national_yearly!$D:$AM, 34, FALSE) / VLOOKUP("industry|PM25|Asthma symptoms wheeze", US_national_yearly!$D:$AM, 10, FALSE), 1)</f>
        <v>0.140154916844177</v>
      </c>
      <c r="AA8" s="7">
        <f>$B8 * IFERROR(VLOOKUP("industry|PM25|Asthma symptoms wheeze", US_national_yearly!$D:$AM, 35, FALSE) / VLOOKUP("industry|PM25|Asthma symptoms wheeze", US_national_yearly!$D:$AM, 10, FALSE), 1)</f>
        <v>0.140154916844177</v>
      </c>
      <c r="AB8" s="7">
        <f>$B8 * IFERROR(VLOOKUP("industry|PM25|Asthma symptoms wheeze", US_national_yearly!$D:$AM, 36, FALSE) / VLOOKUP("industry|PM25|Asthma symptoms wheeze", US_national_yearly!$D:$AM, 10, FALSE), 1)</f>
        <v>0.140154916844177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1.6521909622293923E-3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1.6615713815935776E-3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1.670951800957763E-3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1.6803322203219483E-3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1.6897126396861338E-3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1.6998546423700673E-3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1.7099966450540012E-3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1.7196176105290658E-3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1.7292385760041306E-3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1.7388595414791947E-3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1.7484805069542596E-3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1.7581014724293242E-3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1.7649061118036927E-3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1.7717107511780609E-3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1.7785153905524294E-3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1.7853200299267975E-3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1.7921246693011659E-3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1.7985426472739011E-3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1.8049606252466361E-3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1.8113786032193716E-3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1.8177965811921066E-3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1.824214559164842E-3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1.8303941388668778E-3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1.8365737185689136E-3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1.8427532982709497E-3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1.8489328779729859E-3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1.8551124576750217E-3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1.0873326827590736E-2</v>
      </c>
      <c r="C13" s="7">
        <f>$B13 * IFERROR(VLOOKUP("industry|PM25|Non-fatal heart attacks", US_national_yearly!$D:$AM, 11, FALSE) / VLOOKUP("industry|PM25|Non-fatal heart attacks", US_national_yearly!$D:$AM, 10, FALSE), 1)</f>
        <v>1.1189852222592483E-2</v>
      </c>
      <c r="D13" s="7">
        <f>$B13 * IFERROR(VLOOKUP("industry|PM25|Non-fatal heart attacks", US_national_yearly!$D:$AM, 12, FALSE) / VLOOKUP("industry|PM25|Non-fatal heart attacks", US_national_yearly!$D:$AM, 10, FALSE), 1)</f>
        <v>1.1506377617594227E-2</v>
      </c>
      <c r="E13" s="7">
        <f>$B13 * IFERROR(VLOOKUP("industry|PM25|Non-fatal heart attacks", US_national_yearly!$D:$AM, 13, FALSE) / VLOOKUP("industry|PM25|Non-fatal heart attacks", US_national_yearly!$D:$AM, 10, FALSE), 1)</f>
        <v>1.1822903012595974E-2</v>
      </c>
      <c r="F13" s="7">
        <f>$B13 * IFERROR(VLOOKUP("industry|PM25|Non-fatal heart attacks", US_national_yearly!$D:$AM, 14, FALSE) / VLOOKUP("industry|PM25|Non-fatal heart attacks", US_national_yearly!$D:$AM, 10, FALSE), 1)</f>
        <v>1.213942840759772E-2</v>
      </c>
      <c r="G13" s="7">
        <f>$B13 * IFERROR(VLOOKUP("industry|PM25|Non-fatal heart attacks", US_national_yearly!$D:$AM, 15, FALSE) / VLOOKUP("industry|PM25|Non-fatal heart attacks", US_national_yearly!$D:$AM, 10, FALSE), 1)</f>
        <v>1.243825063640173E-2</v>
      </c>
      <c r="H13" s="7">
        <f>$B13 * IFERROR(VLOOKUP("industry|PM25|Non-fatal heart attacks", US_national_yearly!$D:$AM, 16, FALSE) / VLOOKUP("industry|PM25|Non-fatal heart attacks", US_national_yearly!$D:$AM, 10, FALSE), 1)</f>
        <v>1.2737072865205739E-2</v>
      </c>
      <c r="I13" s="7">
        <f>$B13 * IFERROR(VLOOKUP("industry|PM25|Non-fatal heart attacks", US_national_yearly!$D:$AM, 17, FALSE) / VLOOKUP("industry|PM25|Non-fatal heart attacks", US_national_yearly!$D:$AM, 10, FALSE), 1)</f>
        <v>1.2978374574657694E-2</v>
      </c>
      <c r="J13" s="7">
        <f>$B13 * IFERROR(VLOOKUP("industry|PM25|Non-fatal heart attacks", US_national_yearly!$D:$AM, 18, FALSE) / VLOOKUP("industry|PM25|Non-fatal heart attacks", US_national_yearly!$D:$AM, 10, FALSE), 1)</f>
        <v>1.3219676284109647E-2</v>
      </c>
      <c r="K13" s="7">
        <f>$B13 * IFERROR(VLOOKUP("industry|PM25|Non-fatal heart attacks", US_national_yearly!$D:$AM, 19, FALSE) / VLOOKUP("industry|PM25|Non-fatal heart attacks", US_national_yearly!$D:$AM, 10, FALSE), 1)</f>
        <v>1.3460977993561598E-2</v>
      </c>
      <c r="L13" s="7">
        <f>$B13 * IFERROR(VLOOKUP("industry|PM25|Non-fatal heart attacks", US_national_yearly!$D:$AM, 20, FALSE) / VLOOKUP("industry|PM25|Non-fatal heart attacks", US_national_yearly!$D:$AM, 10, FALSE), 1)</f>
        <v>1.3702279703013551E-2</v>
      </c>
      <c r="M13" s="7">
        <f>$B13 * IFERROR(VLOOKUP("industry|PM25|Non-fatal heart attacks", US_national_yearly!$D:$AM, 21, FALSE) / VLOOKUP("industry|PM25|Non-fatal heart attacks", US_national_yearly!$D:$AM, 10, FALSE), 1)</f>
        <v>1.3943581412465503E-2</v>
      </c>
      <c r="N13" s="7">
        <f>$B13 * IFERROR(VLOOKUP("industry|PM25|Non-fatal heart attacks", US_national_yearly!$D:$AM, 22, FALSE) / VLOOKUP("industry|PM25|Non-fatal heart attacks", US_national_yearly!$D:$AM, 10, FALSE), 1)</f>
        <v>1.4099596405941845E-2</v>
      </c>
      <c r="O13" s="7">
        <f>$B13 * IFERROR(VLOOKUP("industry|PM25|Non-fatal heart attacks", US_national_yearly!$D:$AM, 23, FALSE) / VLOOKUP("industry|PM25|Non-fatal heart attacks", US_national_yearly!$D:$AM, 10, FALSE), 1)</f>
        <v>1.4255611399418186E-2</v>
      </c>
      <c r="P13" s="7">
        <f>$B13 * IFERROR(VLOOKUP("industry|PM25|Non-fatal heart attacks", US_national_yearly!$D:$AM, 24, FALSE) / VLOOKUP("industry|PM25|Non-fatal heart attacks", US_national_yearly!$D:$AM, 10, FALSE), 1)</f>
        <v>1.4411626392894528E-2</v>
      </c>
      <c r="Q13" s="7">
        <f>$B13 * IFERROR(VLOOKUP("industry|PM25|Non-fatal heart attacks", US_national_yearly!$D:$AM, 25, FALSE) / VLOOKUP("industry|PM25|Non-fatal heart attacks", US_national_yearly!$D:$AM, 10, FALSE), 1)</f>
        <v>1.4567641386370867E-2</v>
      </c>
      <c r="R13" s="7">
        <f>$B13 * IFERROR(VLOOKUP("industry|PM25|Non-fatal heart attacks", US_national_yearly!$D:$AM, 26, FALSE) / VLOOKUP("industry|PM25|Non-fatal heart attacks", US_national_yearly!$D:$AM, 10, FALSE), 1)</f>
        <v>1.4723656379847209E-2</v>
      </c>
      <c r="S13" s="7">
        <f>$B13 * IFERROR(VLOOKUP("industry|PM25|Non-fatal heart attacks", US_national_yearly!$D:$AM, 27, FALSE) / VLOOKUP("industry|PM25|Non-fatal heart attacks", US_national_yearly!$D:$AM, 10, FALSE), 1)</f>
        <v>1.4806984579105028E-2</v>
      </c>
      <c r="T13" s="7">
        <f>$B13 * IFERROR(VLOOKUP("industry|PM25|Non-fatal heart attacks", US_national_yearly!$D:$AM, 28, FALSE) / VLOOKUP("industry|PM25|Non-fatal heart attacks", US_national_yearly!$D:$AM, 10, FALSE), 1)</f>
        <v>1.4890312778362853E-2</v>
      </c>
      <c r="U13" s="7">
        <f>$B13 * IFERROR(VLOOKUP("industry|PM25|Non-fatal heart attacks", US_national_yearly!$D:$AM, 29, FALSE) / VLOOKUP("industry|PM25|Non-fatal heart attacks", US_national_yearly!$D:$AM, 10, FALSE), 1)</f>
        <v>1.4973640977620675E-2</v>
      </c>
      <c r="V13" s="7">
        <f>$B13 * IFERROR(VLOOKUP("industry|PM25|Non-fatal heart attacks", US_national_yearly!$D:$AM, 30, FALSE) / VLOOKUP("industry|PM25|Non-fatal heart attacks", US_national_yearly!$D:$AM, 10, FALSE), 1)</f>
        <v>1.5056969176878496E-2</v>
      </c>
      <c r="W13" s="7">
        <f>$B13 * IFERROR(VLOOKUP("industry|PM25|Non-fatal heart attacks", US_national_yearly!$D:$AM, 31, FALSE) / VLOOKUP("industry|PM25|Non-fatal heart attacks", US_national_yearly!$D:$AM, 10, FALSE), 1)</f>
        <v>1.514029737613632E-2</v>
      </c>
      <c r="X13" s="7">
        <f>$B13 * IFERROR(VLOOKUP("industry|PM25|Non-fatal heart attacks", US_national_yearly!$D:$AM, 32, FALSE) / VLOOKUP("industry|PM25|Non-fatal heart attacks", US_national_yearly!$D:$AM, 10, FALSE), 1)</f>
        <v>1.5204609542590909E-2</v>
      </c>
      <c r="Y13" s="7">
        <f>$B13 * IFERROR(VLOOKUP("industry|PM25|Non-fatal heart attacks", US_national_yearly!$D:$AM, 33, FALSE) / VLOOKUP("industry|PM25|Non-fatal heart attacks", US_national_yearly!$D:$AM, 10, FALSE), 1)</f>
        <v>1.5268921709045494E-2</v>
      </c>
      <c r="Z13" s="7">
        <f>$B13 * IFERROR(VLOOKUP("industry|PM25|Non-fatal heart attacks", US_national_yearly!$D:$AM, 34, FALSE) / VLOOKUP("industry|PM25|Non-fatal heart attacks", US_national_yearly!$D:$AM, 10, FALSE), 1)</f>
        <v>1.5333233875500082E-2</v>
      </c>
      <c r="AA13" s="7">
        <f>$B13 * IFERROR(VLOOKUP("industry|PM25|Non-fatal heart attacks", US_national_yearly!$D:$AM, 35, FALSE) / VLOOKUP("industry|PM25|Non-fatal heart attacks", US_national_yearly!$D:$AM, 10, FALSE), 1)</f>
        <v>1.539754604195467E-2</v>
      </c>
      <c r="AB13" s="7">
        <f>$B13 * IFERROR(VLOOKUP("industry|PM25|Non-fatal heart attacks", US_national_yearly!$D:$AM, 36, FALSE) / VLOOKUP("industry|PM25|Non-fatal heart attacks", US_national_yearly!$D:$AM, 10, FALSE), 1)</f>
        <v>1.5461858208409259E-2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8.8247046608049882</v>
      </c>
      <c r="C14" s="7">
        <f>$B14 * IFERROR(VLOOKUP("industry|PM25|Minor restricted activity days", US_national_yearly!$D:$AM, 11, FALSE) / VLOOKUP("industry|PM25|Minor restricted activity days", US_national_yearly!$D:$AM, 10, FALSE), 1)</f>
        <v>8.8463178252651282</v>
      </c>
      <c r="D14" s="7">
        <f>$B14 * IFERROR(VLOOKUP("industry|PM25|Minor restricted activity days", US_national_yearly!$D:$AM, 12, FALSE) / VLOOKUP("industry|PM25|Minor restricted activity days", US_national_yearly!$D:$AM, 10, FALSE), 1)</f>
        <v>8.8679309897252718</v>
      </c>
      <c r="E14" s="7">
        <f>$B14 * IFERROR(VLOOKUP("industry|PM25|Minor restricted activity days", US_national_yearly!$D:$AM, 13, FALSE) / VLOOKUP("industry|PM25|Minor restricted activity days", US_national_yearly!$D:$AM, 10, FALSE), 1)</f>
        <v>8.8895441541854119</v>
      </c>
      <c r="F14" s="7">
        <f>$B14 * IFERROR(VLOOKUP("industry|PM25|Minor restricted activity days", US_national_yearly!$D:$AM, 14, FALSE) / VLOOKUP("industry|PM25|Minor restricted activity days", US_national_yearly!$D:$AM, 10, FALSE), 1)</f>
        <v>8.9111573186455519</v>
      </c>
      <c r="G14" s="7">
        <f>$B14 * IFERROR(VLOOKUP("industry|PM25|Minor restricted activity days", US_national_yearly!$D:$AM, 15, FALSE) / VLOOKUP("industry|PM25|Minor restricted activity days", US_national_yearly!$D:$AM, 10, FALSE), 1)</f>
        <v>8.9428819313141901</v>
      </c>
      <c r="H14" s="7">
        <f>$B14 * IFERROR(VLOOKUP("industry|PM25|Minor restricted activity days", US_national_yearly!$D:$AM, 16, FALSE) / VLOOKUP("industry|PM25|Minor restricted activity days", US_national_yearly!$D:$AM, 10, FALSE), 1)</f>
        <v>8.9746065439828246</v>
      </c>
      <c r="I14" s="7">
        <f>$B14 * IFERROR(VLOOKUP("industry|PM25|Minor restricted activity days", US_national_yearly!$D:$AM, 17, FALSE) / VLOOKUP("industry|PM25|Minor restricted activity days", US_national_yearly!$D:$AM, 10, FALSE), 1)</f>
        <v>9.0284985036392822</v>
      </c>
      <c r="J14" s="7">
        <f>$B14 * IFERROR(VLOOKUP("industry|PM25|Minor restricted activity days", US_national_yearly!$D:$AM, 18, FALSE) / VLOOKUP("industry|PM25|Minor restricted activity days", US_national_yearly!$D:$AM, 10, FALSE), 1)</f>
        <v>9.0823904632957433</v>
      </c>
      <c r="K14" s="7">
        <f>$B14 * IFERROR(VLOOKUP("industry|PM25|Minor restricted activity days", US_national_yearly!$D:$AM, 19, FALSE) / VLOOKUP("industry|PM25|Minor restricted activity days", US_national_yearly!$D:$AM, 10, FALSE), 1)</f>
        <v>9.1362824229521991</v>
      </c>
      <c r="L14" s="7">
        <f>$B14 * IFERROR(VLOOKUP("industry|PM25|Minor restricted activity days", US_national_yearly!$D:$AM, 20, FALSE) / VLOOKUP("industry|PM25|Minor restricted activity days", US_national_yearly!$D:$AM, 10, FALSE), 1)</f>
        <v>9.1901743826086566</v>
      </c>
      <c r="M14" s="7">
        <f>$B14 * IFERROR(VLOOKUP("industry|PM25|Minor restricted activity days", US_national_yearly!$D:$AM, 21, FALSE) / VLOOKUP("industry|PM25|Minor restricted activity days", US_national_yearly!$D:$AM, 10, FALSE), 1)</f>
        <v>9.2440663422651141</v>
      </c>
      <c r="N14" s="7">
        <f>$B14 * IFERROR(VLOOKUP("industry|PM25|Minor restricted activity days", US_national_yearly!$D:$AM, 22, FALSE) / VLOOKUP("industry|PM25|Minor restricted activity days", US_national_yearly!$D:$AM, 10, FALSE), 1)</f>
        <v>9.317688080498062</v>
      </c>
      <c r="O14" s="7">
        <f>$B14 * IFERROR(VLOOKUP("industry|PM25|Minor restricted activity days", US_national_yearly!$D:$AM, 23, FALSE) / VLOOKUP("industry|PM25|Minor restricted activity days", US_national_yearly!$D:$AM, 10, FALSE), 1)</f>
        <v>9.3913098187310151</v>
      </c>
      <c r="P14" s="7">
        <f>$B14 * IFERROR(VLOOKUP("industry|PM25|Minor restricted activity days", US_national_yearly!$D:$AM, 24, FALSE) / VLOOKUP("industry|PM25|Minor restricted activity days", US_national_yearly!$D:$AM, 10, FALSE), 1)</f>
        <v>9.4649315569639629</v>
      </c>
      <c r="Q14" s="7">
        <f>$B14 * IFERROR(VLOOKUP("industry|PM25|Minor restricted activity days", US_national_yearly!$D:$AM, 25, FALSE) / VLOOKUP("industry|PM25|Minor restricted activity days", US_national_yearly!$D:$AM, 10, FALSE), 1)</f>
        <v>9.5385532951969179</v>
      </c>
      <c r="R14" s="7">
        <f>$B14 * IFERROR(VLOOKUP("industry|PM25|Minor restricted activity days", US_national_yearly!$D:$AM, 26, FALSE) / VLOOKUP("industry|PM25|Minor restricted activity days", US_national_yearly!$D:$AM, 10, FALSE), 1)</f>
        <v>9.6121750334298657</v>
      </c>
      <c r="S14" s="7">
        <f>$B14 * IFERROR(VLOOKUP("industry|PM25|Minor restricted activity days", US_national_yearly!$D:$AM, 27, FALSE) / VLOOKUP("industry|PM25|Minor restricted activity days", US_national_yearly!$D:$AM, 10, FALSE), 1)</f>
        <v>9.6865035691430919</v>
      </c>
      <c r="T14" s="7">
        <f>$B14 * IFERROR(VLOOKUP("industry|PM25|Minor restricted activity days", US_national_yearly!$D:$AM, 28, FALSE) / VLOOKUP("industry|PM25|Minor restricted activity days", US_national_yearly!$D:$AM, 10, FALSE), 1)</f>
        <v>9.7608321048563198</v>
      </c>
      <c r="U14" s="7">
        <f>$B14 * IFERROR(VLOOKUP("industry|PM25|Minor restricted activity days", US_national_yearly!$D:$AM, 29, FALSE) / VLOOKUP("industry|PM25|Minor restricted activity days", US_national_yearly!$D:$AM, 10, FALSE), 1)</f>
        <v>9.835160640569546</v>
      </c>
      <c r="V14" s="7">
        <f>$B14 * IFERROR(VLOOKUP("industry|PM25|Minor restricted activity days", US_national_yearly!$D:$AM, 30, FALSE) / VLOOKUP("industry|PM25|Minor restricted activity days", US_national_yearly!$D:$AM, 10, FALSE), 1)</f>
        <v>9.9094891762827721</v>
      </c>
      <c r="W14" s="7">
        <f>$B14 * IFERROR(VLOOKUP("industry|PM25|Minor restricted activity days", US_national_yearly!$D:$AM, 31, FALSE) / VLOOKUP("industry|PM25|Minor restricted activity days", US_national_yearly!$D:$AM, 10, FALSE), 1)</f>
        <v>9.9838177119960001</v>
      </c>
      <c r="X14" s="7">
        <f>$B14 * IFERROR(VLOOKUP("industry|PM25|Minor restricted activity days", US_national_yearly!$D:$AM, 32, FALSE) / VLOOKUP("industry|PM25|Minor restricted activity days", US_national_yearly!$D:$AM, 10, FALSE), 1)</f>
        <v>10.048406487398374</v>
      </c>
      <c r="Y14" s="7">
        <f>$B14 * IFERROR(VLOOKUP("industry|PM25|Minor restricted activity days", US_national_yearly!$D:$AM, 33, FALSE) / VLOOKUP("industry|PM25|Minor restricted activity days", US_national_yearly!$D:$AM, 10, FALSE), 1)</f>
        <v>10.11299526280075</v>
      </c>
      <c r="Z14" s="7">
        <f>$B14 * IFERROR(VLOOKUP("industry|PM25|Minor restricted activity days", US_national_yearly!$D:$AM, 34, FALSE) / VLOOKUP("industry|PM25|Minor restricted activity days", US_national_yearly!$D:$AM, 10, FALSE), 1)</f>
        <v>10.177584038203126</v>
      </c>
      <c r="AA14" s="7">
        <f>$B14 * IFERROR(VLOOKUP("industry|PM25|Minor restricted activity days", US_national_yearly!$D:$AM, 35, FALSE) / VLOOKUP("industry|PM25|Minor restricted activity days", US_national_yearly!$D:$AM, 10, FALSE), 1)</f>
        <v>10.242172813605503</v>
      </c>
      <c r="AB14" s="7">
        <f>$B14 * IFERROR(VLOOKUP("industry|PM25|Minor restricted activity days", US_national_yearly!$D:$AM, 36, FALSE) / VLOOKUP("industry|PM25|Minor restricted activity days", US_national_yearly!$D:$AM, 10, FALSE), 1)</f>
        <v>10.306761589007879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1.4912767933882174</v>
      </c>
      <c r="C15" s="7">
        <f>$B15 * IFERROR(VLOOKUP("industry|PM25|Work loss days", US_national_yearly!$D:$AM, 11, FALSE) / VLOOKUP("industry|PM25|Work loss days", US_national_yearly!$D:$AM, 10, FALSE), 1)</f>
        <v>1.4959003501946313</v>
      </c>
      <c r="D15" s="7">
        <f>$B15 * IFERROR(VLOOKUP("industry|PM25|Work loss days", US_national_yearly!$D:$AM, 12, FALSE) / VLOOKUP("industry|PM25|Work loss days", US_national_yearly!$D:$AM, 10, FALSE), 1)</f>
        <v>1.500523907001045</v>
      </c>
      <c r="E15" s="7">
        <f>$B15 * IFERROR(VLOOKUP("industry|PM25|Work loss days", US_national_yearly!$D:$AM, 13, FALSE) / VLOOKUP("industry|PM25|Work loss days", US_national_yearly!$D:$AM, 10, FALSE), 1)</f>
        <v>1.5051474638074587</v>
      </c>
      <c r="F15" s="7">
        <f>$B15 * IFERROR(VLOOKUP("industry|PM25|Work loss days", US_national_yearly!$D:$AM, 14, FALSE) / VLOOKUP("industry|PM25|Work loss days", US_national_yearly!$D:$AM, 10, FALSE), 1)</f>
        <v>1.5097710206138724</v>
      </c>
      <c r="G15" s="7">
        <f>$B15 * IFERROR(VLOOKUP("industry|PM25|Work loss days", US_national_yearly!$D:$AM, 15, FALSE) / VLOOKUP("industry|PM25|Work loss days", US_national_yearly!$D:$AM, 10, FALSE), 1)</f>
        <v>1.5158072764663491</v>
      </c>
      <c r="H15" s="7">
        <f>$B15 * IFERROR(VLOOKUP("industry|PM25|Work loss days", US_national_yearly!$D:$AM, 16, FALSE) / VLOOKUP("industry|PM25|Work loss days", US_national_yearly!$D:$AM, 10, FALSE), 1)</f>
        <v>1.5218435323188257</v>
      </c>
      <c r="I15" s="7">
        <f>$B15 * IFERROR(VLOOKUP("industry|PM25|Work loss days", US_national_yearly!$D:$AM, 17, FALSE) / VLOOKUP("industry|PM25|Work loss days", US_national_yearly!$D:$AM, 10, FALSE), 1)</f>
        <v>1.530682532008681</v>
      </c>
      <c r="J15" s="7">
        <f>$B15 * IFERROR(VLOOKUP("industry|PM25|Work loss days", US_national_yearly!$D:$AM, 18, FALSE) / VLOOKUP("industry|PM25|Work loss days", US_national_yearly!$D:$AM, 10, FALSE), 1)</f>
        <v>1.5395215316985362</v>
      </c>
      <c r="K15" s="7">
        <f>$B15 * IFERROR(VLOOKUP("industry|PM25|Work loss days", US_national_yearly!$D:$AM, 19, FALSE) / VLOOKUP("industry|PM25|Work loss days", US_national_yearly!$D:$AM, 10, FALSE), 1)</f>
        <v>1.5483605313883912</v>
      </c>
      <c r="L15" s="7">
        <f>$B15 * IFERROR(VLOOKUP("industry|PM25|Work loss days", US_national_yearly!$D:$AM, 20, FALSE) / VLOOKUP("industry|PM25|Work loss days", US_national_yearly!$D:$AM, 10, FALSE), 1)</f>
        <v>1.5571995310782465</v>
      </c>
      <c r="M15" s="7">
        <f>$B15 * IFERROR(VLOOKUP("industry|PM25|Work loss days", US_national_yearly!$D:$AM, 21, FALSE) / VLOOKUP("industry|PM25|Work loss days", US_national_yearly!$D:$AM, 10, FALSE), 1)</f>
        <v>1.5660385307681017</v>
      </c>
      <c r="N15" s="7">
        <f>$B15 * IFERROR(VLOOKUP("industry|PM25|Work loss days", US_national_yearly!$D:$AM, 22, FALSE) / VLOOKUP("industry|PM25|Work loss days", US_national_yearly!$D:$AM, 10, FALSE), 1)</f>
        <v>1.5771921881882844</v>
      </c>
      <c r="O15" s="7">
        <f>$B15 * IFERROR(VLOOKUP("industry|PM25|Work loss days", US_national_yearly!$D:$AM, 23, FALSE) / VLOOKUP("industry|PM25|Work loss days", US_national_yearly!$D:$AM, 10, FALSE), 1)</f>
        <v>1.5883458456084671</v>
      </c>
      <c r="P15" s="7">
        <f>$B15 * IFERROR(VLOOKUP("industry|PM25|Work loss days", US_national_yearly!$D:$AM, 24, FALSE) / VLOOKUP("industry|PM25|Work loss days", US_national_yearly!$D:$AM, 10, FALSE), 1)</f>
        <v>1.5994995030286496</v>
      </c>
      <c r="Q15" s="7">
        <f>$B15 * IFERROR(VLOOKUP("industry|PM25|Work loss days", US_national_yearly!$D:$AM, 25, FALSE) / VLOOKUP("industry|PM25|Work loss days", US_national_yearly!$D:$AM, 10, FALSE), 1)</f>
        <v>1.6106531604488323</v>
      </c>
      <c r="R15" s="7">
        <f>$B15 * IFERROR(VLOOKUP("industry|PM25|Work loss days", US_national_yearly!$D:$AM, 26, FALSE) / VLOOKUP("industry|PM25|Work loss days", US_national_yearly!$D:$AM, 10, FALSE), 1)</f>
        <v>1.6218068178690146</v>
      </c>
      <c r="S15" s="7">
        <f>$B15 * IFERROR(VLOOKUP("industry|PM25|Work loss days", US_national_yearly!$D:$AM, 27, FALSE) / VLOOKUP("industry|PM25|Work loss days", US_national_yearly!$D:$AM, 10, FALSE), 1)</f>
        <v>1.6341746427109889</v>
      </c>
      <c r="T15" s="7">
        <f>$B15 * IFERROR(VLOOKUP("industry|PM25|Work loss days", US_national_yearly!$D:$AM, 28, FALSE) / VLOOKUP("industry|PM25|Work loss days", US_national_yearly!$D:$AM, 10, FALSE), 1)</f>
        <v>1.646542467552963</v>
      </c>
      <c r="U15" s="7">
        <f>$B15 * IFERROR(VLOOKUP("industry|PM25|Work loss days", US_national_yearly!$D:$AM, 29, FALSE) / VLOOKUP("industry|PM25|Work loss days", US_national_yearly!$D:$AM, 10, FALSE), 1)</f>
        <v>1.658910292394937</v>
      </c>
      <c r="V15" s="7">
        <f>$B15 * IFERROR(VLOOKUP("industry|PM25|Work loss days", US_national_yearly!$D:$AM, 30, FALSE) / VLOOKUP("industry|PM25|Work loss days", US_national_yearly!$D:$AM, 10, FALSE), 1)</f>
        <v>1.6712781172369111</v>
      </c>
      <c r="W15" s="7">
        <f>$B15 * IFERROR(VLOOKUP("industry|PM25|Work loss days", US_national_yearly!$D:$AM, 31, FALSE) / VLOOKUP("industry|PM25|Work loss days", US_national_yearly!$D:$AM, 10, FALSE), 1)</f>
        <v>1.6836459420788854</v>
      </c>
      <c r="X15" s="7">
        <f>$B15 * IFERROR(VLOOKUP("industry|PM25|Work loss days", US_national_yearly!$D:$AM, 32, FALSE) / VLOOKUP("industry|PM25|Work loss days", US_national_yearly!$D:$AM, 10, FALSE), 1)</f>
        <v>1.6946363806967455</v>
      </c>
      <c r="Y15" s="7">
        <f>$B15 * IFERROR(VLOOKUP("industry|PM25|Work loss days", US_national_yearly!$D:$AM, 33, FALSE) / VLOOKUP("industry|PM25|Work loss days", US_national_yearly!$D:$AM, 10, FALSE), 1)</f>
        <v>1.7056268193146058</v>
      </c>
      <c r="Z15" s="7">
        <f>$B15 * IFERROR(VLOOKUP("industry|PM25|Work loss days", US_national_yearly!$D:$AM, 34, FALSE) / VLOOKUP("industry|PM25|Work loss days", US_national_yearly!$D:$AM, 10, FALSE), 1)</f>
        <v>1.7166172579324661</v>
      </c>
      <c r="AA15" s="7">
        <f>$B15 * IFERROR(VLOOKUP("industry|PM25|Work loss days", US_national_yearly!$D:$AM, 35, FALSE) / VLOOKUP("industry|PM25|Work loss days", US_national_yearly!$D:$AM, 10, FALSE), 1)</f>
        <v>1.727607696550326</v>
      </c>
      <c r="AB15" s="7">
        <f>$B15 * IFERROR(VLOOKUP("industry|PM25|Work loss days", US_national_yearly!$D:$AM, 36, FALSE) / VLOOKUP("industry|PM25|Work loss days", US_national_yearly!$D:$AM, 10, FALSE), 1)</f>
        <v>1.7385981351681865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2.8146114670027501E-3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2.8987983004859401E-3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2.9829851339691297E-3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3.0671719674523197E-3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3.1513588009355093E-3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3.2320458127504618E-3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3.3127328245654134E-3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3.3820096951650532E-3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3.4512865657646925E-3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3.5205634363643327E-3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3.5898403069639724E-3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3.6591171775636122E-3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3.7053943883082132E-3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3.7516715990528133E-3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3.7979488097974138E-3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3.8442260205420143E-3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3.8905032312866149E-3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3.9152974385561982E-3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3.9400916458257806E-3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3.9648858530953639E-3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3.9896800603649463E-3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4.0144742676345296E-3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4.0315003147827879E-3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4.0485263619310452E-3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4.0655524090793026E-3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4.08257845622756E-3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4.0996045033758173E-3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3.512552277314031E-4</v>
      </c>
      <c r="C2" s="7">
        <f>$B2 * IFERROR(VLOOKUP("industry|NOx|Premature mortality", US_national_yearly!$D:$AM, 11, FALSE) / VLOOKUP("industry|NOx|Premature mortality", US_national_yearly!$D:$AM, 10, FALSE), 1)</f>
        <v>3.5644914658693026E-4</v>
      </c>
      <c r="D2" s="7">
        <f>$B2 * IFERROR(VLOOKUP("industry|NOx|Premature mortality", US_national_yearly!$D:$AM, 12, FALSE) / VLOOKUP("industry|NOx|Premature mortality", US_national_yearly!$D:$AM, 10, FALSE), 1)</f>
        <v>3.6164306544245753E-4</v>
      </c>
      <c r="E2" s="7">
        <f>$B2 * IFERROR(VLOOKUP("industry|NOx|Premature mortality", US_national_yearly!$D:$AM, 13, FALSE) / VLOOKUP("industry|NOx|Premature mortality", US_national_yearly!$D:$AM, 10, FALSE), 1)</f>
        <v>3.6683698429798469E-4</v>
      </c>
      <c r="F2" s="7">
        <f>$B2 * IFERROR(VLOOKUP("industry|NOx|Premature mortality", US_national_yearly!$D:$AM, 14, FALSE) / VLOOKUP("industry|NOx|Premature mortality", US_national_yearly!$D:$AM, 10, FALSE), 1)</f>
        <v>3.7203090315351197E-4</v>
      </c>
      <c r="G2" s="7">
        <f>$B2 * IFERROR(VLOOKUP("industry|NOx|Premature mortality", US_national_yearly!$D:$AM, 15, FALSE) / VLOOKUP("industry|NOx|Premature mortality", US_national_yearly!$D:$AM, 10, FALSE), 1)</f>
        <v>3.8134554469314297E-4</v>
      </c>
      <c r="H2" s="7">
        <f>$B2 * IFERROR(VLOOKUP("industry|NOx|Premature mortality", US_national_yearly!$D:$AM, 16, FALSE) / VLOOKUP("industry|NOx|Premature mortality", US_national_yearly!$D:$AM, 10, FALSE), 1)</f>
        <v>3.9066018623277402E-4</v>
      </c>
      <c r="I2" s="7">
        <f>$B2 * IFERROR(VLOOKUP("industry|NOx|Premature mortality", US_national_yearly!$D:$AM, 17, FALSE) / VLOOKUP("industry|NOx|Premature mortality", US_national_yearly!$D:$AM, 10, FALSE), 1)</f>
        <v>3.967029076230418E-4</v>
      </c>
      <c r="J2" s="7">
        <f>$B2 * IFERROR(VLOOKUP("industry|NOx|Premature mortality", US_national_yearly!$D:$AM, 18, FALSE) / VLOOKUP("industry|NOx|Premature mortality", US_national_yearly!$D:$AM, 10, FALSE), 1)</f>
        <v>4.0274562901330957E-4</v>
      </c>
      <c r="K2" s="7">
        <f>$B2 * IFERROR(VLOOKUP("industry|NOx|Premature mortality", US_national_yearly!$D:$AM, 19, FALSE) / VLOOKUP("industry|NOx|Premature mortality", US_national_yearly!$D:$AM, 10, FALSE), 1)</f>
        <v>4.0878835040357745E-4</v>
      </c>
      <c r="L2" s="7">
        <f>$B2 * IFERROR(VLOOKUP("industry|NOx|Premature mortality", US_national_yearly!$D:$AM, 20, FALSE) / VLOOKUP("industry|NOx|Premature mortality", US_national_yearly!$D:$AM, 10, FALSE), 1)</f>
        <v>4.1483107179384523E-4</v>
      </c>
      <c r="M2" s="7">
        <f>$B2 * IFERROR(VLOOKUP("industry|NOx|Premature mortality", US_national_yearly!$D:$AM, 21, FALSE) / VLOOKUP("industry|NOx|Premature mortality", US_national_yearly!$D:$AM, 10, FALSE), 1)</f>
        <v>4.20873793184113E-4</v>
      </c>
      <c r="N2" s="7">
        <f>$B2 * IFERROR(VLOOKUP("industry|NOx|Premature mortality", US_national_yearly!$D:$AM, 22, FALSE) / VLOOKUP("industry|NOx|Premature mortality", US_national_yearly!$D:$AM, 10, FALSE), 1)</f>
        <v>4.2537036641588738E-4</v>
      </c>
      <c r="O2" s="7">
        <f>$B2 * IFERROR(VLOOKUP("industry|NOx|Premature mortality", US_national_yearly!$D:$AM, 23, FALSE) / VLOOKUP("industry|NOx|Premature mortality", US_national_yearly!$D:$AM, 10, FALSE), 1)</f>
        <v>4.298669396476617E-4</v>
      </c>
      <c r="P2" s="7">
        <f>$B2 * IFERROR(VLOOKUP("industry|NOx|Premature mortality", US_national_yearly!$D:$AM, 24, FALSE) / VLOOKUP("industry|NOx|Premature mortality", US_national_yearly!$D:$AM, 10, FALSE), 1)</f>
        <v>4.3436351287943592E-4</v>
      </c>
      <c r="Q2" s="7">
        <f>$B2 * IFERROR(VLOOKUP("industry|NOx|Premature mortality", US_national_yearly!$D:$AM, 25, FALSE) / VLOOKUP("industry|NOx|Premature mortality", US_national_yearly!$D:$AM, 10, FALSE), 1)</f>
        <v>4.3886008611121024E-4</v>
      </c>
      <c r="R2" s="7">
        <f>$B2 * IFERROR(VLOOKUP("industry|NOx|Premature mortality", US_national_yearly!$D:$AM, 26, FALSE) / VLOOKUP("industry|NOx|Premature mortality", US_national_yearly!$D:$AM, 10, FALSE), 1)</f>
        <v>4.4335665934298456E-4</v>
      </c>
      <c r="S2" s="7">
        <f>$B2 * IFERROR(VLOOKUP("industry|NOx|Premature mortality", US_national_yearly!$D:$AM, 27, FALSE) / VLOOKUP("industry|NOx|Premature mortality", US_national_yearly!$D:$AM, 10, FALSE), 1)</f>
        <v>4.454505353178924E-4</v>
      </c>
      <c r="T2" s="7">
        <f>$B2 * IFERROR(VLOOKUP("industry|NOx|Premature mortality", US_national_yearly!$D:$AM, 28, FALSE) / VLOOKUP("industry|NOx|Premature mortality", US_national_yearly!$D:$AM, 10, FALSE), 1)</f>
        <v>4.475444112928003E-4</v>
      </c>
      <c r="U2" s="7">
        <f>$B2 * IFERROR(VLOOKUP("industry|NOx|Premature mortality", US_national_yearly!$D:$AM, 29, FALSE) / VLOOKUP("industry|NOx|Premature mortality", US_national_yearly!$D:$AM, 10, FALSE), 1)</f>
        <v>4.4963828726770814E-4</v>
      </c>
      <c r="V2" s="7">
        <f>$B2 * IFERROR(VLOOKUP("industry|NOx|Premature mortality", US_national_yearly!$D:$AM, 30, FALSE) / VLOOKUP("industry|NOx|Premature mortality", US_national_yearly!$D:$AM, 10, FALSE), 1)</f>
        <v>4.5173216324261598E-4</v>
      </c>
      <c r="W2" s="7">
        <f>$B2 * IFERROR(VLOOKUP("industry|NOx|Premature mortality", US_national_yearly!$D:$AM, 31, FALSE) / VLOOKUP("industry|NOx|Premature mortality", US_national_yearly!$D:$AM, 10, FALSE), 1)</f>
        <v>4.5382603921752376E-4</v>
      </c>
      <c r="X2" s="7">
        <f>$B2 * IFERROR(VLOOKUP("industry|NOx|Premature mortality", US_national_yearly!$D:$AM, 32, FALSE) / VLOOKUP("industry|NOx|Premature mortality", US_national_yearly!$D:$AM, 10, FALSE), 1)</f>
        <v>4.5398605991611062E-4</v>
      </c>
      <c r="Y2" s="7">
        <f>$B2 * IFERROR(VLOOKUP("industry|NOx|Premature mortality", US_national_yearly!$D:$AM, 33, FALSE) / VLOOKUP("industry|NOx|Premature mortality", US_national_yearly!$D:$AM, 10, FALSE), 1)</f>
        <v>4.5414608061469753E-4</v>
      </c>
      <c r="Z2" s="7">
        <f>$B2 * IFERROR(VLOOKUP("industry|NOx|Premature mortality", US_national_yearly!$D:$AM, 34, FALSE) / VLOOKUP("industry|NOx|Premature mortality", US_national_yearly!$D:$AM, 10, FALSE), 1)</f>
        <v>4.5430610131328439E-4</v>
      </c>
      <c r="AA2" s="7">
        <f>$B2 * IFERROR(VLOOKUP("industry|NOx|Premature mortality", US_national_yearly!$D:$AM, 35, FALSE) / VLOOKUP("industry|NOx|Premature mortality", US_national_yearly!$D:$AM, 10, FALSE), 1)</f>
        <v>4.544661220118713E-4</v>
      </c>
      <c r="AB2" s="7">
        <f>$B2 * IFERROR(VLOOKUP("industry|NOx|Premature mortality", US_national_yearly!$D:$AM, 36, FALSE) / VLOOKUP("industry|NOx|Premature mortality", US_national_yearly!$D:$AM, 10, FALSE), 1)</f>
        <v>4.5462614271045816E-4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7.9345652141914615E-7</v>
      </c>
      <c r="C3" s="7">
        <f>$B3 * IFERROR(VLOOKUP("industry|NOx|Infant mortality", US_national_yearly!$D:$AM, 11, FALSE) / VLOOKUP("industry|NOx|Infant mortality", US_national_yearly!$D:$AM, 10, FALSE), 1)</f>
        <v>7.8585772128266762E-7</v>
      </c>
      <c r="D3" s="7">
        <f>$B3 * IFERROR(VLOOKUP("industry|NOx|Infant mortality", US_national_yearly!$D:$AM, 12, FALSE) / VLOOKUP("industry|NOx|Infant mortality", US_national_yearly!$D:$AM, 10, FALSE), 1)</f>
        <v>7.7825892114618898E-7</v>
      </c>
      <c r="E3" s="7">
        <f>$B3 * IFERROR(VLOOKUP("industry|NOx|Infant mortality", US_national_yearly!$D:$AM, 13, FALSE) / VLOOKUP("industry|NOx|Infant mortality", US_national_yearly!$D:$AM, 10, FALSE), 1)</f>
        <v>7.7066012100971034E-7</v>
      </c>
      <c r="F3" s="7">
        <f>$B3 * IFERROR(VLOOKUP("industry|NOx|Infant mortality", US_national_yearly!$D:$AM, 14, FALSE) / VLOOKUP("industry|NOx|Infant mortality", US_national_yearly!$D:$AM, 10, FALSE), 1)</f>
        <v>7.630613208732317E-7</v>
      </c>
      <c r="G3" s="7">
        <f>$B3 * IFERROR(VLOOKUP("industry|NOx|Infant mortality", US_national_yearly!$D:$AM, 15, FALSE) / VLOOKUP("industry|NOx|Infant mortality", US_national_yearly!$D:$AM, 10, FALSE), 1)</f>
        <v>5.0612959717402007E-7</v>
      </c>
      <c r="H3" s="7">
        <f>$B3 * IFERROR(VLOOKUP("industry|NOx|Infant mortality", US_national_yearly!$D:$AM, 16, FALSE) / VLOOKUP("industry|NOx|Infant mortality", US_national_yearly!$D:$AM, 10, FALSE), 1)</f>
        <v>2.4919787347480855E-7</v>
      </c>
      <c r="I3" s="7">
        <f>$B3 * IFERROR(VLOOKUP("industry|NOx|Infant mortality", US_national_yearly!$D:$AM, 17, FALSE) / VLOOKUP("industry|NOx|Infant mortality", US_national_yearly!$D:$AM, 10, FALSE), 1)</f>
        <v>2.4740126440148693E-7</v>
      </c>
      <c r="J3" s="7">
        <f>$B3 * IFERROR(VLOOKUP("industry|NOx|Infant mortality", US_national_yearly!$D:$AM, 18, FALSE) / VLOOKUP("industry|NOx|Infant mortality", US_national_yearly!$D:$AM, 10, FALSE), 1)</f>
        <v>2.4560465532816542E-7</v>
      </c>
      <c r="K3" s="7">
        <f>$B3 * IFERROR(VLOOKUP("industry|NOx|Infant mortality", US_national_yearly!$D:$AM, 19, FALSE) / VLOOKUP("industry|NOx|Infant mortality", US_national_yearly!$D:$AM, 10, FALSE), 1)</f>
        <v>2.438080462548438E-7</v>
      </c>
      <c r="L3" s="7">
        <f>$B3 * IFERROR(VLOOKUP("industry|NOx|Infant mortality", US_national_yearly!$D:$AM, 20, FALSE) / VLOOKUP("industry|NOx|Infant mortality", US_national_yearly!$D:$AM, 10, FALSE), 1)</f>
        <v>2.4201143718152218E-7</v>
      </c>
      <c r="M3" s="7">
        <f>$B3 * IFERROR(VLOOKUP("industry|NOx|Infant mortality", US_national_yearly!$D:$AM, 21, FALSE) / VLOOKUP("industry|NOx|Infant mortality", US_national_yearly!$D:$AM, 10, FALSE), 1)</f>
        <v>2.4021482810820062E-7</v>
      </c>
      <c r="N3" s="7">
        <f>$B3 * IFERROR(VLOOKUP("industry|NOx|Infant mortality", US_national_yearly!$D:$AM, 22, FALSE) / VLOOKUP("industry|NOx|Infant mortality", US_national_yearly!$D:$AM, 10, FALSE), 1)</f>
        <v>2.39004353954173E-7</v>
      </c>
      <c r="O3" s="7">
        <f>$B3 * IFERROR(VLOOKUP("industry|NOx|Infant mortality", US_national_yearly!$D:$AM, 23, FALSE) / VLOOKUP("industry|NOx|Infant mortality", US_national_yearly!$D:$AM, 10, FALSE), 1)</f>
        <v>2.3779387980014541E-7</v>
      </c>
      <c r="P3" s="7">
        <f>$B3 * IFERROR(VLOOKUP("industry|NOx|Infant mortality", US_national_yearly!$D:$AM, 24, FALSE) / VLOOKUP("industry|NOx|Infant mortality", US_national_yearly!$D:$AM, 10, FALSE), 1)</f>
        <v>2.3658340564611785E-7</v>
      </c>
      <c r="Q3" s="7">
        <f>$B3 * IFERROR(VLOOKUP("industry|NOx|Infant mortality", US_national_yearly!$D:$AM, 25, FALSE) / VLOOKUP("industry|NOx|Infant mortality", US_national_yearly!$D:$AM, 10, FALSE), 1)</f>
        <v>2.3537293149209029E-7</v>
      </c>
      <c r="R3" s="7">
        <f>$B3 * IFERROR(VLOOKUP("industry|NOx|Infant mortality", US_national_yearly!$D:$AM, 26, FALSE) / VLOOKUP("industry|NOx|Infant mortality", US_national_yearly!$D:$AM, 10, FALSE), 1)</f>
        <v>2.3416245733806273E-7</v>
      </c>
      <c r="S3" s="7">
        <f>$B3 * IFERROR(VLOOKUP("industry|NOx|Infant mortality", US_national_yearly!$D:$AM, 27, FALSE) / VLOOKUP("industry|NOx|Infant mortality", US_national_yearly!$D:$AM, 10, FALSE), 1)</f>
        <v>2.3272504092110344E-7</v>
      </c>
      <c r="T3" s="7">
        <f>$B3 * IFERROR(VLOOKUP("industry|NOx|Infant mortality", US_national_yearly!$D:$AM, 28, FALSE) / VLOOKUP("industry|NOx|Infant mortality", US_national_yearly!$D:$AM, 10, FALSE), 1)</f>
        <v>2.3128762450414412E-7</v>
      </c>
      <c r="U3" s="7">
        <f>$B3 * IFERROR(VLOOKUP("industry|NOx|Infant mortality", US_national_yearly!$D:$AM, 29, FALSE) / VLOOKUP("industry|NOx|Infant mortality", US_national_yearly!$D:$AM, 10, FALSE), 1)</f>
        <v>2.2985020808718483E-7</v>
      </c>
      <c r="V3" s="7">
        <f>$B3 * IFERROR(VLOOKUP("industry|NOx|Infant mortality", US_national_yearly!$D:$AM, 30, FALSE) / VLOOKUP("industry|NOx|Infant mortality", US_national_yearly!$D:$AM, 10, FALSE), 1)</f>
        <v>2.2841279167022554E-7</v>
      </c>
      <c r="W3" s="7">
        <f>$B3 * IFERROR(VLOOKUP("industry|NOx|Infant mortality", US_national_yearly!$D:$AM, 31, FALSE) / VLOOKUP("industry|NOx|Infant mortality", US_national_yearly!$D:$AM, 10, FALSE), 1)</f>
        <v>2.2697537525326631E-7</v>
      </c>
      <c r="X3" s="7">
        <f>$B3 * IFERROR(VLOOKUP("industry|NOx|Infant mortality", US_national_yearly!$D:$AM, 32, FALSE) / VLOOKUP("industry|NOx|Infant mortality", US_national_yearly!$D:$AM, 10, FALSE), 1)</f>
        <v>2.2546592885311146E-7</v>
      </c>
      <c r="Y3" s="7">
        <f>$B3 * IFERROR(VLOOKUP("industry|NOx|Infant mortality", US_national_yearly!$D:$AM, 33, FALSE) / VLOOKUP("industry|NOx|Infant mortality", US_national_yearly!$D:$AM, 10, FALSE), 1)</f>
        <v>2.2395648245295666E-7</v>
      </c>
      <c r="Z3" s="7">
        <f>$B3 * IFERROR(VLOOKUP("industry|NOx|Infant mortality", US_national_yearly!$D:$AM, 34, FALSE) / VLOOKUP("industry|NOx|Infant mortality", US_national_yearly!$D:$AM, 10, FALSE), 1)</f>
        <v>2.2244703605280187E-7</v>
      </c>
      <c r="AA3" s="7">
        <f>$B3 * IFERROR(VLOOKUP("industry|NOx|Infant mortality", US_national_yearly!$D:$AM, 35, FALSE) / VLOOKUP("industry|NOx|Infant mortality", US_national_yearly!$D:$AM, 10, FALSE), 1)</f>
        <v>2.2093758965264705E-7</v>
      </c>
      <c r="AB3" s="7">
        <f>$B3 * IFERROR(VLOOKUP("industry|NOx|Infant mortality", US_national_yearly!$D:$AM, 36, FALSE) / VLOOKUP("industry|NOx|Infant mortality", US_national_yearly!$D:$AM, 10, FALSE), 1)</f>
        <v>2.1942814325249225E-7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9.0678076423331719E-4</v>
      </c>
      <c r="C6" s="7">
        <f>$B6 * IFERROR(VLOOKUP("industry|NOx|Asthma symptoms cough", US_national_yearly!$D:$AM, 11, FALSE) / VLOOKUP("industry|NOx|Asthma symptoms cough", US_national_yearly!$D:$AM, 10, FALSE), 1)</f>
        <v>9.1918583277509594E-4</v>
      </c>
      <c r="D6" s="7">
        <f>$B6 * IFERROR(VLOOKUP("industry|NOx|Asthma symptoms cough", US_national_yearly!$D:$AM, 12, FALSE) / VLOOKUP("industry|NOx|Asthma symptoms cough", US_national_yearly!$D:$AM, 10, FALSE), 1)</f>
        <v>9.315909013168748E-4</v>
      </c>
      <c r="E6" s="7">
        <f>$B6 * IFERROR(VLOOKUP("industry|NOx|Asthma symptoms cough", US_national_yearly!$D:$AM, 13, FALSE) / VLOOKUP("industry|NOx|Asthma symptoms cough", US_national_yearly!$D:$AM, 10, FALSE), 1)</f>
        <v>9.4399596985865356E-4</v>
      </c>
      <c r="F6" s="7">
        <f>$B6 * IFERROR(VLOOKUP("industry|NOx|Asthma symptoms cough", US_national_yearly!$D:$AM, 14, FALSE) / VLOOKUP("industry|NOx|Asthma symptoms cough", US_national_yearly!$D:$AM, 10, FALSE), 1)</f>
        <v>9.5640103840043242E-4</v>
      </c>
      <c r="G6" s="7">
        <f>$B6 * IFERROR(VLOOKUP("industry|NOx|Asthma symptoms cough", US_national_yearly!$D:$AM, 15, FALSE) / VLOOKUP("industry|NOx|Asthma symptoms cough", US_national_yearly!$D:$AM, 10, FALSE), 1)</f>
        <v>9.663479788802556E-4</v>
      </c>
      <c r="H6" s="7">
        <f>$B6 * IFERROR(VLOOKUP("industry|NOx|Asthma symptoms cough", US_national_yearly!$D:$AM, 16, FALSE) / VLOOKUP("industry|NOx|Asthma symptoms cough", US_national_yearly!$D:$AM, 10, FALSE), 1)</f>
        <v>9.7629491936007901E-4</v>
      </c>
      <c r="I6" s="7">
        <f>$B6 * IFERROR(VLOOKUP("industry|NOx|Asthma symptoms cough", US_national_yearly!$D:$AM, 17, FALSE) / VLOOKUP("industry|NOx|Asthma symptoms cough", US_national_yearly!$D:$AM, 10, FALSE), 1)</f>
        <v>9.7975654282735016E-4</v>
      </c>
      <c r="J6" s="7">
        <f>$B6 * IFERROR(VLOOKUP("industry|NOx|Asthma symptoms cough", US_national_yearly!$D:$AM, 18, FALSE) / VLOOKUP("industry|NOx|Asthma symptoms cough", US_national_yearly!$D:$AM, 10, FALSE), 1)</f>
        <v>9.8321816629462163E-4</v>
      </c>
      <c r="K6" s="7">
        <f>$B6 * IFERROR(VLOOKUP("industry|NOx|Asthma symptoms cough", US_national_yearly!$D:$AM, 19, FALSE) / VLOOKUP("industry|NOx|Asthma symptoms cough", US_national_yearly!$D:$AM, 10, FALSE), 1)</f>
        <v>9.8667978976189267E-4</v>
      </c>
      <c r="L6" s="7">
        <f>$B6 * IFERROR(VLOOKUP("industry|NOx|Asthma symptoms cough", US_national_yearly!$D:$AM, 20, FALSE) / VLOOKUP("industry|NOx|Asthma symptoms cough", US_national_yearly!$D:$AM, 10, FALSE), 1)</f>
        <v>9.9014141322916415E-4</v>
      </c>
      <c r="M6" s="7">
        <f>$B6 * IFERROR(VLOOKUP("industry|NOx|Asthma symptoms cough", US_national_yearly!$D:$AM, 21, FALSE) / VLOOKUP("industry|NOx|Asthma symptoms cough", US_national_yearly!$D:$AM, 10, FALSE), 1)</f>
        <v>9.9360303669643541E-4</v>
      </c>
      <c r="N6" s="7">
        <f>$B6 * IFERROR(VLOOKUP("industry|NOx|Asthma symptoms cough", US_national_yearly!$D:$AM, 22, FALSE) / VLOOKUP("industry|NOx|Asthma symptoms cough", US_national_yearly!$D:$AM, 10, FALSE), 1)</f>
        <v>9.9755457438205201E-4</v>
      </c>
      <c r="O6" s="7">
        <f>$B6 * IFERROR(VLOOKUP("industry|NOx|Asthma symptoms cough", US_national_yearly!$D:$AM, 23, FALSE) / VLOOKUP("industry|NOx|Asthma symptoms cough", US_national_yearly!$D:$AM, 10, FALSE), 1)</f>
        <v>1.0015061120676684E-3</v>
      </c>
      <c r="P6" s="7">
        <f>$B6 * IFERROR(VLOOKUP("industry|NOx|Asthma symptoms cough", US_national_yearly!$D:$AM, 24, FALSE) / VLOOKUP("industry|NOx|Asthma symptoms cough", US_national_yearly!$D:$AM, 10, FALSE), 1)</f>
        <v>1.0054576497532852E-3</v>
      </c>
      <c r="Q6" s="7">
        <f>$B6 * IFERROR(VLOOKUP("industry|NOx|Asthma symptoms cough", US_national_yearly!$D:$AM, 25, FALSE) / VLOOKUP("industry|NOx|Asthma symptoms cough", US_national_yearly!$D:$AM, 10, FALSE), 1)</f>
        <v>1.0094091874389018E-3</v>
      </c>
      <c r="R6" s="7">
        <f>$B6 * IFERROR(VLOOKUP("industry|NOx|Asthma symptoms cough", US_national_yearly!$D:$AM, 26, FALSE) / VLOOKUP("industry|NOx|Asthma symptoms cough", US_national_yearly!$D:$AM, 10, FALSE), 1)</f>
        <v>1.0133607251245184E-3</v>
      </c>
      <c r="S6" s="7">
        <f>$B6 * IFERROR(VLOOKUP("industry|NOx|Asthma symptoms cough", US_national_yearly!$D:$AM, 27, FALSE) / VLOOKUP("industry|NOx|Asthma symptoms cough", US_national_yearly!$D:$AM, 10, FALSE), 1)</f>
        <v>1.0184580338991897E-3</v>
      </c>
      <c r="T6" s="7">
        <f>$B6 * IFERROR(VLOOKUP("industry|NOx|Asthma symptoms cough", US_national_yearly!$D:$AM, 28, FALSE) / VLOOKUP("industry|NOx|Asthma symptoms cough", US_national_yearly!$D:$AM, 10, FALSE), 1)</f>
        <v>1.0235553426738609E-3</v>
      </c>
      <c r="U6" s="7">
        <f>$B6 * IFERROR(VLOOKUP("industry|NOx|Asthma symptoms cough", US_national_yearly!$D:$AM, 29, FALSE) / VLOOKUP("industry|NOx|Asthma symptoms cough", US_national_yearly!$D:$AM, 10, FALSE), 1)</f>
        <v>1.0286526514485322E-3</v>
      </c>
      <c r="V6" s="7">
        <f>$B6 * IFERROR(VLOOKUP("industry|NOx|Asthma symptoms cough", US_national_yearly!$D:$AM, 30, FALSE) / VLOOKUP("industry|NOx|Asthma symptoms cough", US_national_yearly!$D:$AM, 10, FALSE), 1)</f>
        <v>1.0337499602232033E-3</v>
      </c>
      <c r="W6" s="7">
        <f>$B6 * IFERROR(VLOOKUP("industry|NOx|Asthma symptoms cough", US_national_yearly!$D:$AM, 31, FALSE) / VLOOKUP("industry|NOx|Asthma symptoms cough", US_national_yearly!$D:$AM, 10, FALSE), 1)</f>
        <v>1.0388472689978748E-3</v>
      </c>
      <c r="X6" s="7">
        <f>$B6 * IFERROR(VLOOKUP("industry|NOx|Asthma symptoms cough", US_national_yearly!$D:$AM, 32, FALSE) / VLOOKUP("industry|NOx|Asthma symptoms cough", US_national_yearly!$D:$AM, 10, FALSE), 1)</f>
        <v>1.0435728662079929E-3</v>
      </c>
      <c r="Y6" s="7">
        <f>$B6 * IFERROR(VLOOKUP("industry|NOx|Asthma symptoms cough", US_national_yearly!$D:$AM, 33, FALSE) / VLOOKUP("industry|NOx|Asthma symptoms cough", US_national_yearly!$D:$AM, 10, FALSE), 1)</f>
        <v>1.0482984634181106E-3</v>
      </c>
      <c r="Z6" s="7">
        <f>$B6 * IFERROR(VLOOKUP("industry|NOx|Asthma symptoms cough", US_national_yearly!$D:$AM, 34, FALSE) / VLOOKUP("industry|NOx|Asthma symptoms cough", US_national_yearly!$D:$AM, 10, FALSE), 1)</f>
        <v>1.0530240606282286E-3</v>
      </c>
      <c r="AA6" s="7">
        <f>$B6 * IFERROR(VLOOKUP("industry|NOx|Asthma symptoms cough", US_national_yearly!$D:$AM, 35, FALSE) / VLOOKUP("industry|NOx|Asthma symptoms cough", US_national_yearly!$D:$AM, 10, FALSE), 1)</f>
        <v>1.0577496578383463E-3</v>
      </c>
      <c r="AB6" s="7">
        <f>$B6 * IFERROR(VLOOKUP("industry|NOx|Asthma symptoms cough", US_national_yearly!$D:$AM, 36, FALSE) / VLOOKUP("industry|NOx|Asthma symptoms cough", US_national_yearly!$D:$AM, 10, FALSE), 1)</f>
        <v>1.0624752550484643E-3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1.2211084457054377E-3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1.2378136235513936E-3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1.2545188013973498E-3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1.2712239792433057E-3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1.2879291570892621E-3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1.3013241181018926E-3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1.3147190791145233E-3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1.3193806442499808E-3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1.3240422093854381E-3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1.3287037745208956E-3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1.3333653396563536E-3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1.3380269047918109E-3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1.3433482086632551E-3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1.3486695125346994E-3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1.3539908164061439E-3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1.3593121202775886E-3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1.3646334241490328E-3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1.3714976707250746E-3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1.3783619173011166E-3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1.3852261638771586E-3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1.3920904104532006E-3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1.3989546570292422E-3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1.4053183414486931E-3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1.4116820258681438E-3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1.4180457102875945E-3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1.4244093947070452E-3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1.4307730791264959E-3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1.8656589932165473E-3</v>
      </c>
      <c r="C8" s="7">
        <f>$B8 * IFERROR(VLOOKUP("industry|NOx|Asthma symptoms wheeze", US_national_yearly!$D:$AM, 11, FALSE) / VLOOKUP("industry|NOx|Asthma symptoms wheeze", US_national_yearly!$D:$AM, 10, FALSE), 1)</f>
        <v>1.8911818413127163E-3</v>
      </c>
      <c r="D8" s="7">
        <f>$B8 * IFERROR(VLOOKUP("industry|NOx|Asthma symptoms wheeze", US_national_yearly!$D:$AM, 12, FALSE) / VLOOKUP("industry|NOx|Asthma symptoms wheeze", US_national_yearly!$D:$AM, 10, FALSE), 1)</f>
        <v>1.9167046894088854E-3</v>
      </c>
      <c r="E8" s="7">
        <f>$B8 * IFERROR(VLOOKUP("industry|NOx|Asthma symptoms wheeze", US_national_yearly!$D:$AM, 13, FALSE) / VLOOKUP("industry|NOx|Asthma symptoms wheeze", US_national_yearly!$D:$AM, 10, FALSE), 1)</f>
        <v>1.9422275375050543E-3</v>
      </c>
      <c r="F8" s="7">
        <f>$B8 * IFERROR(VLOOKUP("industry|NOx|Asthma symptoms wheeze", US_national_yearly!$D:$AM, 14, FALSE) / VLOOKUP("industry|NOx|Asthma symptoms wheeze", US_national_yearly!$D:$AM, 10, FALSE), 1)</f>
        <v>1.9677503856012231E-3</v>
      </c>
      <c r="G8" s="7">
        <f>$B8 * IFERROR(VLOOKUP("industry|NOx|Asthma symptoms wheeze", US_national_yearly!$D:$AM, 15, FALSE) / VLOOKUP("industry|NOx|Asthma symptoms wheeze", US_national_yearly!$D:$AM, 10, FALSE), 1)</f>
        <v>1.9882157502299981E-3</v>
      </c>
      <c r="H8" s="7">
        <f>$B8 * IFERROR(VLOOKUP("industry|NOx|Asthma symptoms wheeze", US_national_yearly!$D:$AM, 16, FALSE) / VLOOKUP("industry|NOx|Asthma symptoms wheeze", US_national_yearly!$D:$AM, 10, FALSE), 1)</f>
        <v>2.0086811148587727E-3</v>
      </c>
      <c r="I8" s="7">
        <f>$B8 * IFERROR(VLOOKUP("industry|NOx|Asthma symptoms wheeze", US_national_yearly!$D:$AM, 17, FALSE) / VLOOKUP("industry|NOx|Asthma symptoms wheeze", US_national_yearly!$D:$AM, 10, FALSE), 1)</f>
        <v>2.0158032431824009E-3</v>
      </c>
      <c r="J8" s="7">
        <f>$B8 * IFERROR(VLOOKUP("industry|NOx|Asthma symptoms wheeze", US_national_yearly!$D:$AM, 18, FALSE) / VLOOKUP("industry|NOx|Asthma symptoms wheeze", US_national_yearly!$D:$AM, 10, FALSE), 1)</f>
        <v>2.0229253715060283E-3</v>
      </c>
      <c r="K8" s="7">
        <f>$B8 * IFERROR(VLOOKUP("industry|NOx|Asthma symptoms wheeze", US_national_yearly!$D:$AM, 19, FALSE) / VLOOKUP("industry|NOx|Asthma symptoms wheeze", US_national_yearly!$D:$AM, 10, FALSE), 1)</f>
        <v>2.0300474998296565E-3</v>
      </c>
      <c r="L8" s="7">
        <f>$B8 * IFERROR(VLOOKUP("industry|NOx|Asthma symptoms wheeze", US_national_yearly!$D:$AM, 20, FALSE) / VLOOKUP("industry|NOx|Asthma symptoms wheeze", US_national_yearly!$D:$AM, 10, FALSE), 1)</f>
        <v>2.0371696281532839E-3</v>
      </c>
      <c r="M8" s="7">
        <f>$B8 * IFERROR(VLOOKUP("industry|NOx|Asthma symptoms wheeze", US_national_yearly!$D:$AM, 21, FALSE) / VLOOKUP("industry|NOx|Asthma symptoms wheeze", US_national_yearly!$D:$AM, 10, FALSE), 1)</f>
        <v>2.0442917564769117E-3</v>
      </c>
      <c r="N8" s="7">
        <f>$B8 * IFERROR(VLOOKUP("industry|NOx|Asthma symptoms wheeze", US_national_yearly!$D:$AM, 22, FALSE) / VLOOKUP("industry|NOx|Asthma symptoms wheeze", US_national_yearly!$D:$AM, 10, FALSE), 1)</f>
        <v>2.0524218603812862E-3</v>
      </c>
      <c r="O8" s="7">
        <f>$B8 * IFERROR(VLOOKUP("industry|NOx|Asthma symptoms wheeze", US_national_yearly!$D:$AM, 23, FALSE) / VLOOKUP("industry|NOx|Asthma symptoms wheeze", US_national_yearly!$D:$AM, 10, FALSE), 1)</f>
        <v>2.0605519642856607E-3</v>
      </c>
      <c r="P8" s="7">
        <f>$B8 * IFERROR(VLOOKUP("industry|NOx|Asthma symptoms wheeze", US_national_yearly!$D:$AM, 24, FALSE) / VLOOKUP("industry|NOx|Asthma symptoms wheeze", US_national_yearly!$D:$AM, 10, FALSE), 1)</f>
        <v>2.0686820681900349E-3</v>
      </c>
      <c r="Q8" s="7">
        <f>$B8 * IFERROR(VLOOKUP("industry|NOx|Asthma symptoms wheeze", US_national_yearly!$D:$AM, 25, FALSE) / VLOOKUP("industry|NOx|Asthma symptoms wheeze", US_national_yearly!$D:$AM, 10, FALSE), 1)</f>
        <v>2.0768121720944094E-3</v>
      </c>
      <c r="R8" s="7">
        <f>$B8 * IFERROR(VLOOKUP("industry|NOx|Asthma symptoms wheeze", US_national_yearly!$D:$AM, 26, FALSE) / VLOOKUP("industry|NOx|Asthma symptoms wheeze", US_national_yearly!$D:$AM, 10, FALSE), 1)</f>
        <v>2.0849422759987839E-3</v>
      </c>
      <c r="S8" s="7">
        <f>$B8 * IFERROR(VLOOKUP("industry|NOx|Asthma symptoms wheeze", US_national_yearly!$D:$AM, 27, FALSE) / VLOOKUP("industry|NOx|Asthma symptoms wheeze", US_national_yearly!$D:$AM, 10, FALSE), 1)</f>
        <v>2.0954297503072701E-3</v>
      </c>
      <c r="T8" s="7">
        <f>$B8 * IFERROR(VLOOKUP("industry|NOx|Asthma symptoms wheeze", US_national_yearly!$D:$AM, 28, FALSE) / VLOOKUP("industry|NOx|Asthma symptoms wheeze", US_national_yearly!$D:$AM, 10, FALSE), 1)</f>
        <v>2.1059172246157558E-3</v>
      </c>
      <c r="U8" s="7">
        <f>$B8 * IFERROR(VLOOKUP("industry|NOx|Asthma symptoms wheeze", US_national_yearly!$D:$AM, 29, FALSE) / VLOOKUP("industry|NOx|Asthma symptoms wheeze", US_national_yearly!$D:$AM, 10, FALSE), 1)</f>
        <v>2.1164046989242415E-3</v>
      </c>
      <c r="V8" s="7">
        <f>$B8 * IFERROR(VLOOKUP("industry|NOx|Asthma symptoms wheeze", US_national_yearly!$D:$AM, 30, FALSE) / VLOOKUP("industry|NOx|Asthma symptoms wheeze", US_national_yearly!$D:$AM, 10, FALSE), 1)</f>
        <v>2.1268921732327272E-3</v>
      </c>
      <c r="W8" s="7">
        <f>$B8 * IFERROR(VLOOKUP("industry|NOx|Asthma symptoms wheeze", US_national_yearly!$D:$AM, 31, FALSE) / VLOOKUP("industry|NOx|Asthma symptoms wheeze", US_national_yearly!$D:$AM, 10, FALSE), 1)</f>
        <v>2.1373796475412129E-3</v>
      </c>
      <c r="X8" s="7">
        <f>$B8 * IFERROR(VLOOKUP("industry|NOx|Asthma symptoms wheeze", US_national_yearly!$D:$AM, 32, FALSE) / VLOOKUP("industry|NOx|Asthma symptoms wheeze", US_national_yearly!$D:$AM, 10, FALSE), 1)</f>
        <v>2.1471023426973051E-3</v>
      </c>
      <c r="Y8" s="7">
        <f>$B8 * IFERROR(VLOOKUP("industry|NOx|Asthma symptoms wheeze", US_national_yearly!$D:$AM, 33, FALSE) / VLOOKUP("industry|NOx|Asthma symptoms wheeze", US_national_yearly!$D:$AM, 10, FALSE), 1)</f>
        <v>2.1568250378533969E-3</v>
      </c>
      <c r="Z8" s="7">
        <f>$B8 * IFERROR(VLOOKUP("industry|NOx|Asthma symptoms wheeze", US_national_yearly!$D:$AM, 34, FALSE) / VLOOKUP("industry|NOx|Asthma symptoms wheeze", US_national_yearly!$D:$AM, 10, FALSE), 1)</f>
        <v>2.1665477330094886E-3</v>
      </c>
      <c r="AA8" s="7">
        <f>$B8 * IFERROR(VLOOKUP("industry|NOx|Asthma symptoms wheeze", US_national_yearly!$D:$AM, 35, FALSE) / VLOOKUP("industry|NOx|Asthma symptoms wheeze", US_national_yearly!$D:$AM, 10, FALSE), 1)</f>
        <v>2.1762704281655795E-3</v>
      </c>
      <c r="AB8" s="7">
        <f>$B8 * IFERROR(VLOOKUP("industry|NOx|Asthma symptoms wheeze", US_national_yearly!$D:$AM, 36, FALSE) / VLOOKUP("industry|NOx|Asthma symptoms wheeze", US_national_yearly!$D:$AM, 10, FALSE), 1)</f>
        <v>2.185993123321673E-3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2.4638328867175913E-5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2.5257325315444134E-5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2.5876321763712352E-5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2.6495318211980576E-5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2.711431466024879E-5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2.7706412288084663E-5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2.8298509915920536E-5</v>
      </c>
      <c r="I12" s="7">
        <f>$B12 * IFERROR(VLOOKUP("industry|NOx|Respiratory hospital admissions", US_national_yearly!$D:$AM, 17, FALSE) / VLOOKUP("industry|NOx|Respiratory hospital admissions", US_national_yearly!$D:$AM, 10, FALSE), 1)</f>
        <v>2.8802761448214563E-5</v>
      </c>
      <c r="J12" s="7">
        <f>$B12 * IFERROR(VLOOKUP("industry|NOx|Respiratory hospital admissions", US_national_yearly!$D:$AM, 18, FALSE) / VLOOKUP("industry|NOx|Respiratory hospital admissions", US_national_yearly!$D:$AM, 10, FALSE), 1)</f>
        <v>2.9307012980508587E-5</v>
      </c>
      <c r="K12" s="7">
        <f>$B12 * IFERROR(VLOOKUP("industry|NOx|Respiratory hospital admissions", US_national_yearly!$D:$AM, 19, FALSE) / VLOOKUP("industry|NOx|Respiratory hospital admissions", US_national_yearly!$D:$AM, 10, FALSE), 1)</f>
        <v>2.9811264512802622E-5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3.0315516045096653E-5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3.0819767577390677E-5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3.1157725520972307E-5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3.149568346455393E-5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3.183364140813556E-5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3.2171599351717183E-5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3.2509557295298813E-5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3.2693039094472621E-5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3.2876520893646428E-5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3.3060002692820229E-5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3.324348449199403E-5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3.3426966291167837E-5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3.3554901104247051E-5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3.3682835917326258E-5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3.3810770730405472E-5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3.3938705543484678E-5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3.4066640356563892E-5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1.5846828466670166E-4</v>
      </c>
      <c r="C13" s="7">
        <f>$B13 * IFERROR(VLOOKUP("industry|NOx|Non-fatal heart attacks", US_national_yearly!$D:$AM, 11, FALSE) / VLOOKUP("industry|NOx|Non-fatal heart attacks", US_national_yearly!$D:$AM, 10, FALSE), 1)</f>
        <v>1.6299587541662532E-4</v>
      </c>
      <c r="D13" s="7">
        <f>$B13 * IFERROR(VLOOKUP("industry|NOx|Non-fatal heart attacks", US_national_yearly!$D:$AM, 12, FALSE) / VLOOKUP("industry|NOx|Non-fatal heart attacks", US_national_yearly!$D:$AM, 10, FALSE), 1)</f>
        <v>1.6752346616654898E-4</v>
      </c>
      <c r="E13" s="7">
        <f>$B13 * IFERROR(VLOOKUP("industry|NOx|Non-fatal heart attacks", US_national_yearly!$D:$AM, 13, FALSE) / VLOOKUP("industry|NOx|Non-fatal heart attacks", US_national_yearly!$D:$AM, 10, FALSE), 1)</f>
        <v>1.7205105691647264E-4</v>
      </c>
      <c r="F13" s="7">
        <f>$B13 * IFERROR(VLOOKUP("industry|NOx|Non-fatal heart attacks", US_national_yearly!$D:$AM, 14, FALSE) / VLOOKUP("industry|NOx|Non-fatal heart attacks", US_national_yearly!$D:$AM, 10, FALSE), 1)</f>
        <v>1.7657864766639631E-4</v>
      </c>
      <c r="G13" s="7">
        <f>$B13 * IFERROR(VLOOKUP("industry|NOx|Non-fatal heart attacks", US_national_yearly!$D:$AM, 15, FALSE) / VLOOKUP("industry|NOx|Non-fatal heart attacks", US_national_yearly!$D:$AM, 10, FALSE), 1)</f>
        <v>1.8081326392841671E-4</v>
      </c>
      <c r="H13" s="7">
        <f>$B13 * IFERROR(VLOOKUP("industry|NOx|Non-fatal heart attacks", US_national_yearly!$D:$AM, 16, FALSE) / VLOOKUP("industry|NOx|Non-fatal heart attacks", US_national_yearly!$D:$AM, 10, FALSE), 1)</f>
        <v>1.8504788019043712E-4</v>
      </c>
      <c r="I13" s="7">
        <f>$B13 * IFERROR(VLOOKUP("industry|NOx|Non-fatal heart attacks", US_national_yearly!$D:$AM, 17, FALSE) / VLOOKUP("industry|NOx|Non-fatal heart attacks", US_national_yearly!$D:$AM, 10, FALSE), 1)</f>
        <v>1.8839701651436518E-4</v>
      </c>
      <c r="J13" s="7">
        <f>$B13 * IFERROR(VLOOKUP("industry|NOx|Non-fatal heart attacks", US_national_yearly!$D:$AM, 18, FALSE) / VLOOKUP("industry|NOx|Non-fatal heart attacks", US_national_yearly!$D:$AM, 10, FALSE), 1)</f>
        <v>1.9174615283829323E-4</v>
      </c>
      <c r="K13" s="7">
        <f>$B13 * IFERROR(VLOOKUP("industry|NOx|Non-fatal heart attacks", US_national_yearly!$D:$AM, 19, FALSE) / VLOOKUP("industry|NOx|Non-fatal heart attacks", US_national_yearly!$D:$AM, 10, FALSE), 1)</f>
        <v>1.9509528916222124E-4</v>
      </c>
      <c r="L13" s="7">
        <f>$B13 * IFERROR(VLOOKUP("industry|NOx|Non-fatal heart attacks", US_national_yearly!$D:$AM, 20, FALSE) / VLOOKUP("industry|NOx|Non-fatal heart attacks", US_national_yearly!$D:$AM, 10, FALSE), 1)</f>
        <v>1.9844442548614936E-4</v>
      </c>
      <c r="M13" s="7">
        <f>$B13 * IFERROR(VLOOKUP("industry|NOx|Non-fatal heart attacks", US_national_yearly!$D:$AM, 21, FALSE) / VLOOKUP("industry|NOx|Non-fatal heart attacks", US_national_yearly!$D:$AM, 10, FALSE), 1)</f>
        <v>2.0179356181007746E-4</v>
      </c>
      <c r="N13" s="7">
        <f>$B13 * IFERROR(VLOOKUP("industry|NOx|Non-fatal heart attacks", US_national_yearly!$D:$AM, 22, FALSE) / VLOOKUP("industry|NOx|Non-fatal heart attacks", US_national_yearly!$D:$AM, 10, FALSE), 1)</f>
        <v>2.0381125570204754E-4</v>
      </c>
      <c r="O13" s="7">
        <f>$B13 * IFERROR(VLOOKUP("industry|NOx|Non-fatal heart attacks", US_national_yearly!$D:$AM, 23, FALSE) / VLOOKUP("industry|NOx|Non-fatal heart attacks", US_national_yearly!$D:$AM, 10, FALSE), 1)</f>
        <v>2.0582894959401759E-4</v>
      </c>
      <c r="P13" s="7">
        <f>$B13 * IFERROR(VLOOKUP("industry|NOx|Non-fatal heart attacks", US_national_yearly!$D:$AM, 24, FALSE) / VLOOKUP("industry|NOx|Non-fatal heart attacks", US_national_yearly!$D:$AM, 10, FALSE), 1)</f>
        <v>2.0784664348598764E-4</v>
      </c>
      <c r="Q13" s="7">
        <f>$B13 * IFERROR(VLOOKUP("industry|NOx|Non-fatal heart attacks", US_national_yearly!$D:$AM, 25, FALSE) / VLOOKUP("industry|NOx|Non-fatal heart attacks", US_national_yearly!$D:$AM, 10, FALSE), 1)</f>
        <v>2.0986433737795769E-4</v>
      </c>
      <c r="R13" s="7">
        <f>$B13 * IFERROR(VLOOKUP("industry|NOx|Non-fatal heart attacks", US_national_yearly!$D:$AM, 26, FALSE) / VLOOKUP("industry|NOx|Non-fatal heart attacks", US_national_yearly!$D:$AM, 10, FALSE), 1)</f>
        <v>2.1188203126992774E-4</v>
      </c>
      <c r="S13" s="7">
        <f>$B13 * IFERROR(VLOOKUP("industry|NOx|Non-fatal heart attacks", US_national_yearly!$D:$AM, 27, FALSE) / VLOOKUP("industry|NOx|Non-fatal heart attacks", US_national_yearly!$D:$AM, 10, FALSE), 1)</f>
        <v>2.128077894733272E-4</v>
      </c>
      <c r="T13" s="7">
        <f>$B13 * IFERROR(VLOOKUP("industry|NOx|Non-fatal heart attacks", US_national_yearly!$D:$AM, 28, FALSE) / VLOOKUP("industry|NOx|Non-fatal heart attacks", US_national_yearly!$D:$AM, 10, FALSE), 1)</f>
        <v>2.1373354767672664E-4</v>
      </c>
      <c r="U13" s="7">
        <f>$B13 * IFERROR(VLOOKUP("industry|NOx|Non-fatal heart attacks", US_national_yearly!$D:$AM, 29, FALSE) / VLOOKUP("industry|NOx|Non-fatal heart attacks", US_national_yearly!$D:$AM, 10, FALSE), 1)</f>
        <v>2.1465930588012607E-4</v>
      </c>
      <c r="V13" s="7">
        <f>$B13 * IFERROR(VLOOKUP("industry|NOx|Non-fatal heart attacks", US_national_yearly!$D:$AM, 30, FALSE) / VLOOKUP("industry|NOx|Non-fatal heart attacks", US_national_yearly!$D:$AM, 10, FALSE), 1)</f>
        <v>2.1558506408352553E-4</v>
      </c>
      <c r="W13" s="7">
        <f>$B13 * IFERROR(VLOOKUP("industry|NOx|Non-fatal heart attacks", US_national_yearly!$D:$AM, 31, FALSE) / VLOOKUP("industry|NOx|Non-fatal heart attacks", US_national_yearly!$D:$AM, 10, FALSE), 1)</f>
        <v>2.1651082228692494E-4</v>
      </c>
      <c r="X13" s="7">
        <f>$B13 * IFERROR(VLOOKUP("industry|NOx|Non-fatal heart attacks", US_national_yearly!$D:$AM, 32, FALSE) / VLOOKUP("industry|NOx|Non-fatal heart attacks", US_national_yearly!$D:$AM, 10, FALSE), 1)</f>
        <v>2.1713560765314089E-4</v>
      </c>
      <c r="Y13" s="7">
        <f>$B13 * IFERROR(VLOOKUP("industry|NOx|Non-fatal heart attacks", US_national_yearly!$D:$AM, 33, FALSE) / VLOOKUP("industry|NOx|Non-fatal heart attacks", US_national_yearly!$D:$AM, 10, FALSE), 1)</f>
        <v>2.1776039301935681E-4</v>
      </c>
      <c r="Z13" s="7">
        <f>$B13 * IFERROR(VLOOKUP("industry|NOx|Non-fatal heart attacks", US_national_yearly!$D:$AM, 34, FALSE) / VLOOKUP("industry|NOx|Non-fatal heart attacks", US_national_yearly!$D:$AM, 10, FALSE), 1)</f>
        <v>2.1838517838557276E-4</v>
      </c>
      <c r="AA13" s="7">
        <f>$B13 * IFERROR(VLOOKUP("industry|NOx|Non-fatal heart attacks", US_national_yearly!$D:$AM, 35, FALSE) / VLOOKUP("industry|NOx|Non-fatal heart attacks", US_national_yearly!$D:$AM, 10, FALSE), 1)</f>
        <v>2.1900996375178868E-4</v>
      </c>
      <c r="AB13" s="7">
        <f>$B13 * IFERROR(VLOOKUP("industry|NOx|Non-fatal heart attacks", US_national_yearly!$D:$AM, 36, FALSE) / VLOOKUP("industry|NOx|Non-fatal heart attacks", US_national_yearly!$D:$AM, 10, FALSE), 1)</f>
        <v>2.1963474911800463E-4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0.11954372194790036</v>
      </c>
      <c r="C14" s="7">
        <f>$B14 * IFERROR(VLOOKUP("industry|NOx|Minor restricted activity days", US_national_yearly!$D:$AM, 11, FALSE) / VLOOKUP("industry|NOx|Minor restricted activity days", US_national_yearly!$D:$AM, 10, FALSE), 1)</f>
        <v>0.11972083519649965</v>
      </c>
      <c r="D14" s="7">
        <f>$B14 * IFERROR(VLOOKUP("industry|NOx|Minor restricted activity days", US_national_yearly!$D:$AM, 12, FALSE) / VLOOKUP("industry|NOx|Minor restricted activity days", US_national_yearly!$D:$AM, 10, FALSE), 1)</f>
        <v>0.11989794844509891</v>
      </c>
      <c r="E14" s="7">
        <f>$B14 * IFERROR(VLOOKUP("industry|NOx|Minor restricted activity days", US_national_yearly!$D:$AM, 13, FALSE) / VLOOKUP("industry|NOx|Minor restricted activity days", US_national_yearly!$D:$AM, 10, FALSE), 1)</f>
        <v>0.12007506169369821</v>
      </c>
      <c r="F14" s="7">
        <f>$B14 * IFERROR(VLOOKUP("industry|NOx|Minor restricted activity days", US_national_yearly!$D:$AM, 14, FALSE) / VLOOKUP("industry|NOx|Minor restricted activity days", US_national_yearly!$D:$AM, 10, FALSE), 1)</f>
        <v>0.12025217494229747</v>
      </c>
      <c r="G14" s="7">
        <f>$B14 * IFERROR(VLOOKUP("industry|NOx|Minor restricted activity days", US_national_yearly!$D:$AM, 15, FALSE) / VLOOKUP("industry|NOx|Minor restricted activity days", US_national_yearly!$D:$AM, 10, FALSE), 1)</f>
        <v>0.12057459304805132</v>
      </c>
      <c r="H14" s="7">
        <f>$B14 * IFERROR(VLOOKUP("industry|NOx|Minor restricted activity days", US_national_yearly!$D:$AM, 16, FALSE) / VLOOKUP("industry|NOx|Minor restricted activity days", US_national_yearly!$D:$AM, 10, FALSE), 1)</f>
        <v>0.12089701115380516</v>
      </c>
      <c r="I14" s="7">
        <f>$B14 * IFERROR(VLOOKUP("industry|NOx|Minor restricted activity days", US_national_yearly!$D:$AM, 17, FALSE) / VLOOKUP("industry|NOx|Minor restricted activity days", US_national_yearly!$D:$AM, 10, FALSE), 1)</f>
        <v>0.12153173709040534</v>
      </c>
      <c r="J14" s="7">
        <f>$B14 * IFERROR(VLOOKUP("industry|NOx|Minor restricted activity days", US_national_yearly!$D:$AM, 18, FALSE) / VLOOKUP("industry|NOx|Minor restricted activity days", US_national_yearly!$D:$AM, 10, FALSE), 1)</f>
        <v>0.12216646302700548</v>
      </c>
      <c r="K14" s="7">
        <f>$B14 * IFERROR(VLOOKUP("industry|NOx|Minor restricted activity days", US_national_yearly!$D:$AM, 19, FALSE) / VLOOKUP("industry|NOx|Minor restricted activity days", US_national_yearly!$D:$AM, 10, FALSE), 1)</f>
        <v>0.1228011889636056</v>
      </c>
      <c r="L14" s="7">
        <f>$B14 * IFERROR(VLOOKUP("industry|NOx|Minor restricted activity days", US_national_yearly!$D:$AM, 20, FALSE) / VLOOKUP("industry|NOx|Minor restricted activity days", US_national_yearly!$D:$AM, 10, FALSE), 1)</f>
        <v>0.12343591490020578</v>
      </c>
      <c r="M14" s="7">
        <f>$B14 * IFERROR(VLOOKUP("industry|NOx|Minor restricted activity days", US_national_yearly!$D:$AM, 21, FALSE) / VLOOKUP("industry|NOx|Minor restricted activity days", US_national_yearly!$D:$AM, 10, FALSE), 1)</f>
        <v>0.12407064083680593</v>
      </c>
      <c r="N14" s="7">
        <f>$B14 * IFERROR(VLOOKUP("industry|NOx|Minor restricted activity days", US_national_yearly!$D:$AM, 22, FALSE) / VLOOKUP("industry|NOx|Minor restricted activity days", US_national_yearly!$D:$AM, 10, FALSE), 1)</f>
        <v>0.12498468861825028</v>
      </c>
      <c r="O14" s="7">
        <f>$B14 * IFERROR(VLOOKUP("industry|NOx|Minor restricted activity days", US_national_yearly!$D:$AM, 23, FALSE) / VLOOKUP("industry|NOx|Minor restricted activity days", US_national_yearly!$D:$AM, 10, FALSE), 1)</f>
        <v>0.12589873639969465</v>
      </c>
      <c r="P14" s="7">
        <f>$B14 * IFERROR(VLOOKUP("industry|NOx|Minor restricted activity days", US_national_yearly!$D:$AM, 24, FALSE) / VLOOKUP("industry|NOx|Minor restricted activity days", US_national_yearly!$D:$AM, 10, FALSE), 1)</f>
        <v>0.12681278418113903</v>
      </c>
      <c r="Q14" s="7">
        <f>$B14 * IFERROR(VLOOKUP("industry|NOx|Minor restricted activity days", US_national_yearly!$D:$AM, 25, FALSE) / VLOOKUP("industry|NOx|Minor restricted activity days", US_national_yearly!$D:$AM, 10, FALSE), 1)</f>
        <v>0.12772683196258336</v>
      </c>
      <c r="R14" s="7">
        <f>$B14 * IFERROR(VLOOKUP("industry|NOx|Minor restricted activity days", US_national_yearly!$D:$AM, 26, FALSE) / VLOOKUP("industry|NOx|Minor restricted activity days", US_national_yearly!$D:$AM, 10, FALSE), 1)</f>
        <v>0.12864087974402774</v>
      </c>
      <c r="S14" s="7">
        <f>$B14 * IFERROR(VLOOKUP("industry|NOx|Minor restricted activity days", US_national_yearly!$D:$AM, 27, FALSE) / VLOOKUP("industry|NOx|Minor restricted activity days", US_national_yearly!$D:$AM, 10, FALSE), 1)</f>
        <v>0.12955590613594406</v>
      </c>
      <c r="T14" s="7">
        <f>$B14 * IFERROR(VLOOKUP("industry|NOx|Minor restricted activity days", US_national_yearly!$D:$AM, 28, FALSE) / VLOOKUP("industry|NOx|Minor restricted activity days", US_national_yearly!$D:$AM, 10, FALSE), 1)</f>
        <v>0.13047093252786038</v>
      </c>
      <c r="U14" s="7">
        <f>$B14 * IFERROR(VLOOKUP("industry|NOx|Minor restricted activity days", US_national_yearly!$D:$AM, 29, FALSE) / VLOOKUP("industry|NOx|Minor restricted activity days", US_national_yearly!$D:$AM, 10, FALSE), 1)</f>
        <v>0.13138595891977672</v>
      </c>
      <c r="V14" s="7">
        <f>$B14 * IFERROR(VLOOKUP("industry|NOx|Minor restricted activity days", US_national_yearly!$D:$AM, 30, FALSE) / VLOOKUP("industry|NOx|Minor restricted activity days", US_national_yearly!$D:$AM, 10, FALSE), 1)</f>
        <v>0.13230098531169304</v>
      </c>
      <c r="W14" s="7">
        <f>$B14 * IFERROR(VLOOKUP("industry|NOx|Minor restricted activity days", US_national_yearly!$D:$AM, 31, FALSE) / VLOOKUP("industry|NOx|Minor restricted activity days", US_national_yearly!$D:$AM, 10, FALSE), 1)</f>
        <v>0.13321601170360939</v>
      </c>
      <c r="X14" s="7">
        <f>$B14 * IFERROR(VLOOKUP("industry|NOx|Minor restricted activity days", US_national_yearly!$D:$AM, 32, FALSE) / VLOOKUP("industry|NOx|Minor restricted activity days", US_national_yearly!$D:$AM, 10, FALSE), 1)</f>
        <v>0.13398855513194816</v>
      </c>
      <c r="Y14" s="7">
        <f>$B14 * IFERROR(VLOOKUP("industry|NOx|Minor restricted activity days", US_national_yearly!$D:$AM, 33, FALSE) / VLOOKUP("industry|NOx|Minor restricted activity days", US_national_yearly!$D:$AM, 10, FALSE), 1)</f>
        <v>0.1347610985602869</v>
      </c>
      <c r="Z14" s="7">
        <f>$B14 * IFERROR(VLOOKUP("industry|NOx|Minor restricted activity days", US_national_yearly!$D:$AM, 34, FALSE) / VLOOKUP("industry|NOx|Minor restricted activity days", US_national_yearly!$D:$AM, 10, FALSE), 1)</f>
        <v>0.13553364198862566</v>
      </c>
      <c r="AA14" s="7">
        <f>$B14 * IFERROR(VLOOKUP("industry|NOx|Minor restricted activity days", US_national_yearly!$D:$AM, 35, FALSE) / VLOOKUP("industry|NOx|Minor restricted activity days", US_national_yearly!$D:$AM, 10, FALSE), 1)</f>
        <v>0.13630618541696443</v>
      </c>
      <c r="AB14" s="7">
        <f>$B14 * IFERROR(VLOOKUP("industry|NOx|Minor restricted activity days", US_national_yearly!$D:$AM, 36, FALSE) / VLOOKUP("industry|NOx|Minor restricted activity days", US_national_yearly!$D:$AM, 10, FALSE), 1)</f>
        <v>0.1370787288453032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2.0148292276430363E-2</v>
      </c>
      <c r="C15" s="7">
        <f>$B15 * IFERROR(VLOOKUP("industry|NOx|Work loss days", US_national_yearly!$D:$AM, 11, FALSE) / VLOOKUP("industry|NOx|Work loss days", US_national_yearly!$D:$AM, 10, FALSE), 1)</f>
        <v>2.019194711548529E-2</v>
      </c>
      <c r="D15" s="7">
        <f>$B15 * IFERROR(VLOOKUP("industry|NOx|Work loss days", US_national_yearly!$D:$AM, 12, FALSE) / VLOOKUP("industry|NOx|Work loss days", US_national_yearly!$D:$AM, 10, FALSE), 1)</f>
        <v>2.0235601954540203E-2</v>
      </c>
      <c r="E15" s="7">
        <f>$B15 * IFERROR(VLOOKUP("industry|NOx|Work loss days", US_national_yearly!$D:$AM, 13, FALSE) / VLOOKUP("industry|NOx|Work loss days", US_national_yearly!$D:$AM, 10, FALSE), 1)</f>
        <v>2.027925679359513E-2</v>
      </c>
      <c r="F15" s="7">
        <f>$B15 * IFERROR(VLOOKUP("industry|NOx|Work loss days", US_national_yearly!$D:$AM, 14, FALSE) / VLOOKUP("industry|NOx|Work loss days", US_national_yearly!$D:$AM, 10, FALSE), 1)</f>
        <v>2.0322911632650049E-2</v>
      </c>
      <c r="G15" s="7">
        <f>$B15 * IFERROR(VLOOKUP("industry|NOx|Work loss days", US_national_yearly!$D:$AM, 15, FALSE) / VLOOKUP("industry|NOx|Work loss days", US_national_yearly!$D:$AM, 10, FALSE), 1)</f>
        <v>2.0386767713235297E-2</v>
      </c>
      <c r="H15" s="7">
        <f>$B15 * IFERROR(VLOOKUP("industry|NOx|Work loss days", US_national_yearly!$D:$AM, 16, FALSE) / VLOOKUP("industry|NOx|Work loss days", US_national_yearly!$D:$AM, 10, FALSE), 1)</f>
        <v>2.0450623793820545E-2</v>
      </c>
      <c r="I15" s="7">
        <f>$B15 * IFERROR(VLOOKUP("industry|NOx|Work loss days", US_national_yearly!$D:$AM, 17, FALSE) / VLOOKUP("industry|NOx|Work loss days", US_national_yearly!$D:$AM, 10, FALSE), 1)</f>
        <v>2.0554373733768387E-2</v>
      </c>
      <c r="J15" s="7">
        <f>$B15 * IFERROR(VLOOKUP("industry|NOx|Work loss days", US_national_yearly!$D:$AM, 18, FALSE) / VLOOKUP("industry|NOx|Work loss days", US_national_yearly!$D:$AM, 10, FALSE), 1)</f>
        <v>2.0658123673716219E-2</v>
      </c>
      <c r="K15" s="7">
        <f>$B15 * IFERROR(VLOOKUP("industry|NOx|Work loss days", US_national_yearly!$D:$AM, 19, FALSE) / VLOOKUP("industry|NOx|Work loss days", US_national_yearly!$D:$AM, 10, FALSE), 1)</f>
        <v>2.0761873613664057E-2</v>
      </c>
      <c r="L15" s="7">
        <f>$B15 * IFERROR(VLOOKUP("industry|NOx|Work loss days", US_national_yearly!$D:$AM, 20, FALSE) / VLOOKUP("industry|NOx|Work loss days", US_national_yearly!$D:$AM, 10, FALSE), 1)</f>
        <v>2.0865623553611892E-2</v>
      </c>
      <c r="M15" s="7">
        <f>$B15 * IFERROR(VLOOKUP("industry|NOx|Work loss days", US_national_yearly!$D:$AM, 21, FALSE) / VLOOKUP("industry|NOx|Work loss days", US_national_yearly!$D:$AM, 10, FALSE), 1)</f>
        <v>2.0969373493559731E-2</v>
      </c>
      <c r="N15" s="7">
        <f>$B15 * IFERROR(VLOOKUP("industry|NOx|Work loss days", US_national_yearly!$D:$AM, 22, FALSE) / VLOOKUP("industry|NOx|Work loss days", US_national_yearly!$D:$AM, 10, FALSE), 1)</f>
        <v>2.1105054886936574E-2</v>
      </c>
      <c r="O15" s="7">
        <f>$B15 * IFERROR(VLOOKUP("industry|NOx|Work loss days", US_national_yearly!$D:$AM, 23, FALSE) / VLOOKUP("industry|NOx|Work loss days", US_national_yearly!$D:$AM, 10, FALSE), 1)</f>
        <v>2.1240736280313421E-2</v>
      </c>
      <c r="P15" s="7">
        <f>$B15 * IFERROR(VLOOKUP("industry|NOx|Work loss days", US_national_yearly!$D:$AM, 24, FALSE) / VLOOKUP("industry|NOx|Work loss days", US_national_yearly!$D:$AM, 10, FALSE), 1)</f>
        <v>2.1376417673690265E-2</v>
      </c>
      <c r="Q15" s="7">
        <f>$B15 * IFERROR(VLOOKUP("industry|NOx|Work loss days", US_national_yearly!$D:$AM, 25, FALSE) / VLOOKUP("industry|NOx|Work loss days", US_national_yearly!$D:$AM, 10, FALSE), 1)</f>
        <v>2.1512099067067105E-2</v>
      </c>
      <c r="R15" s="7">
        <f>$B15 * IFERROR(VLOOKUP("industry|NOx|Work loss days", US_national_yearly!$D:$AM, 26, FALSE) / VLOOKUP("industry|NOx|Work loss days", US_national_yearly!$D:$AM, 10, FALSE), 1)</f>
        <v>2.1647780460443952E-2</v>
      </c>
      <c r="S15" s="7">
        <f>$B15 * IFERROR(VLOOKUP("industry|NOx|Work loss days", US_national_yearly!$D:$AM, 27, FALSE) / VLOOKUP("industry|NOx|Work loss days", US_national_yearly!$D:$AM, 10, FALSE), 1)</f>
        <v>2.1799464039758409E-2</v>
      </c>
      <c r="T15" s="7">
        <f>$B15 * IFERROR(VLOOKUP("industry|NOx|Work loss days", US_national_yearly!$D:$AM, 28, FALSE) / VLOOKUP("industry|NOx|Work loss days", US_national_yearly!$D:$AM, 10, FALSE), 1)</f>
        <v>2.195114761907287E-2</v>
      </c>
      <c r="U15" s="7">
        <f>$B15 * IFERROR(VLOOKUP("industry|NOx|Work loss days", US_national_yearly!$D:$AM, 29, FALSE) / VLOOKUP("industry|NOx|Work loss days", US_national_yearly!$D:$AM, 10, FALSE), 1)</f>
        <v>2.2102831198387331E-2</v>
      </c>
      <c r="V15" s="7">
        <f>$B15 * IFERROR(VLOOKUP("industry|NOx|Work loss days", US_national_yearly!$D:$AM, 30, FALSE) / VLOOKUP("industry|NOx|Work loss days", US_national_yearly!$D:$AM, 10, FALSE), 1)</f>
        <v>2.2254514777701788E-2</v>
      </c>
      <c r="W15" s="7">
        <f>$B15 * IFERROR(VLOOKUP("industry|NOx|Work loss days", US_national_yearly!$D:$AM, 31, FALSE) / VLOOKUP("industry|NOx|Work loss days", US_national_yearly!$D:$AM, 10, FALSE), 1)</f>
        <v>2.2406198357016249E-2</v>
      </c>
      <c r="X15" s="7">
        <f>$B15 * IFERROR(VLOOKUP("industry|NOx|Work loss days", US_national_yearly!$D:$AM, 32, FALSE) / VLOOKUP("industry|NOx|Work loss days", US_national_yearly!$D:$AM, 10, FALSE), 1)</f>
        <v>2.2537789152035831E-2</v>
      </c>
      <c r="Y15" s="7">
        <f>$B15 * IFERROR(VLOOKUP("industry|NOx|Work loss days", US_national_yearly!$D:$AM, 33, FALSE) / VLOOKUP("industry|NOx|Work loss days", US_national_yearly!$D:$AM, 10, FALSE), 1)</f>
        <v>2.2669379947055413E-2</v>
      </c>
      <c r="Z15" s="7">
        <f>$B15 * IFERROR(VLOOKUP("industry|NOx|Work loss days", US_national_yearly!$D:$AM, 34, FALSE) / VLOOKUP("industry|NOx|Work loss days", US_national_yearly!$D:$AM, 10, FALSE), 1)</f>
        <v>2.2800970742074995E-2</v>
      </c>
      <c r="AA15" s="7">
        <f>$B15 * IFERROR(VLOOKUP("industry|NOx|Work loss days", US_national_yearly!$D:$AM, 35, FALSE) / VLOOKUP("industry|NOx|Work loss days", US_national_yearly!$D:$AM, 10, FALSE), 1)</f>
        <v>2.2932561537094578E-2</v>
      </c>
      <c r="AB15" s="7">
        <f>$B15 * IFERROR(VLOOKUP("industry|NOx|Work loss days", US_national_yearly!$D:$AM, 36, FALSE) / VLOOKUP("industry|NOx|Work loss days", US_national_yearly!$D:$AM, 10, FALSE), 1)</f>
        <v>2.306415233211416E-2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4.0777552323157695E-5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4.1974890182469426E-5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4.317222804178115E-5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4.4369565901092881E-5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4.5566903760404618E-5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4.6704882576685833E-5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4.7842861392967054E-5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4.8802259875940548E-5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4.976165835891405E-5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5.0721056841887531E-5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5.1680455324861033E-5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5.2639853807834521E-5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5.3240476738102763E-5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5.3841099668370991E-5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5.4441722598639232E-5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5.5042345528907467E-5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5.5642968459175695E-5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5.5920047629707172E-5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5.6197126800238655E-5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5.6474205970770132E-5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5.6751285141301608E-5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5.7028364311833085E-5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5.7184912106748582E-5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5.734145990166408E-5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5.749800769657957E-5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5.7654555491495061E-5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5.7811103286410565E-5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2.3252680160212977E-3</v>
      </c>
      <c r="C2" s="7">
        <f>$B2 * IFERROR(VLOOKUP("industry|SO2|Premature mortality", US_national_yearly!$D:$AM, 11, FALSE) / VLOOKUP("industry|SO2|Premature mortality", US_national_yearly!$D:$AM, 10, FALSE), 1)</f>
        <v>2.3547452124025609E-3</v>
      </c>
      <c r="D2" s="7">
        <f>$B2 * IFERROR(VLOOKUP("industry|SO2|Premature mortality", US_national_yearly!$D:$AM, 12, FALSE) / VLOOKUP("industry|SO2|Premature mortality", US_national_yearly!$D:$AM, 10, FALSE), 1)</f>
        <v>2.3842224087838241E-3</v>
      </c>
      <c r="E2" s="7">
        <f>$B2 * IFERROR(VLOOKUP("industry|SO2|Premature mortality", US_national_yearly!$D:$AM, 13, FALSE) / VLOOKUP("industry|SO2|Premature mortality", US_national_yearly!$D:$AM, 10, FALSE), 1)</f>
        <v>2.4136996051650869E-3</v>
      </c>
      <c r="F2" s="7">
        <f>$B2 * IFERROR(VLOOKUP("industry|SO2|Premature mortality", US_national_yearly!$D:$AM, 14, FALSE) / VLOOKUP("industry|SO2|Premature mortality", US_national_yearly!$D:$AM, 10, FALSE), 1)</f>
        <v>2.4431768015463502E-3</v>
      </c>
      <c r="G2" s="7">
        <f>$B2 * IFERROR(VLOOKUP("industry|SO2|Premature mortality", US_national_yearly!$D:$AM, 15, FALSE) / VLOOKUP("industry|SO2|Premature mortality", US_national_yearly!$D:$AM, 10, FALSE), 1)</f>
        <v>2.4999930250599735E-3</v>
      </c>
      <c r="H2" s="7">
        <f>$B2 * IFERROR(VLOOKUP("industry|SO2|Premature mortality", US_national_yearly!$D:$AM, 16, FALSE) / VLOOKUP("industry|SO2|Premature mortality", US_national_yearly!$D:$AM, 10, FALSE), 1)</f>
        <v>2.5568092485735968E-3</v>
      </c>
      <c r="I2" s="7">
        <f>$B2 * IFERROR(VLOOKUP("industry|SO2|Premature mortality", US_national_yearly!$D:$AM, 17, FALSE) / VLOOKUP("industry|SO2|Premature mortality", US_national_yearly!$D:$AM, 10, FALSE), 1)</f>
        <v>2.5944312888328759E-3</v>
      </c>
      <c r="J2" s="7">
        <f>$B2 * IFERROR(VLOOKUP("industry|SO2|Premature mortality", US_national_yearly!$D:$AM, 18, FALSE) / VLOOKUP("industry|SO2|Premature mortality", US_national_yearly!$D:$AM, 10, FALSE), 1)</f>
        <v>2.6320533290921547E-3</v>
      </c>
      <c r="K2" s="7">
        <f>$B2 * IFERROR(VLOOKUP("industry|SO2|Premature mortality", US_national_yearly!$D:$AM, 19, FALSE) / VLOOKUP("industry|SO2|Premature mortality", US_national_yearly!$D:$AM, 10, FALSE), 1)</f>
        <v>2.6696753693514334E-3</v>
      </c>
      <c r="L2" s="7">
        <f>$B2 * IFERROR(VLOOKUP("industry|SO2|Premature mortality", US_national_yearly!$D:$AM, 20, FALSE) / VLOOKUP("industry|SO2|Premature mortality", US_national_yearly!$D:$AM, 10, FALSE), 1)</f>
        <v>2.7072974096107125E-3</v>
      </c>
      <c r="M2" s="7">
        <f>$B2 * IFERROR(VLOOKUP("industry|SO2|Premature mortality", US_national_yearly!$D:$AM, 21, FALSE) / VLOOKUP("industry|SO2|Premature mortality", US_national_yearly!$D:$AM, 10, FALSE), 1)</f>
        <v>2.7449194498699913E-3</v>
      </c>
      <c r="N2" s="7">
        <f>$B2 * IFERROR(VLOOKUP("industry|SO2|Premature mortality", US_national_yearly!$D:$AM, 22, FALSE) / VLOOKUP("industry|SO2|Premature mortality", US_national_yearly!$D:$AM, 10, FALSE), 1)</f>
        <v>2.7743488304202576E-3</v>
      </c>
      <c r="O2" s="7">
        <f>$B2 * IFERROR(VLOOKUP("industry|SO2|Premature mortality", US_national_yearly!$D:$AM, 23, FALSE) / VLOOKUP("industry|SO2|Premature mortality", US_national_yearly!$D:$AM, 10, FALSE), 1)</f>
        <v>2.8037782109705234E-3</v>
      </c>
      <c r="P2" s="7">
        <f>$B2 * IFERROR(VLOOKUP("industry|SO2|Premature mortality", US_national_yearly!$D:$AM, 24, FALSE) / VLOOKUP("industry|SO2|Premature mortality", US_national_yearly!$D:$AM, 10, FALSE), 1)</f>
        <v>2.8332075915207897E-3</v>
      </c>
      <c r="Q2" s="7">
        <f>$B2 * IFERROR(VLOOKUP("industry|SO2|Premature mortality", US_national_yearly!$D:$AM, 25, FALSE) / VLOOKUP("industry|SO2|Premature mortality", US_national_yearly!$D:$AM, 10, FALSE), 1)</f>
        <v>2.8626369720710556E-3</v>
      </c>
      <c r="R2" s="7">
        <f>$B2 * IFERROR(VLOOKUP("industry|SO2|Premature mortality", US_national_yearly!$D:$AM, 26, FALSE) / VLOOKUP("industry|SO2|Premature mortality", US_national_yearly!$D:$AM, 10, FALSE), 1)</f>
        <v>2.8920663526213219E-3</v>
      </c>
      <c r="S2" s="7">
        <f>$B2 * IFERROR(VLOOKUP("industry|SO2|Premature mortality", US_national_yearly!$D:$AM, 27, FALSE) / VLOOKUP("industry|SO2|Premature mortality", US_national_yearly!$D:$AM, 10, FALSE), 1)</f>
        <v>2.9079565968337696E-3</v>
      </c>
      <c r="T2" s="7">
        <f>$B2 * IFERROR(VLOOKUP("industry|SO2|Premature mortality", US_national_yearly!$D:$AM, 28, FALSE) / VLOOKUP("industry|SO2|Premature mortality", US_national_yearly!$D:$AM, 10, FALSE), 1)</f>
        <v>2.9238468410462178E-3</v>
      </c>
      <c r="U2" s="7">
        <f>$B2 * IFERROR(VLOOKUP("industry|SO2|Premature mortality", US_national_yearly!$D:$AM, 29, FALSE) / VLOOKUP("industry|SO2|Premature mortality", US_national_yearly!$D:$AM, 10, FALSE), 1)</f>
        <v>2.9397370852586664E-3</v>
      </c>
      <c r="V2" s="7">
        <f>$B2 * IFERROR(VLOOKUP("industry|SO2|Premature mortality", US_national_yearly!$D:$AM, 30, FALSE) / VLOOKUP("industry|SO2|Premature mortality", US_national_yearly!$D:$AM, 10, FALSE), 1)</f>
        <v>2.9556273294711146E-3</v>
      </c>
      <c r="W2" s="7">
        <f>$B2 * IFERROR(VLOOKUP("industry|SO2|Premature mortality", US_national_yearly!$D:$AM, 31, FALSE) / VLOOKUP("industry|SO2|Premature mortality", US_national_yearly!$D:$AM, 10, FALSE), 1)</f>
        <v>2.9715175736835632E-3</v>
      </c>
      <c r="X2" s="7">
        <f>$B2 * IFERROR(VLOOKUP("industry|SO2|Premature mortality", US_national_yearly!$D:$AM, 32, FALSE) / VLOOKUP("industry|SO2|Premature mortality", US_national_yearly!$D:$AM, 10, FALSE), 1)</f>
        <v>2.9749376391115167E-3</v>
      </c>
      <c r="Y2" s="7">
        <f>$B2 * IFERROR(VLOOKUP("industry|SO2|Premature mortality", US_national_yearly!$D:$AM, 33, FALSE) / VLOOKUP("industry|SO2|Premature mortality", US_national_yearly!$D:$AM, 10, FALSE), 1)</f>
        <v>2.9783577045394702E-3</v>
      </c>
      <c r="Z2" s="7">
        <f>$B2 * IFERROR(VLOOKUP("industry|SO2|Premature mortality", US_national_yearly!$D:$AM, 34, FALSE) / VLOOKUP("industry|SO2|Premature mortality", US_national_yearly!$D:$AM, 10, FALSE), 1)</f>
        <v>2.9817777699674246E-3</v>
      </c>
      <c r="AA2" s="7">
        <f>$B2 * IFERROR(VLOOKUP("industry|SO2|Premature mortality", US_national_yearly!$D:$AM, 35, FALSE) / VLOOKUP("industry|SO2|Premature mortality", US_national_yearly!$D:$AM, 10, FALSE), 1)</f>
        <v>2.9851978353953781E-3</v>
      </c>
      <c r="AB2" s="7">
        <f>$B2 * IFERROR(VLOOKUP("industry|SO2|Premature mortality", US_national_yearly!$D:$AM, 36, FALSE) / VLOOKUP("industry|SO2|Premature mortality", US_national_yearly!$D:$AM, 10, FALSE), 1)</f>
        <v>2.988617900823332E-3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5.3783282476018367E-6</v>
      </c>
      <c r="C3" s="7">
        <f>$B3 * IFERROR(VLOOKUP("industry|SO2|Infant mortality", US_national_yearly!$D:$AM, 11, FALSE) / VLOOKUP("industry|SO2|Infant mortality", US_national_yearly!$D:$AM, 10, FALSE), 1)</f>
        <v>5.3320580749284713E-6</v>
      </c>
      <c r="D3" s="7">
        <f>$B3 * IFERROR(VLOOKUP("industry|SO2|Infant mortality", US_national_yearly!$D:$AM, 12, FALSE) / VLOOKUP("industry|SO2|Infant mortality", US_national_yearly!$D:$AM, 10, FALSE), 1)</f>
        <v>5.2857879022551066E-6</v>
      </c>
      <c r="E3" s="7">
        <f>$B3 * IFERROR(VLOOKUP("industry|SO2|Infant mortality", US_national_yearly!$D:$AM, 13, FALSE) / VLOOKUP("industry|SO2|Infant mortality", US_national_yearly!$D:$AM, 10, FALSE), 1)</f>
        <v>5.2395177295817412E-6</v>
      </c>
      <c r="F3" s="7">
        <f>$B3 * IFERROR(VLOOKUP("industry|SO2|Infant mortality", US_national_yearly!$D:$AM, 14, FALSE) / VLOOKUP("industry|SO2|Infant mortality", US_national_yearly!$D:$AM, 10, FALSE), 1)</f>
        <v>5.1932475569083757E-6</v>
      </c>
      <c r="G3" s="7">
        <f>$B3 * IFERROR(VLOOKUP("industry|SO2|Infant mortality", US_national_yearly!$D:$AM, 15, FALSE) / VLOOKUP("industry|SO2|Infant mortality", US_national_yearly!$D:$AM, 10, FALSE), 1)</f>
        <v>3.4571363103904552E-6</v>
      </c>
      <c r="H3" s="7">
        <f>$B3 * IFERROR(VLOOKUP("industry|SO2|Infant mortality", US_national_yearly!$D:$AM, 16, FALSE) / VLOOKUP("industry|SO2|Infant mortality", US_national_yearly!$D:$AM, 10, FALSE), 1)</f>
        <v>1.7210250638725351E-6</v>
      </c>
      <c r="I3" s="7">
        <f>$B3 * IFERROR(VLOOKUP("industry|SO2|Infant mortality", US_national_yearly!$D:$AM, 17, FALSE) / VLOOKUP("industry|SO2|Infant mortality", US_national_yearly!$D:$AM, 10, FALSE), 1)</f>
        <v>1.7100967015044326E-6</v>
      </c>
      <c r="J3" s="7">
        <f>$B3 * IFERROR(VLOOKUP("industry|SO2|Infant mortality", US_national_yearly!$D:$AM, 18, FALSE) / VLOOKUP("industry|SO2|Infant mortality", US_national_yearly!$D:$AM, 10, FALSE), 1)</f>
        <v>1.69916833913633E-6</v>
      </c>
      <c r="K3" s="7">
        <f>$B3 * IFERROR(VLOOKUP("industry|SO2|Infant mortality", US_national_yearly!$D:$AM, 19, FALSE) / VLOOKUP("industry|SO2|Infant mortality", US_national_yearly!$D:$AM, 10, FALSE), 1)</f>
        <v>1.6882399767682273E-6</v>
      </c>
      <c r="L3" s="7">
        <f>$B3 * IFERROR(VLOOKUP("industry|SO2|Infant mortality", US_national_yearly!$D:$AM, 20, FALSE) / VLOOKUP("industry|SO2|Infant mortality", US_national_yearly!$D:$AM, 10, FALSE), 1)</f>
        <v>1.6773116144001248E-6</v>
      </c>
      <c r="M3" s="7">
        <f>$B3 * IFERROR(VLOOKUP("industry|SO2|Infant mortality", US_national_yearly!$D:$AM, 21, FALSE) / VLOOKUP("industry|SO2|Infant mortality", US_national_yearly!$D:$AM, 10, FALSE), 1)</f>
        <v>1.6663832520320221E-6</v>
      </c>
      <c r="N3" s="7">
        <f>$B3 * IFERROR(VLOOKUP("industry|SO2|Infant mortality", US_national_yearly!$D:$AM, 22, FALSE) / VLOOKUP("industry|SO2|Infant mortality", US_national_yearly!$D:$AM, 10, FALSE), 1)</f>
        <v>1.6594568046222441E-6</v>
      </c>
      <c r="O3" s="7">
        <f>$B3 * IFERROR(VLOOKUP("industry|SO2|Infant mortality", US_national_yearly!$D:$AM, 23, FALSE) / VLOOKUP("industry|SO2|Infant mortality", US_national_yearly!$D:$AM, 10, FALSE), 1)</f>
        <v>1.6525303572124661E-6</v>
      </c>
      <c r="P3" s="7">
        <f>$B3 * IFERROR(VLOOKUP("industry|SO2|Infant mortality", US_national_yearly!$D:$AM, 24, FALSE) / VLOOKUP("industry|SO2|Infant mortality", US_national_yearly!$D:$AM, 10, FALSE), 1)</f>
        <v>1.6456039098026881E-6</v>
      </c>
      <c r="Q3" s="7">
        <f>$B3 * IFERROR(VLOOKUP("industry|SO2|Infant mortality", US_national_yearly!$D:$AM, 25, FALSE) / VLOOKUP("industry|SO2|Infant mortality", US_national_yearly!$D:$AM, 10, FALSE), 1)</f>
        <v>1.6386774623929101E-6</v>
      </c>
      <c r="R3" s="7">
        <f>$B3 * IFERROR(VLOOKUP("industry|SO2|Infant mortality", US_national_yearly!$D:$AM, 26, FALSE) / VLOOKUP("industry|SO2|Infant mortality", US_national_yearly!$D:$AM, 10, FALSE), 1)</f>
        <v>1.631751014983132E-6</v>
      </c>
      <c r="S3" s="7">
        <f>$B3 * IFERROR(VLOOKUP("industry|SO2|Infant mortality", US_national_yearly!$D:$AM, 27, FALSE) / VLOOKUP("industry|SO2|Infant mortality", US_national_yearly!$D:$AM, 10, FALSE), 1)</f>
        <v>1.6231311301963876E-6</v>
      </c>
      <c r="T3" s="7">
        <f>$B3 * IFERROR(VLOOKUP("industry|SO2|Infant mortality", US_national_yearly!$D:$AM, 28, FALSE) / VLOOKUP("industry|SO2|Infant mortality", US_national_yearly!$D:$AM, 10, FALSE), 1)</f>
        <v>1.6145112454096431E-6</v>
      </c>
      <c r="U3" s="7">
        <f>$B3 * IFERROR(VLOOKUP("industry|SO2|Infant mortality", US_national_yearly!$D:$AM, 29, FALSE) / VLOOKUP("industry|SO2|Infant mortality", US_national_yearly!$D:$AM, 10, FALSE), 1)</f>
        <v>1.6058913606228987E-6</v>
      </c>
      <c r="V3" s="7">
        <f>$B3 * IFERROR(VLOOKUP("industry|SO2|Infant mortality", US_national_yearly!$D:$AM, 30, FALSE) / VLOOKUP("industry|SO2|Infant mortality", US_national_yearly!$D:$AM, 10, FALSE), 1)</f>
        <v>1.5972714758361542E-6</v>
      </c>
      <c r="W3" s="7">
        <f>$B3 * IFERROR(VLOOKUP("industry|SO2|Infant mortality", US_national_yearly!$D:$AM, 31, FALSE) / VLOOKUP("industry|SO2|Infant mortality", US_national_yearly!$D:$AM, 10, FALSE), 1)</f>
        <v>1.5886515910494097E-6</v>
      </c>
      <c r="X3" s="7">
        <f>$B3 * IFERROR(VLOOKUP("industry|SO2|Infant mortality", US_national_yearly!$D:$AM, 32, FALSE) / VLOOKUP("industry|SO2|Infant mortality", US_national_yearly!$D:$AM, 10, FALSE), 1)</f>
        <v>1.5792843486416506E-6</v>
      </c>
      <c r="Y3" s="7">
        <f>$B3 * IFERROR(VLOOKUP("industry|SO2|Infant mortality", US_national_yearly!$D:$AM, 33, FALSE) / VLOOKUP("industry|SO2|Infant mortality", US_national_yearly!$D:$AM, 10, FALSE), 1)</f>
        <v>1.5699171062338914E-6</v>
      </c>
      <c r="Z3" s="7">
        <f>$B3 * IFERROR(VLOOKUP("industry|SO2|Infant mortality", US_national_yearly!$D:$AM, 34, FALSE) / VLOOKUP("industry|SO2|Infant mortality", US_national_yearly!$D:$AM, 10, FALSE), 1)</f>
        <v>1.5605498638261323E-6</v>
      </c>
      <c r="AA3" s="7">
        <f>$B3 * IFERROR(VLOOKUP("industry|SO2|Infant mortality", US_national_yearly!$D:$AM, 35, FALSE) / VLOOKUP("industry|SO2|Infant mortality", US_national_yearly!$D:$AM, 10, FALSE), 1)</f>
        <v>1.5511826214183731E-6</v>
      </c>
      <c r="AB3" s="7">
        <f>$B3 * IFERROR(VLOOKUP("industry|SO2|Infant mortality", US_national_yearly!$D:$AM, 36, FALSE) / VLOOKUP("industry|SO2|Infant mortality", US_national_yearly!$D:$AM, 10, FALSE), 1)</f>
        <v>1.5418153790106139E-6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6.1310062000103976E-3</v>
      </c>
      <c r="C6" s="7">
        <f>$B6 * IFERROR(VLOOKUP("industry|SO2|Asthma symptoms cough", US_national_yearly!$D:$AM, 11, FALSE) / VLOOKUP("industry|SO2|Asthma symptoms cough", US_national_yearly!$D:$AM, 10, FALSE), 1)</f>
        <v>6.1310062000103976E-3</v>
      </c>
      <c r="D6" s="7">
        <f>$B6 * IFERROR(VLOOKUP("industry|SO2|Asthma symptoms cough", US_national_yearly!$D:$AM, 12, FALSE) / VLOOKUP("industry|SO2|Asthma symptoms cough", US_national_yearly!$D:$AM, 10, FALSE), 1)</f>
        <v>6.1310062000103976E-3</v>
      </c>
      <c r="E6" s="7">
        <f>$B6 * IFERROR(VLOOKUP("industry|SO2|Asthma symptoms cough", US_national_yearly!$D:$AM, 13, FALSE) / VLOOKUP("industry|SO2|Asthma symptoms cough", US_national_yearly!$D:$AM, 10, FALSE), 1)</f>
        <v>6.1310062000103976E-3</v>
      </c>
      <c r="F6" s="7">
        <f>$B6 * IFERROR(VLOOKUP("industry|SO2|Asthma symptoms cough", US_national_yearly!$D:$AM, 14, FALSE) / VLOOKUP("industry|SO2|Asthma symptoms cough", US_national_yearly!$D:$AM, 10, FALSE), 1)</f>
        <v>6.1310062000103976E-3</v>
      </c>
      <c r="G6" s="7">
        <f>$B6 * IFERROR(VLOOKUP("industry|SO2|Asthma symptoms cough", US_national_yearly!$D:$AM, 15, FALSE) / VLOOKUP("industry|SO2|Asthma symptoms cough", US_national_yearly!$D:$AM, 10, FALSE), 1)</f>
        <v>6.1310062000103976E-3</v>
      </c>
      <c r="H6" s="7">
        <f>$B6 * IFERROR(VLOOKUP("industry|SO2|Asthma symptoms cough", US_national_yearly!$D:$AM, 16, FALSE) / VLOOKUP("industry|SO2|Asthma symptoms cough", US_national_yearly!$D:$AM, 10, FALSE), 1)</f>
        <v>6.1310062000103976E-3</v>
      </c>
      <c r="I6" s="7">
        <f>$B6 * IFERROR(VLOOKUP("industry|SO2|Asthma symptoms cough", US_national_yearly!$D:$AM, 17, FALSE) / VLOOKUP("industry|SO2|Asthma symptoms cough", US_national_yearly!$D:$AM, 10, FALSE), 1)</f>
        <v>6.1310062000103976E-3</v>
      </c>
      <c r="J6" s="7">
        <f>$B6 * IFERROR(VLOOKUP("industry|SO2|Asthma symptoms cough", US_national_yearly!$D:$AM, 18, FALSE) / VLOOKUP("industry|SO2|Asthma symptoms cough", US_national_yearly!$D:$AM, 10, FALSE), 1)</f>
        <v>6.1310062000103976E-3</v>
      </c>
      <c r="K6" s="7">
        <f>$B6 * IFERROR(VLOOKUP("industry|SO2|Asthma symptoms cough", US_national_yearly!$D:$AM, 19, FALSE) / VLOOKUP("industry|SO2|Asthma symptoms cough", US_national_yearly!$D:$AM, 10, FALSE), 1)</f>
        <v>6.1310062000103976E-3</v>
      </c>
      <c r="L6" s="7">
        <f>$B6 * IFERROR(VLOOKUP("industry|SO2|Asthma symptoms cough", US_national_yearly!$D:$AM, 20, FALSE) / VLOOKUP("industry|SO2|Asthma symptoms cough", US_national_yearly!$D:$AM, 10, FALSE), 1)</f>
        <v>6.1310062000103976E-3</v>
      </c>
      <c r="M6" s="7">
        <f>$B6 * IFERROR(VLOOKUP("industry|SO2|Asthma symptoms cough", US_national_yearly!$D:$AM, 21, FALSE) / VLOOKUP("industry|SO2|Asthma symptoms cough", US_national_yearly!$D:$AM, 10, FALSE), 1)</f>
        <v>6.1310062000103976E-3</v>
      </c>
      <c r="N6" s="7">
        <f>$B6 * IFERROR(VLOOKUP("industry|SO2|Asthma symptoms cough", US_national_yearly!$D:$AM, 22, FALSE) / VLOOKUP("industry|SO2|Asthma symptoms cough", US_national_yearly!$D:$AM, 10, FALSE), 1)</f>
        <v>6.1310062000103976E-3</v>
      </c>
      <c r="O6" s="7">
        <f>$B6 * IFERROR(VLOOKUP("industry|SO2|Asthma symptoms cough", US_national_yearly!$D:$AM, 23, FALSE) / VLOOKUP("industry|SO2|Asthma symptoms cough", US_national_yearly!$D:$AM, 10, FALSE), 1)</f>
        <v>6.1310062000103976E-3</v>
      </c>
      <c r="P6" s="7">
        <f>$B6 * IFERROR(VLOOKUP("industry|SO2|Asthma symptoms cough", US_national_yearly!$D:$AM, 24, FALSE) / VLOOKUP("industry|SO2|Asthma symptoms cough", US_national_yearly!$D:$AM, 10, FALSE), 1)</f>
        <v>6.1310062000103976E-3</v>
      </c>
      <c r="Q6" s="7">
        <f>$B6 * IFERROR(VLOOKUP("industry|SO2|Asthma symptoms cough", US_national_yearly!$D:$AM, 25, FALSE) / VLOOKUP("industry|SO2|Asthma symptoms cough", US_national_yearly!$D:$AM, 10, FALSE), 1)</f>
        <v>6.1310062000103976E-3</v>
      </c>
      <c r="R6" s="7">
        <f>$B6 * IFERROR(VLOOKUP("industry|SO2|Asthma symptoms cough", US_national_yearly!$D:$AM, 26, FALSE) / VLOOKUP("industry|SO2|Asthma symptoms cough", US_national_yearly!$D:$AM, 10, FALSE), 1)</f>
        <v>6.1310062000103976E-3</v>
      </c>
      <c r="S6" s="7">
        <f>$B6 * IFERROR(VLOOKUP("industry|SO2|Asthma symptoms cough", US_national_yearly!$D:$AM, 27, FALSE) / VLOOKUP("industry|SO2|Asthma symptoms cough", US_national_yearly!$D:$AM, 10, FALSE), 1)</f>
        <v>6.1310062000103976E-3</v>
      </c>
      <c r="T6" s="7">
        <f>$B6 * IFERROR(VLOOKUP("industry|SO2|Asthma symptoms cough", US_national_yearly!$D:$AM, 28, FALSE) / VLOOKUP("industry|SO2|Asthma symptoms cough", US_national_yearly!$D:$AM, 10, FALSE), 1)</f>
        <v>6.1310062000103976E-3</v>
      </c>
      <c r="U6" s="7">
        <f>$B6 * IFERROR(VLOOKUP("industry|SO2|Asthma symptoms cough", US_national_yearly!$D:$AM, 29, FALSE) / VLOOKUP("industry|SO2|Asthma symptoms cough", US_national_yearly!$D:$AM, 10, FALSE), 1)</f>
        <v>6.1310062000103976E-3</v>
      </c>
      <c r="V6" s="7">
        <f>$B6 * IFERROR(VLOOKUP("industry|SO2|Asthma symptoms cough", US_national_yearly!$D:$AM, 30, FALSE) / VLOOKUP("industry|SO2|Asthma symptoms cough", US_national_yearly!$D:$AM, 10, FALSE), 1)</f>
        <v>6.1310062000103976E-3</v>
      </c>
      <c r="W6" s="7">
        <f>$B6 * IFERROR(VLOOKUP("industry|SO2|Asthma symptoms cough", US_national_yearly!$D:$AM, 31, FALSE) / VLOOKUP("industry|SO2|Asthma symptoms cough", US_national_yearly!$D:$AM, 10, FALSE), 1)</f>
        <v>6.1310062000103976E-3</v>
      </c>
      <c r="X6" s="7">
        <f>$B6 * IFERROR(VLOOKUP("industry|SO2|Asthma symptoms cough", US_national_yearly!$D:$AM, 32, FALSE) / VLOOKUP("industry|SO2|Asthma symptoms cough", US_national_yearly!$D:$AM, 10, FALSE), 1)</f>
        <v>6.1310062000103976E-3</v>
      </c>
      <c r="Y6" s="7">
        <f>$B6 * IFERROR(VLOOKUP("industry|SO2|Asthma symptoms cough", US_national_yearly!$D:$AM, 33, FALSE) / VLOOKUP("industry|SO2|Asthma symptoms cough", US_national_yearly!$D:$AM, 10, FALSE), 1)</f>
        <v>6.1310062000103976E-3</v>
      </c>
      <c r="Z6" s="7">
        <f>$B6 * IFERROR(VLOOKUP("industry|SO2|Asthma symptoms cough", US_national_yearly!$D:$AM, 34, FALSE) / VLOOKUP("industry|SO2|Asthma symptoms cough", US_national_yearly!$D:$AM, 10, FALSE), 1)</f>
        <v>6.1310062000103976E-3</v>
      </c>
      <c r="AA6" s="7">
        <f>$B6 * IFERROR(VLOOKUP("industry|SO2|Asthma symptoms cough", US_national_yearly!$D:$AM, 35, FALSE) / VLOOKUP("industry|SO2|Asthma symptoms cough", US_national_yearly!$D:$AM, 10, FALSE), 1)</f>
        <v>6.1310062000103976E-3</v>
      </c>
      <c r="AB6" s="7">
        <f>$B6 * IFERROR(VLOOKUP("industry|SO2|Asthma symptoms cough", US_national_yearly!$D:$AM, 36, FALSE) / VLOOKUP("industry|SO2|Asthma symptoms cough", US_national_yearly!$D:$AM, 10, FALSE), 1)</f>
        <v>6.1310062000103976E-3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8.2562545233286575E-3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8.2562545233286575E-3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8.2562545233286575E-3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8.2562545233286575E-3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8.2562545233286575E-3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8.2562545233286575E-3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8.2562545233286575E-3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8.2562545233286575E-3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8.2562545233286575E-3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8.2562545233286575E-3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8.2562545233286575E-3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8.2562545233286575E-3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8.2562545233286575E-3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8.2562545233286575E-3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8.2562545233286575E-3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8.2562545233286575E-3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8.2562545233286575E-3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8.2562545233286575E-3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8.2562545233286575E-3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8.2562545233286575E-3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8.2562545233286575E-3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8.2562545233286575E-3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8.2562545233286575E-3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8.2562545233286575E-3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8.2562545233286575E-3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8.2562545233286575E-3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8.2562545233286575E-3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1.2614282367456663E-2</v>
      </c>
      <c r="C8" s="7">
        <f>$B8 * IFERROR(VLOOKUP("industry|SO2|Asthma symptoms wheeze", US_national_yearly!$D:$AM, 11, FALSE) / VLOOKUP("industry|SO2|Asthma symptoms wheeze", US_national_yearly!$D:$AM, 10, FALSE), 1)</f>
        <v>1.2614282367456663E-2</v>
      </c>
      <c r="D8" s="7">
        <f>$B8 * IFERROR(VLOOKUP("industry|SO2|Asthma symptoms wheeze", US_national_yearly!$D:$AM, 12, FALSE) / VLOOKUP("industry|SO2|Asthma symptoms wheeze", US_national_yearly!$D:$AM, 10, FALSE), 1)</f>
        <v>1.2614282367456663E-2</v>
      </c>
      <c r="E8" s="7">
        <f>$B8 * IFERROR(VLOOKUP("industry|SO2|Asthma symptoms wheeze", US_national_yearly!$D:$AM, 13, FALSE) / VLOOKUP("industry|SO2|Asthma symptoms wheeze", US_national_yearly!$D:$AM, 10, FALSE), 1)</f>
        <v>1.2614282367456663E-2</v>
      </c>
      <c r="F8" s="7">
        <f>$B8 * IFERROR(VLOOKUP("industry|SO2|Asthma symptoms wheeze", US_national_yearly!$D:$AM, 14, FALSE) / VLOOKUP("industry|SO2|Asthma symptoms wheeze", US_national_yearly!$D:$AM, 10, FALSE), 1)</f>
        <v>1.2614282367456663E-2</v>
      </c>
      <c r="G8" s="7">
        <f>$B8 * IFERROR(VLOOKUP("industry|SO2|Asthma symptoms wheeze", US_national_yearly!$D:$AM, 15, FALSE) / VLOOKUP("industry|SO2|Asthma symptoms wheeze", US_national_yearly!$D:$AM, 10, FALSE), 1)</f>
        <v>1.2614282367456663E-2</v>
      </c>
      <c r="H8" s="7">
        <f>$B8 * IFERROR(VLOOKUP("industry|SO2|Asthma symptoms wheeze", US_national_yearly!$D:$AM, 16, FALSE) / VLOOKUP("industry|SO2|Asthma symptoms wheeze", US_national_yearly!$D:$AM, 10, FALSE), 1)</f>
        <v>1.2614282367456663E-2</v>
      </c>
      <c r="I8" s="7">
        <f>$B8 * IFERROR(VLOOKUP("industry|SO2|Asthma symptoms wheeze", US_national_yearly!$D:$AM, 17, FALSE) / VLOOKUP("industry|SO2|Asthma symptoms wheeze", US_national_yearly!$D:$AM, 10, FALSE), 1)</f>
        <v>1.2614282367456663E-2</v>
      </c>
      <c r="J8" s="7">
        <f>$B8 * IFERROR(VLOOKUP("industry|SO2|Asthma symptoms wheeze", US_national_yearly!$D:$AM, 18, FALSE) / VLOOKUP("industry|SO2|Asthma symptoms wheeze", US_national_yearly!$D:$AM, 10, FALSE), 1)</f>
        <v>1.2614282367456663E-2</v>
      </c>
      <c r="K8" s="7">
        <f>$B8 * IFERROR(VLOOKUP("industry|SO2|Asthma symptoms wheeze", US_national_yearly!$D:$AM, 19, FALSE) / VLOOKUP("industry|SO2|Asthma symptoms wheeze", US_national_yearly!$D:$AM, 10, FALSE), 1)</f>
        <v>1.2614282367456663E-2</v>
      </c>
      <c r="L8" s="7">
        <f>$B8 * IFERROR(VLOOKUP("industry|SO2|Asthma symptoms wheeze", US_national_yearly!$D:$AM, 20, FALSE) / VLOOKUP("industry|SO2|Asthma symptoms wheeze", US_national_yearly!$D:$AM, 10, FALSE), 1)</f>
        <v>1.2614282367456663E-2</v>
      </c>
      <c r="M8" s="7">
        <f>$B8 * IFERROR(VLOOKUP("industry|SO2|Asthma symptoms wheeze", US_national_yearly!$D:$AM, 21, FALSE) / VLOOKUP("industry|SO2|Asthma symptoms wheeze", US_national_yearly!$D:$AM, 10, FALSE), 1)</f>
        <v>1.2614282367456663E-2</v>
      </c>
      <c r="N8" s="7">
        <f>$B8 * IFERROR(VLOOKUP("industry|SO2|Asthma symptoms wheeze", US_national_yearly!$D:$AM, 22, FALSE) / VLOOKUP("industry|SO2|Asthma symptoms wheeze", US_national_yearly!$D:$AM, 10, FALSE), 1)</f>
        <v>1.2614282367456663E-2</v>
      </c>
      <c r="O8" s="7">
        <f>$B8 * IFERROR(VLOOKUP("industry|SO2|Asthma symptoms wheeze", US_national_yearly!$D:$AM, 23, FALSE) / VLOOKUP("industry|SO2|Asthma symptoms wheeze", US_national_yearly!$D:$AM, 10, FALSE), 1)</f>
        <v>1.2614282367456663E-2</v>
      </c>
      <c r="P8" s="7">
        <f>$B8 * IFERROR(VLOOKUP("industry|SO2|Asthma symptoms wheeze", US_national_yearly!$D:$AM, 24, FALSE) / VLOOKUP("industry|SO2|Asthma symptoms wheeze", US_national_yearly!$D:$AM, 10, FALSE), 1)</f>
        <v>1.2614282367456663E-2</v>
      </c>
      <c r="Q8" s="7">
        <f>$B8 * IFERROR(VLOOKUP("industry|SO2|Asthma symptoms wheeze", US_national_yearly!$D:$AM, 25, FALSE) / VLOOKUP("industry|SO2|Asthma symptoms wheeze", US_national_yearly!$D:$AM, 10, FALSE), 1)</f>
        <v>1.2614282367456663E-2</v>
      </c>
      <c r="R8" s="7">
        <f>$B8 * IFERROR(VLOOKUP("industry|SO2|Asthma symptoms wheeze", US_national_yearly!$D:$AM, 26, FALSE) / VLOOKUP("industry|SO2|Asthma symptoms wheeze", US_national_yearly!$D:$AM, 10, FALSE), 1)</f>
        <v>1.2614282367456663E-2</v>
      </c>
      <c r="S8" s="7">
        <f>$B8 * IFERROR(VLOOKUP("industry|SO2|Asthma symptoms wheeze", US_national_yearly!$D:$AM, 27, FALSE) / VLOOKUP("industry|SO2|Asthma symptoms wheeze", US_national_yearly!$D:$AM, 10, FALSE), 1)</f>
        <v>1.2614282367456663E-2</v>
      </c>
      <c r="T8" s="7">
        <f>$B8 * IFERROR(VLOOKUP("industry|SO2|Asthma symptoms wheeze", US_national_yearly!$D:$AM, 28, FALSE) / VLOOKUP("industry|SO2|Asthma symptoms wheeze", US_national_yearly!$D:$AM, 10, FALSE), 1)</f>
        <v>1.2614282367456663E-2</v>
      </c>
      <c r="U8" s="7">
        <f>$B8 * IFERROR(VLOOKUP("industry|SO2|Asthma symptoms wheeze", US_national_yearly!$D:$AM, 29, FALSE) / VLOOKUP("industry|SO2|Asthma symptoms wheeze", US_national_yearly!$D:$AM, 10, FALSE), 1)</f>
        <v>1.2614282367456663E-2</v>
      </c>
      <c r="V8" s="7">
        <f>$B8 * IFERROR(VLOOKUP("industry|SO2|Asthma symptoms wheeze", US_national_yearly!$D:$AM, 30, FALSE) / VLOOKUP("industry|SO2|Asthma symptoms wheeze", US_national_yearly!$D:$AM, 10, FALSE), 1)</f>
        <v>1.2614282367456663E-2</v>
      </c>
      <c r="W8" s="7">
        <f>$B8 * IFERROR(VLOOKUP("industry|SO2|Asthma symptoms wheeze", US_national_yearly!$D:$AM, 31, FALSE) / VLOOKUP("industry|SO2|Asthma symptoms wheeze", US_national_yearly!$D:$AM, 10, FALSE), 1)</f>
        <v>1.2614282367456663E-2</v>
      </c>
      <c r="X8" s="7">
        <f>$B8 * IFERROR(VLOOKUP("industry|SO2|Asthma symptoms wheeze", US_national_yearly!$D:$AM, 32, FALSE) / VLOOKUP("industry|SO2|Asthma symptoms wheeze", US_national_yearly!$D:$AM, 10, FALSE), 1)</f>
        <v>1.2614282367456663E-2</v>
      </c>
      <c r="Y8" s="7">
        <f>$B8 * IFERROR(VLOOKUP("industry|SO2|Asthma symptoms wheeze", US_national_yearly!$D:$AM, 33, FALSE) / VLOOKUP("industry|SO2|Asthma symptoms wheeze", US_national_yearly!$D:$AM, 10, FALSE), 1)</f>
        <v>1.2614282367456663E-2</v>
      </c>
      <c r="Z8" s="7">
        <f>$B8 * IFERROR(VLOOKUP("industry|SO2|Asthma symptoms wheeze", US_national_yearly!$D:$AM, 34, FALSE) / VLOOKUP("industry|SO2|Asthma symptoms wheeze", US_national_yearly!$D:$AM, 10, FALSE), 1)</f>
        <v>1.2614282367456663E-2</v>
      </c>
      <c r="AA8" s="7">
        <f>$B8 * IFERROR(VLOOKUP("industry|SO2|Asthma symptoms wheeze", US_national_yearly!$D:$AM, 35, FALSE) / VLOOKUP("industry|SO2|Asthma symptoms wheeze", US_national_yearly!$D:$AM, 10, FALSE), 1)</f>
        <v>1.2614282367456663E-2</v>
      </c>
      <c r="AB8" s="7">
        <f>$B8 * IFERROR(VLOOKUP("industry|SO2|Asthma symptoms wheeze", US_national_yearly!$D:$AM, 36, FALSE) / VLOOKUP("industry|SO2|Asthma symptoms wheeze", US_national_yearly!$D:$AM, 10, FALSE), 1)</f>
        <v>1.2614282367456663E-2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1.6444531577460366E-4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1.6540865139045248E-4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1.6637198700630127E-4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1.6733532262215009E-4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1.6829865823799893E-4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1.6934888040901671E-4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1.7039910258003445E-4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1.7143059295808119E-4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1.7246208333612792E-4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1.7349357371417462E-4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1.7452506409222136E-4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1.7555655447026809E-4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1.7630295542618433E-4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1.7704935638210057E-4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1.7779575733801678E-4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1.7854215829393301E-4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1.7928855924984922E-4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1.7999789926544484E-4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1.8070723928104046E-4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1.8141657929663605E-4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1.8212591931223167E-4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1.8283525932782729E-4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1.8350885926226267E-4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1.841824591966981E-4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1.8485605913113351E-4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1.8552965906556889E-4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1.8620325900000432E-4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1.0600011375399838E-3</v>
      </c>
      <c r="C13" s="7">
        <f>$B13 * IFERROR(VLOOKUP("industry|SO2|Non-fatal heart attacks", US_national_yearly!$D:$AM, 11, FALSE) / VLOOKUP("industry|SO2|Non-fatal heart attacks", US_national_yearly!$D:$AM, 10, FALSE), 1)</f>
        <v>1.0911187960022165E-3</v>
      </c>
      <c r="D13" s="7">
        <f>$B13 * IFERROR(VLOOKUP("industry|SO2|Non-fatal heart attacks", US_national_yearly!$D:$AM, 12, FALSE) / VLOOKUP("industry|SO2|Non-fatal heart attacks", US_national_yearly!$D:$AM, 10, FALSE), 1)</f>
        <v>1.1222364544644493E-3</v>
      </c>
      <c r="E13" s="7">
        <f>$B13 * IFERROR(VLOOKUP("industry|SO2|Non-fatal heart attacks", US_national_yearly!$D:$AM, 13, FALSE) / VLOOKUP("industry|SO2|Non-fatal heart attacks", US_national_yearly!$D:$AM, 10, FALSE), 1)</f>
        <v>1.1533541129266818E-3</v>
      </c>
      <c r="F13" s="7">
        <f>$B13 * IFERROR(VLOOKUP("industry|SO2|Non-fatal heart attacks", US_national_yearly!$D:$AM, 14, FALSE) / VLOOKUP("industry|SO2|Non-fatal heart attacks", US_national_yearly!$D:$AM, 10, FALSE), 1)</f>
        <v>1.1844717713889146E-3</v>
      </c>
      <c r="G13" s="7">
        <f>$B13 * IFERROR(VLOOKUP("industry|SO2|Non-fatal heart attacks", US_national_yearly!$D:$AM, 15, FALSE) / VLOOKUP("industry|SO2|Non-fatal heart attacks", US_national_yearly!$D:$AM, 10, FALSE), 1)</f>
        <v>1.2138381237354766E-3</v>
      </c>
      <c r="H13" s="7">
        <f>$B13 * IFERROR(VLOOKUP("industry|SO2|Non-fatal heart attacks", US_national_yearly!$D:$AM, 16, FALSE) / VLOOKUP("industry|SO2|Non-fatal heart attacks", US_national_yearly!$D:$AM, 10, FALSE), 1)</f>
        <v>1.2432044760820387E-3</v>
      </c>
      <c r="I13" s="7">
        <f>$B13 * IFERROR(VLOOKUP("industry|SO2|Non-fatal heart attacks", US_national_yearly!$D:$AM, 17, FALSE) / VLOOKUP("industry|SO2|Non-fatal heart attacks", US_national_yearly!$D:$AM, 10, FALSE), 1)</f>
        <v>1.2668788392141434E-3</v>
      </c>
      <c r="J13" s="7">
        <f>$B13 * IFERROR(VLOOKUP("industry|SO2|Non-fatal heart attacks", US_national_yearly!$D:$AM, 18, FALSE) / VLOOKUP("industry|SO2|Non-fatal heart attacks", US_national_yearly!$D:$AM, 10, FALSE), 1)</f>
        <v>1.2905532023462488E-3</v>
      </c>
      <c r="K13" s="7">
        <f>$B13 * IFERROR(VLOOKUP("industry|SO2|Non-fatal heart attacks", US_national_yearly!$D:$AM, 19, FALSE) / VLOOKUP("industry|SO2|Non-fatal heart attacks", US_national_yearly!$D:$AM, 10, FALSE), 1)</f>
        <v>1.3142275654783539E-3</v>
      </c>
      <c r="L13" s="7">
        <f>$B13 * IFERROR(VLOOKUP("industry|SO2|Non-fatal heart attacks", US_national_yearly!$D:$AM, 20, FALSE) / VLOOKUP("industry|SO2|Non-fatal heart attacks", US_national_yearly!$D:$AM, 10, FALSE), 1)</f>
        <v>1.3379019286104588E-3</v>
      </c>
      <c r="M13" s="7">
        <f>$B13 * IFERROR(VLOOKUP("industry|SO2|Non-fatal heart attacks", US_national_yearly!$D:$AM, 21, FALSE) / VLOOKUP("industry|SO2|Non-fatal heart attacks", US_national_yearly!$D:$AM, 10, FALSE), 1)</f>
        <v>1.3615762917425639E-3</v>
      </c>
      <c r="N13" s="7">
        <f>$B13 * IFERROR(VLOOKUP("industry|SO2|Non-fatal heart attacks", US_national_yearly!$D:$AM, 22, FALSE) / VLOOKUP("industry|SO2|Non-fatal heart attacks", US_national_yearly!$D:$AM, 10, FALSE), 1)</f>
        <v>1.376956419306644E-3</v>
      </c>
      <c r="O13" s="7">
        <f>$B13 * IFERROR(VLOOKUP("industry|SO2|Non-fatal heart attacks", US_national_yearly!$D:$AM, 23, FALSE) / VLOOKUP("industry|SO2|Non-fatal heart attacks", US_national_yearly!$D:$AM, 10, FALSE), 1)</f>
        <v>1.3923365468707248E-3</v>
      </c>
      <c r="P13" s="7">
        <f>$B13 * IFERROR(VLOOKUP("industry|SO2|Non-fatal heart attacks", US_national_yearly!$D:$AM, 24, FALSE) / VLOOKUP("industry|SO2|Non-fatal heart attacks", US_national_yearly!$D:$AM, 10, FALSE), 1)</f>
        <v>1.4077166744348049E-3</v>
      </c>
      <c r="Q13" s="7">
        <f>$B13 * IFERROR(VLOOKUP("industry|SO2|Non-fatal heart attacks", US_national_yearly!$D:$AM, 25, FALSE) / VLOOKUP("industry|SO2|Non-fatal heart attacks", US_national_yearly!$D:$AM, 10, FALSE), 1)</f>
        <v>1.4230968019988853E-3</v>
      </c>
      <c r="R13" s="7">
        <f>$B13 * IFERROR(VLOOKUP("industry|SO2|Non-fatal heart attacks", US_national_yearly!$D:$AM, 26, FALSE) / VLOOKUP("industry|SO2|Non-fatal heart attacks", US_national_yearly!$D:$AM, 10, FALSE), 1)</f>
        <v>1.4384769295629656E-3</v>
      </c>
      <c r="S13" s="7">
        <f>$B13 * IFERROR(VLOOKUP("industry|SO2|Non-fatal heart attacks", US_national_yearly!$D:$AM, 27, FALSE) / VLOOKUP("industry|SO2|Non-fatal heart attacks", US_national_yearly!$D:$AM, 10, FALSE), 1)</f>
        <v>1.4465547986931356E-3</v>
      </c>
      <c r="T13" s="7">
        <f>$B13 * IFERROR(VLOOKUP("industry|SO2|Non-fatal heart attacks", US_national_yearly!$D:$AM, 28, FALSE) / VLOOKUP("industry|SO2|Non-fatal heart attacks", US_national_yearly!$D:$AM, 10, FALSE), 1)</f>
        <v>1.4546326678233055E-3</v>
      </c>
      <c r="U13" s="7">
        <f>$B13 * IFERROR(VLOOKUP("industry|SO2|Non-fatal heart attacks", US_national_yearly!$D:$AM, 29, FALSE) / VLOOKUP("industry|SO2|Non-fatal heart attacks", US_national_yearly!$D:$AM, 10, FALSE), 1)</f>
        <v>1.4627105369534755E-3</v>
      </c>
      <c r="V13" s="7">
        <f>$B13 * IFERROR(VLOOKUP("industry|SO2|Non-fatal heart attacks", US_national_yearly!$D:$AM, 30, FALSE) / VLOOKUP("industry|SO2|Non-fatal heart attacks", US_national_yearly!$D:$AM, 10, FALSE), 1)</f>
        <v>1.4707884060836454E-3</v>
      </c>
      <c r="W13" s="7">
        <f>$B13 * IFERROR(VLOOKUP("industry|SO2|Non-fatal heart attacks", US_national_yearly!$D:$AM, 31, FALSE) / VLOOKUP("industry|SO2|Non-fatal heart attacks", US_national_yearly!$D:$AM, 10, FALSE), 1)</f>
        <v>1.4788662752138152E-3</v>
      </c>
      <c r="X13" s="7">
        <f>$B13 * IFERROR(VLOOKUP("industry|SO2|Non-fatal heart attacks", US_national_yearly!$D:$AM, 32, FALSE) / VLOOKUP("industry|SO2|Non-fatal heart attacks", US_national_yearly!$D:$AM, 10, FALSE), 1)</f>
        <v>1.485001183714318E-3</v>
      </c>
      <c r="Y13" s="7">
        <f>$B13 * IFERROR(VLOOKUP("industry|SO2|Non-fatal heart attacks", US_national_yearly!$D:$AM, 33, FALSE) / VLOOKUP("industry|SO2|Non-fatal heart attacks", US_national_yearly!$D:$AM, 10, FALSE), 1)</f>
        <v>1.4911360922148205E-3</v>
      </c>
      <c r="Z13" s="7">
        <f>$B13 * IFERROR(VLOOKUP("industry|SO2|Non-fatal heart attacks", US_national_yearly!$D:$AM, 34, FALSE) / VLOOKUP("industry|SO2|Non-fatal heart attacks", US_national_yearly!$D:$AM, 10, FALSE), 1)</f>
        <v>1.4972710007153231E-3</v>
      </c>
      <c r="AA13" s="7">
        <f>$B13 * IFERROR(VLOOKUP("industry|SO2|Non-fatal heart attacks", US_national_yearly!$D:$AM, 35, FALSE) / VLOOKUP("industry|SO2|Non-fatal heart attacks", US_national_yearly!$D:$AM, 10, FALSE), 1)</f>
        <v>1.5034059092158261E-3</v>
      </c>
      <c r="AB13" s="7">
        <f>$B13 * IFERROR(VLOOKUP("industry|SO2|Non-fatal heart attacks", US_national_yearly!$D:$AM, 36, FALSE) / VLOOKUP("industry|SO2|Non-fatal heart attacks", US_national_yearly!$D:$AM, 10, FALSE), 1)</f>
        <v>1.5095408177163286E-3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0.80490226411495136</v>
      </c>
      <c r="C14" s="7">
        <f>$B14 * IFERROR(VLOOKUP("industry|SO2|Minor restricted activity days", US_national_yearly!$D:$AM, 11, FALSE) / VLOOKUP("industry|SO2|Minor restricted activity days", US_national_yearly!$D:$AM, 10, FALSE), 1)</f>
        <v>0.8069156378213268</v>
      </c>
      <c r="D14" s="7">
        <f>$B14 * IFERROR(VLOOKUP("industry|SO2|Minor restricted activity days", US_national_yearly!$D:$AM, 12, FALSE) / VLOOKUP("industry|SO2|Minor restricted activity days", US_national_yearly!$D:$AM, 10, FALSE), 1)</f>
        <v>0.80892901152770202</v>
      </c>
      <c r="E14" s="7">
        <f>$B14 * IFERROR(VLOOKUP("industry|SO2|Minor restricted activity days", US_national_yearly!$D:$AM, 13, FALSE) / VLOOKUP("industry|SO2|Minor restricted activity days", US_national_yearly!$D:$AM, 10, FALSE), 1)</f>
        <v>0.81094238523407736</v>
      </c>
      <c r="F14" s="7">
        <f>$B14 * IFERROR(VLOOKUP("industry|SO2|Minor restricted activity days", US_national_yearly!$D:$AM, 14, FALSE) / VLOOKUP("industry|SO2|Minor restricted activity days", US_national_yearly!$D:$AM, 10, FALSE), 1)</f>
        <v>0.8129557589404528</v>
      </c>
      <c r="G14" s="7">
        <f>$B14 * IFERROR(VLOOKUP("industry|SO2|Minor restricted activity days", US_national_yearly!$D:$AM, 15, FALSE) / VLOOKUP("industry|SO2|Minor restricted activity days", US_national_yearly!$D:$AM, 10, FALSE), 1)</f>
        <v>0.81591762351144836</v>
      </c>
      <c r="H14" s="7">
        <f>$B14 * IFERROR(VLOOKUP("industry|SO2|Minor restricted activity days", US_national_yearly!$D:$AM, 16, FALSE) / VLOOKUP("industry|SO2|Minor restricted activity days", US_national_yearly!$D:$AM, 10, FALSE), 1)</f>
        <v>0.81887948808244371</v>
      </c>
      <c r="I14" s="7">
        <f>$B14 * IFERROR(VLOOKUP("industry|SO2|Minor restricted activity days", US_national_yearly!$D:$AM, 17, FALSE) / VLOOKUP("industry|SO2|Minor restricted activity days", US_national_yearly!$D:$AM, 10, FALSE), 1)</f>
        <v>0.82393036307247525</v>
      </c>
      <c r="J14" s="7">
        <f>$B14 * IFERROR(VLOOKUP("industry|SO2|Minor restricted activity days", US_national_yearly!$D:$AM, 18, FALSE) / VLOOKUP("industry|SO2|Minor restricted activity days", US_national_yearly!$D:$AM, 10, FALSE), 1)</f>
        <v>0.82898123806250679</v>
      </c>
      <c r="K14" s="7">
        <f>$B14 * IFERROR(VLOOKUP("industry|SO2|Minor restricted activity days", US_national_yearly!$D:$AM, 19, FALSE) / VLOOKUP("industry|SO2|Minor restricted activity days", US_national_yearly!$D:$AM, 10, FALSE), 1)</f>
        <v>0.83403211305253844</v>
      </c>
      <c r="L14" s="7">
        <f>$B14 * IFERROR(VLOOKUP("industry|SO2|Minor restricted activity days", US_national_yearly!$D:$AM, 20, FALSE) / VLOOKUP("industry|SO2|Minor restricted activity days", US_national_yearly!$D:$AM, 10, FALSE), 1)</f>
        <v>0.83908298804256998</v>
      </c>
      <c r="M14" s="7">
        <f>$B14 * IFERROR(VLOOKUP("industry|SO2|Minor restricted activity days", US_national_yearly!$D:$AM, 21, FALSE) / VLOOKUP("industry|SO2|Minor restricted activity days", US_national_yearly!$D:$AM, 10, FALSE), 1)</f>
        <v>0.84413386303260152</v>
      </c>
      <c r="N14" s="7">
        <f>$B14 * IFERROR(VLOOKUP("industry|SO2|Minor restricted activity days", US_national_yearly!$D:$AM, 22, FALSE) / VLOOKUP("industry|SO2|Minor restricted activity days", US_national_yearly!$D:$AM, 10, FALSE), 1)</f>
        <v>0.8510592200986199</v>
      </c>
      <c r="O14" s="7">
        <f>$B14 * IFERROR(VLOOKUP("industry|SO2|Minor restricted activity days", US_national_yearly!$D:$AM, 23, FALSE) / VLOOKUP("industry|SO2|Minor restricted activity days", US_national_yearly!$D:$AM, 10, FALSE), 1)</f>
        <v>0.85798457716463827</v>
      </c>
      <c r="P14" s="7">
        <f>$B14 * IFERROR(VLOOKUP("industry|SO2|Minor restricted activity days", US_national_yearly!$D:$AM, 24, FALSE) / VLOOKUP("industry|SO2|Minor restricted activity days", US_national_yearly!$D:$AM, 10, FALSE), 1)</f>
        <v>0.86490993423065654</v>
      </c>
      <c r="Q14" s="7">
        <f>$B14 * IFERROR(VLOOKUP("industry|SO2|Minor restricted activity days", US_national_yearly!$D:$AM, 25, FALSE) / VLOOKUP("industry|SO2|Minor restricted activity days", US_national_yearly!$D:$AM, 10, FALSE), 1)</f>
        <v>0.87183529129667514</v>
      </c>
      <c r="R14" s="7">
        <f>$B14 * IFERROR(VLOOKUP("industry|SO2|Minor restricted activity days", US_national_yearly!$D:$AM, 26, FALSE) / VLOOKUP("industry|SO2|Minor restricted activity days", US_national_yearly!$D:$AM, 10, FALSE), 1)</f>
        <v>0.87876064836269352</v>
      </c>
      <c r="S14" s="7">
        <f>$B14 * IFERROR(VLOOKUP("industry|SO2|Minor restricted activity days", US_national_yearly!$D:$AM, 27, FALSE) / VLOOKUP("industry|SO2|Minor restricted activity days", US_national_yearly!$D:$AM, 10, FALSE), 1)</f>
        <v>0.88582853455414223</v>
      </c>
      <c r="T14" s="7">
        <f>$B14 * IFERROR(VLOOKUP("industry|SO2|Minor restricted activity days", US_national_yearly!$D:$AM, 28, FALSE) / VLOOKUP("industry|SO2|Minor restricted activity days", US_national_yearly!$D:$AM, 10, FALSE), 1)</f>
        <v>0.89289642074559106</v>
      </c>
      <c r="U14" s="7">
        <f>$B14 * IFERROR(VLOOKUP("industry|SO2|Minor restricted activity days", US_national_yearly!$D:$AM, 29, FALSE) / VLOOKUP("industry|SO2|Minor restricted activity days", US_national_yearly!$D:$AM, 10, FALSE), 1)</f>
        <v>0.89996430693703977</v>
      </c>
      <c r="V14" s="7">
        <f>$B14 * IFERROR(VLOOKUP("industry|SO2|Minor restricted activity days", US_national_yearly!$D:$AM, 30, FALSE) / VLOOKUP("industry|SO2|Minor restricted activity days", US_national_yearly!$D:$AM, 10, FALSE), 1)</f>
        <v>0.90703219312848871</v>
      </c>
      <c r="W14" s="7">
        <f>$B14 * IFERROR(VLOOKUP("industry|SO2|Minor restricted activity days", US_national_yearly!$D:$AM, 31, FALSE) / VLOOKUP("industry|SO2|Minor restricted activity days", US_national_yearly!$D:$AM, 10, FALSE), 1)</f>
        <v>0.91410007931993742</v>
      </c>
      <c r="X14" s="7">
        <f>$B14 * IFERROR(VLOOKUP("industry|SO2|Minor restricted activity days", US_national_yearly!$D:$AM, 32, FALSE) / VLOOKUP("industry|SO2|Minor restricted activity days", US_national_yearly!$D:$AM, 10, FALSE), 1)</f>
        <v>0.920314815864271</v>
      </c>
      <c r="Y14" s="7">
        <f>$B14 * IFERROR(VLOOKUP("industry|SO2|Minor restricted activity days", US_national_yearly!$D:$AM, 33, FALSE) / VLOOKUP("industry|SO2|Minor restricted activity days", US_national_yearly!$D:$AM, 10, FALSE), 1)</f>
        <v>0.92652955240860446</v>
      </c>
      <c r="Z14" s="7">
        <f>$B14 * IFERROR(VLOOKUP("industry|SO2|Minor restricted activity days", US_national_yearly!$D:$AM, 34, FALSE) / VLOOKUP("industry|SO2|Minor restricted activity days", US_national_yearly!$D:$AM, 10, FALSE), 1)</f>
        <v>0.93274428895293782</v>
      </c>
      <c r="AA14" s="7">
        <f>$B14 * IFERROR(VLOOKUP("industry|SO2|Minor restricted activity days", US_national_yearly!$D:$AM, 35, FALSE) / VLOOKUP("industry|SO2|Minor restricted activity days", US_national_yearly!$D:$AM, 10, FALSE), 1)</f>
        <v>0.93895902549727128</v>
      </c>
      <c r="AB14" s="7">
        <f>$B14 * IFERROR(VLOOKUP("industry|SO2|Minor restricted activity days", US_national_yearly!$D:$AM, 36, FALSE) / VLOOKUP("industry|SO2|Minor restricted activity days", US_national_yearly!$D:$AM, 10, FALSE), 1)</f>
        <v>0.94517376204160486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0.13575325515010989</v>
      </c>
      <c r="C15" s="7">
        <f>$B15 * IFERROR(VLOOKUP("industry|SO2|Work loss days", US_national_yearly!$D:$AM, 11, FALSE) / VLOOKUP("industry|SO2|Work loss days", US_national_yearly!$D:$AM, 10, FALSE), 1)</f>
        <v>0.13618982228169468</v>
      </c>
      <c r="D15" s="7">
        <f>$B15 * IFERROR(VLOOKUP("industry|SO2|Work loss days", US_national_yearly!$D:$AM, 12, FALSE) / VLOOKUP("industry|SO2|Work loss days", US_national_yearly!$D:$AM, 10, FALSE), 1)</f>
        <v>0.13662638941327956</v>
      </c>
      <c r="E15" s="7">
        <f>$B15 * IFERROR(VLOOKUP("industry|SO2|Work loss days", US_national_yearly!$D:$AM, 13, FALSE) / VLOOKUP("industry|SO2|Work loss days", US_national_yearly!$D:$AM, 10, FALSE), 1)</f>
        <v>0.13706295654486436</v>
      </c>
      <c r="F15" s="7">
        <f>$B15 * IFERROR(VLOOKUP("industry|SO2|Work loss days", US_national_yearly!$D:$AM, 14, FALSE) / VLOOKUP("industry|SO2|Work loss days", US_national_yearly!$D:$AM, 10, FALSE), 1)</f>
        <v>0.13749952367644924</v>
      </c>
      <c r="G15" s="7">
        <f>$B15 * IFERROR(VLOOKUP("industry|SO2|Work loss days", US_national_yearly!$D:$AM, 15, FALSE) / VLOOKUP("industry|SO2|Work loss days", US_national_yearly!$D:$AM, 10, FALSE), 1)</f>
        <v>0.13806936176028711</v>
      </c>
      <c r="H15" s="7">
        <f>$B15 * IFERROR(VLOOKUP("industry|SO2|Work loss days", US_national_yearly!$D:$AM, 16, FALSE) / VLOOKUP("industry|SO2|Work loss days", US_national_yearly!$D:$AM, 10, FALSE), 1)</f>
        <v>0.13863919984412504</v>
      </c>
      <c r="I15" s="7">
        <f>$B15 * IFERROR(VLOOKUP("industry|SO2|Work loss days", US_national_yearly!$D:$AM, 17, FALSE) / VLOOKUP("industry|SO2|Work loss days", US_national_yearly!$D:$AM, 10, FALSE), 1)</f>
        <v>0.13947214255037632</v>
      </c>
      <c r="J15" s="7">
        <f>$B15 * IFERROR(VLOOKUP("industry|SO2|Work loss days", US_national_yearly!$D:$AM, 18, FALSE) / VLOOKUP("industry|SO2|Work loss days", US_national_yearly!$D:$AM, 10, FALSE), 1)</f>
        <v>0.14030508525662758</v>
      </c>
      <c r="K15" s="7">
        <f>$B15 * IFERROR(VLOOKUP("industry|SO2|Work loss days", US_national_yearly!$D:$AM, 19, FALSE) / VLOOKUP("industry|SO2|Work loss days", US_national_yearly!$D:$AM, 10, FALSE), 1)</f>
        <v>0.14113802796287886</v>
      </c>
      <c r="L15" s="7">
        <f>$B15 * IFERROR(VLOOKUP("industry|SO2|Work loss days", US_national_yearly!$D:$AM, 20, FALSE) / VLOOKUP("industry|SO2|Work loss days", US_national_yearly!$D:$AM, 10, FALSE), 1)</f>
        <v>0.14197097066913014</v>
      </c>
      <c r="M15" s="7">
        <f>$B15 * IFERROR(VLOOKUP("industry|SO2|Work loss days", US_national_yearly!$D:$AM, 21, FALSE) / VLOOKUP("industry|SO2|Work loss days", US_national_yearly!$D:$AM, 10, FALSE), 1)</f>
        <v>0.1428039133753814</v>
      </c>
      <c r="N15" s="7">
        <f>$B15 * IFERROR(VLOOKUP("industry|SO2|Work loss days", US_national_yearly!$D:$AM, 22, FALSE) / VLOOKUP("industry|SO2|Work loss days", US_national_yearly!$D:$AM, 10, FALSE), 1)</f>
        <v>0.14385079973186993</v>
      </c>
      <c r="O15" s="7">
        <f>$B15 * IFERROR(VLOOKUP("industry|SO2|Work loss days", US_national_yearly!$D:$AM, 23, FALSE) / VLOOKUP("industry|SO2|Work loss days", US_national_yearly!$D:$AM, 10, FALSE), 1)</f>
        <v>0.14489768608835843</v>
      </c>
      <c r="P15" s="7">
        <f>$B15 * IFERROR(VLOOKUP("industry|SO2|Work loss days", US_national_yearly!$D:$AM, 24, FALSE) / VLOOKUP("industry|SO2|Work loss days", US_national_yearly!$D:$AM, 10, FALSE), 1)</f>
        <v>0.14594457244484693</v>
      </c>
      <c r="Q15" s="7">
        <f>$B15 * IFERROR(VLOOKUP("industry|SO2|Work loss days", US_national_yearly!$D:$AM, 25, FALSE) / VLOOKUP("industry|SO2|Work loss days", US_national_yearly!$D:$AM, 10, FALSE), 1)</f>
        <v>0.14699145880133546</v>
      </c>
      <c r="R15" s="7">
        <f>$B15 * IFERROR(VLOOKUP("industry|SO2|Work loss days", US_national_yearly!$D:$AM, 26, FALSE) / VLOOKUP("industry|SO2|Work loss days", US_national_yearly!$D:$AM, 10, FALSE), 1)</f>
        <v>0.14803834515782396</v>
      </c>
      <c r="S15" s="7">
        <f>$B15 * IFERROR(VLOOKUP("industry|SO2|Work loss days", US_national_yearly!$D:$AM, 27, FALSE) / VLOOKUP("industry|SO2|Work loss days", US_national_yearly!$D:$AM, 10, FALSE), 1)</f>
        <v>0.1492097678458055</v>
      </c>
      <c r="T15" s="7">
        <f>$B15 * IFERROR(VLOOKUP("industry|SO2|Work loss days", US_national_yearly!$D:$AM, 28, FALSE) / VLOOKUP("industry|SO2|Work loss days", US_national_yearly!$D:$AM, 10, FALSE), 1)</f>
        <v>0.15038119053378707</v>
      </c>
      <c r="U15" s="7">
        <f>$B15 * IFERROR(VLOOKUP("industry|SO2|Work loss days", US_national_yearly!$D:$AM, 29, FALSE) / VLOOKUP("industry|SO2|Work loss days", US_national_yearly!$D:$AM, 10, FALSE), 1)</f>
        <v>0.15155261322176869</v>
      </c>
      <c r="V15" s="7">
        <f>$B15 * IFERROR(VLOOKUP("industry|SO2|Work loss days", US_national_yearly!$D:$AM, 30, FALSE) / VLOOKUP("industry|SO2|Work loss days", US_national_yearly!$D:$AM, 10, FALSE), 1)</f>
        <v>0.15272403590975023</v>
      </c>
      <c r="W15" s="7">
        <f>$B15 * IFERROR(VLOOKUP("industry|SO2|Work loss days", US_national_yearly!$D:$AM, 31, FALSE) / VLOOKUP("industry|SO2|Work loss days", US_national_yearly!$D:$AM, 10, FALSE), 1)</f>
        <v>0.15389545859773179</v>
      </c>
      <c r="X15" s="7">
        <f>$B15 * IFERROR(VLOOKUP("industry|SO2|Work loss days", US_national_yearly!$D:$AM, 32, FALSE) / VLOOKUP("industry|SO2|Work loss days", US_national_yearly!$D:$AM, 10, FALSE), 1)</f>
        <v>0.15494759870308922</v>
      </c>
      <c r="Y15" s="7">
        <f>$B15 * IFERROR(VLOOKUP("industry|SO2|Work loss days", US_national_yearly!$D:$AM, 33, FALSE) / VLOOKUP("industry|SO2|Work loss days", US_national_yearly!$D:$AM, 10, FALSE), 1)</f>
        <v>0.15599973880844667</v>
      </c>
      <c r="Z15" s="7">
        <f>$B15 * IFERROR(VLOOKUP("industry|SO2|Work loss days", US_national_yearly!$D:$AM, 34, FALSE) / VLOOKUP("industry|SO2|Work loss days", US_national_yearly!$D:$AM, 10, FALSE), 1)</f>
        <v>0.15705187891380404</v>
      </c>
      <c r="AA15" s="7">
        <f>$B15 * IFERROR(VLOOKUP("industry|SO2|Work loss days", US_national_yearly!$D:$AM, 35, FALSE) / VLOOKUP("industry|SO2|Work loss days", US_national_yearly!$D:$AM, 10, FALSE), 1)</f>
        <v>0.15810401901916149</v>
      </c>
      <c r="AB15" s="7">
        <f>$B15 * IFERROR(VLOOKUP("industry|SO2|Work loss days", US_national_yearly!$D:$AM, 36, FALSE) / VLOOKUP("industry|SO2|Work loss days", US_national_yearly!$D:$AM, 10, FALSE), 1)</f>
        <v>0.15915615912451891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2.7289848374621213E-4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2.8115016882804001E-4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2.8940185390986795E-4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2.9765353899169588E-4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3.0590522407352382E-4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3.1381331468959949E-4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3.2172140530567511E-4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3.2850682396815038E-4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3.3529224263062577E-4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3.420776612931011E-4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3.4886307995557643E-4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3.5564849861805176E-4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3.6020731069125997E-4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3.6476612276446823E-4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3.6932493483767643E-4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3.7388374691088469E-4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3.7844255898409289E-4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3.8085308207051521E-4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3.8326360515693759E-4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3.8567412824335991E-4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3.8808465132978228E-4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3.904951744162046E-4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3.921253271422483E-4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3.9375547986829199E-4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3.9538563259433574E-4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3.9701578532037949E-4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3.9864593804642313E-4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3.512552277314031E-4</v>
      </c>
      <c r="C2" s="7">
        <f>$B2 * IFERROR(VLOOKUP("LULUCF|PM25|Premature mortality", US_national_yearly!$D:$AM, 11, FALSE) / VLOOKUP("LULUCF|PM25|Premature mortality", US_national_yearly!$D:$AM, 10, FALSE), 1)</f>
        <v>3.5561002278431146E-4</v>
      </c>
      <c r="D2" s="7">
        <f>$B2 * IFERROR(VLOOKUP("LULUCF|PM25|Premature mortality", US_national_yearly!$D:$AM, 12, FALSE) / VLOOKUP("LULUCF|PM25|Premature mortality", US_national_yearly!$D:$AM, 10, FALSE), 1)</f>
        <v>3.5996481783721971E-4</v>
      </c>
      <c r="E2" s="7">
        <f>$B2 * IFERROR(VLOOKUP("LULUCF|PM25|Premature mortality", US_national_yearly!$D:$AM, 13, FALSE) / VLOOKUP("LULUCF|PM25|Premature mortality", US_national_yearly!$D:$AM, 10, FALSE), 1)</f>
        <v>3.6431961289012802E-4</v>
      </c>
      <c r="F2" s="7">
        <f>$B2 * IFERROR(VLOOKUP("LULUCF|PM25|Premature mortality", US_national_yearly!$D:$AM, 14, FALSE) / VLOOKUP("LULUCF|PM25|Premature mortality", US_national_yearly!$D:$AM, 10, FALSE), 1)</f>
        <v>3.6867440794303627E-4</v>
      </c>
      <c r="G2" s="7">
        <f>$B2 * IFERROR(VLOOKUP("LULUCF|PM25|Premature mortality", US_national_yearly!$D:$AM, 15, FALSE) / VLOOKUP("LULUCF|PM25|Premature mortality", US_national_yearly!$D:$AM, 10, FALSE), 1)</f>
        <v>3.7715533846548839E-4</v>
      </c>
      <c r="H2" s="7">
        <f>$B2 * IFERROR(VLOOKUP("LULUCF|PM25|Premature mortality", US_national_yearly!$D:$AM, 16, FALSE) / VLOOKUP("LULUCF|PM25|Premature mortality", US_national_yearly!$D:$AM, 10, FALSE), 1)</f>
        <v>3.8563626898794045E-4</v>
      </c>
      <c r="I2" s="7">
        <f>$B2 * IFERROR(VLOOKUP("LULUCF|PM25|Premature mortality", US_national_yearly!$D:$AM, 17, FALSE) / VLOOKUP("LULUCF|PM25|Premature mortality", US_national_yearly!$D:$AM, 10, FALSE), 1)</f>
        <v>3.9120690116100591E-4</v>
      </c>
      <c r="J2" s="7">
        <f>$B2 * IFERROR(VLOOKUP("LULUCF|PM25|Premature mortality", US_national_yearly!$D:$AM, 18, FALSE) / VLOOKUP("LULUCF|PM25|Premature mortality", US_national_yearly!$D:$AM, 10, FALSE), 1)</f>
        <v>3.9677753333407153E-4</v>
      </c>
      <c r="K2" s="7">
        <f>$B2 * IFERROR(VLOOKUP("LULUCF|PM25|Premature mortality", US_national_yearly!$D:$AM, 19, FALSE) / VLOOKUP("LULUCF|PM25|Premature mortality", US_national_yearly!$D:$AM, 10, FALSE), 1)</f>
        <v>4.0234816550713704E-4</v>
      </c>
      <c r="L2" s="7">
        <f>$B2 * IFERROR(VLOOKUP("LULUCF|PM25|Premature mortality", US_national_yearly!$D:$AM, 20, FALSE) / VLOOKUP("LULUCF|PM25|Premature mortality", US_national_yearly!$D:$AM, 10, FALSE), 1)</f>
        <v>4.0791879768020266E-4</v>
      </c>
      <c r="M2" s="7">
        <f>$B2 * IFERROR(VLOOKUP("LULUCF|PM25|Premature mortality", US_national_yearly!$D:$AM, 21, FALSE) / VLOOKUP("LULUCF|PM25|Premature mortality", US_national_yearly!$D:$AM, 10, FALSE), 1)</f>
        <v>4.1348942985326817E-4</v>
      </c>
      <c r="N2" s="7">
        <f>$B2 * IFERROR(VLOOKUP("LULUCF|PM25|Premature mortality", US_national_yearly!$D:$AM, 22, FALSE) / VLOOKUP("LULUCF|PM25|Premature mortality", US_national_yearly!$D:$AM, 10, FALSE), 1)</f>
        <v>4.1781467119812E-4</v>
      </c>
      <c r="O2" s="7">
        <f>$B2 * IFERROR(VLOOKUP("LULUCF|PM25|Premature mortality", US_national_yearly!$D:$AM, 23, FALSE) / VLOOKUP("LULUCF|PM25|Premature mortality", US_national_yearly!$D:$AM, 10, FALSE), 1)</f>
        <v>4.2213991254297183E-4</v>
      </c>
      <c r="P2" s="7">
        <f>$B2 * IFERROR(VLOOKUP("LULUCF|PM25|Premature mortality", US_national_yearly!$D:$AM, 24, FALSE) / VLOOKUP("LULUCF|PM25|Premature mortality", US_national_yearly!$D:$AM, 10, FALSE), 1)</f>
        <v>4.2646515388782366E-4</v>
      </c>
      <c r="Q2" s="7">
        <f>$B2 * IFERROR(VLOOKUP("LULUCF|PM25|Premature mortality", US_national_yearly!$D:$AM, 25, FALSE) / VLOOKUP("LULUCF|PM25|Premature mortality", US_national_yearly!$D:$AM, 10, FALSE), 1)</f>
        <v>4.3079039523267549E-4</v>
      </c>
      <c r="R2" s="7">
        <f>$B2 * IFERROR(VLOOKUP("LULUCF|PM25|Premature mortality", US_national_yearly!$D:$AM, 26, FALSE) / VLOOKUP("LULUCF|PM25|Premature mortality", US_national_yearly!$D:$AM, 10, FALSE), 1)</f>
        <v>4.3511563657752742E-4</v>
      </c>
      <c r="S2" s="7">
        <f>$B2 * IFERROR(VLOOKUP("LULUCF|PM25|Premature mortality", US_national_yearly!$D:$AM, 27, FALSE) / VLOOKUP("LULUCF|PM25|Premature mortality", US_national_yearly!$D:$AM, 10, FALSE), 1)</f>
        <v>4.3740702093482636E-4</v>
      </c>
      <c r="T2" s="7">
        <f>$B2 * IFERROR(VLOOKUP("LULUCF|PM25|Premature mortality", US_national_yearly!$D:$AM, 28, FALSE) / VLOOKUP("LULUCF|PM25|Premature mortality", US_national_yearly!$D:$AM, 10, FALSE), 1)</f>
        <v>4.396984052921252E-4</v>
      </c>
      <c r="U2" s="7">
        <f>$B2 * IFERROR(VLOOKUP("LULUCF|PM25|Premature mortality", US_national_yearly!$D:$AM, 29, FALSE) / VLOOKUP("LULUCF|PM25|Premature mortality", US_national_yearly!$D:$AM, 10, FALSE), 1)</f>
        <v>4.4198978964942403E-4</v>
      </c>
      <c r="V2" s="7">
        <f>$B2 * IFERROR(VLOOKUP("LULUCF|PM25|Premature mortality", US_national_yearly!$D:$AM, 30, FALSE) / VLOOKUP("LULUCF|PM25|Premature mortality", US_national_yearly!$D:$AM, 10, FALSE), 1)</f>
        <v>4.4428117400672286E-4</v>
      </c>
      <c r="W2" s="7">
        <f>$B2 * IFERROR(VLOOKUP("LULUCF|PM25|Premature mortality", US_national_yearly!$D:$AM, 31, FALSE) / VLOOKUP("LULUCF|PM25|Premature mortality", US_national_yearly!$D:$AM, 10, FALSE), 1)</f>
        <v>4.4657255836402175E-4</v>
      </c>
      <c r="X2" s="7">
        <f>$B2 * IFERROR(VLOOKUP("LULUCF|PM25|Premature mortality", US_national_yearly!$D:$AM, 32, FALSE) / VLOOKUP("LULUCF|PM25|Premature mortality", US_national_yearly!$D:$AM, 10, FALSE), 1)</f>
        <v>4.4697322464398135E-4</v>
      </c>
      <c r="Y2" s="7">
        <f>$B2 * IFERROR(VLOOKUP("LULUCF|PM25|Premature mortality", US_national_yearly!$D:$AM, 33, FALSE) / VLOOKUP("LULUCF|PM25|Premature mortality", US_national_yearly!$D:$AM, 10, FALSE), 1)</f>
        <v>4.47373890923941E-4</v>
      </c>
      <c r="Z2" s="7">
        <f>$B2 * IFERROR(VLOOKUP("LULUCF|PM25|Premature mortality", US_national_yearly!$D:$AM, 34, FALSE) / VLOOKUP("LULUCF|PM25|Premature mortality", US_national_yearly!$D:$AM, 10, FALSE), 1)</f>
        <v>4.4777455720390065E-4</v>
      </c>
      <c r="AA2" s="7">
        <f>$B2 * IFERROR(VLOOKUP("LULUCF|PM25|Premature mortality", US_national_yearly!$D:$AM, 35, FALSE) / VLOOKUP("LULUCF|PM25|Premature mortality", US_national_yearly!$D:$AM, 10, FALSE), 1)</f>
        <v>4.4817522348386031E-4</v>
      </c>
      <c r="AB2" s="7">
        <f>$B2 * IFERROR(VLOOKUP("LULUCF|PM25|Premature mortality", US_national_yearly!$D:$AM, 36, FALSE) / VLOOKUP("LULUCF|PM25|Premature mortality", US_national_yearly!$D:$AM, 10, FALSE), 1)</f>
        <v>4.4857588976381991E-4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7.9345652141914615E-7</v>
      </c>
      <c r="C3" s="7">
        <f>$B3 * IFERROR(VLOOKUP("LULUCF|PM25|Infant mortality", US_national_yearly!$D:$AM, 11, FALSE) / VLOOKUP("LULUCF|PM25|Infant mortality", US_national_yearly!$D:$AM, 10, FALSE), 1)</f>
        <v>7.8653830458660773E-7</v>
      </c>
      <c r="D3" s="7">
        <f>$B3 * IFERROR(VLOOKUP("LULUCF|PM25|Infant mortality", US_national_yearly!$D:$AM, 12, FALSE) / VLOOKUP("LULUCF|PM25|Infant mortality", US_national_yearly!$D:$AM, 10, FALSE), 1)</f>
        <v>7.7962008775406932E-7</v>
      </c>
      <c r="E3" s="7">
        <f>$B3 * IFERROR(VLOOKUP("LULUCF|PM25|Infant mortality", US_national_yearly!$D:$AM, 13, FALSE) / VLOOKUP("LULUCF|PM25|Infant mortality", US_national_yearly!$D:$AM, 10, FALSE), 1)</f>
        <v>7.7270187092153091E-7</v>
      </c>
      <c r="F3" s="7">
        <f>$B3 * IFERROR(VLOOKUP("LULUCF|PM25|Infant mortality", US_national_yearly!$D:$AM, 14, FALSE) / VLOOKUP("LULUCF|PM25|Infant mortality", US_national_yearly!$D:$AM, 10, FALSE), 1)</f>
        <v>7.6578365408899239E-7</v>
      </c>
      <c r="G3" s="7">
        <f>$B3 * IFERROR(VLOOKUP("LULUCF|PM25|Infant mortality", US_national_yearly!$D:$AM, 15, FALSE) / VLOOKUP("LULUCF|PM25|Infant mortality", US_national_yearly!$D:$AM, 10, FALSE), 1)</f>
        <v>5.0928709323477426E-7</v>
      </c>
      <c r="H3" s="7">
        <f>$B3 * IFERROR(VLOOKUP("LULUCF|PM25|Infant mortality", US_national_yearly!$D:$AM, 16, FALSE) / VLOOKUP("LULUCF|PM25|Infant mortality", US_national_yearly!$D:$AM, 10, FALSE), 1)</f>
        <v>2.5279053238055602E-7</v>
      </c>
      <c r="I3" s="7">
        <f>$B3 * IFERROR(VLOOKUP("LULUCF|PM25|Infant mortality", US_national_yearly!$D:$AM, 17, FALSE) / VLOOKUP("LULUCF|PM25|Infant mortality", US_national_yearly!$D:$AM, 10, FALSE), 1)</f>
        <v>2.5113812867872877E-7</v>
      </c>
      <c r="J3" s="7">
        <f>$B3 * IFERROR(VLOOKUP("LULUCF|PM25|Infant mortality", US_national_yearly!$D:$AM, 18, FALSE) / VLOOKUP("LULUCF|PM25|Infant mortality", US_national_yearly!$D:$AM, 10, FALSE), 1)</f>
        <v>2.4948572497690146E-7</v>
      </c>
      <c r="K3" s="7">
        <f>$B3 * IFERROR(VLOOKUP("LULUCF|PM25|Infant mortality", US_national_yearly!$D:$AM, 19, FALSE) / VLOOKUP("LULUCF|PM25|Infant mortality", US_national_yearly!$D:$AM, 10, FALSE), 1)</f>
        <v>2.4783332127507415E-7</v>
      </c>
      <c r="L3" s="7">
        <f>$B3 * IFERROR(VLOOKUP("LULUCF|PM25|Infant mortality", US_national_yearly!$D:$AM, 20, FALSE) / VLOOKUP("LULUCF|PM25|Infant mortality", US_national_yearly!$D:$AM, 10, FALSE), 1)</f>
        <v>2.461809175732469E-7</v>
      </c>
      <c r="M3" s="7">
        <f>$B3 * IFERROR(VLOOKUP("LULUCF|PM25|Infant mortality", US_national_yearly!$D:$AM, 21, FALSE) / VLOOKUP("LULUCF|PM25|Infant mortality", US_national_yearly!$D:$AM, 10, FALSE), 1)</f>
        <v>2.4452851387141965E-7</v>
      </c>
      <c r="N3" s="7">
        <f>$B3 * IFERROR(VLOOKUP("LULUCF|PM25|Infant mortality", US_national_yearly!$D:$AM, 22, FALSE) / VLOOKUP("LULUCF|PM25|Infant mortality", US_national_yearly!$D:$AM, 10, FALSE), 1)</f>
        <v>2.4349062140771565E-7</v>
      </c>
      <c r="O3" s="7">
        <f>$B3 * IFERROR(VLOOKUP("LULUCF|PM25|Infant mortality", US_national_yearly!$D:$AM, 23, FALSE) / VLOOKUP("LULUCF|PM25|Infant mortality", US_national_yearly!$D:$AM, 10, FALSE), 1)</f>
        <v>2.4245272894401171E-7</v>
      </c>
      <c r="P3" s="7">
        <f>$B3 * IFERROR(VLOOKUP("LULUCF|PM25|Infant mortality", US_national_yearly!$D:$AM, 24, FALSE) / VLOOKUP("LULUCF|PM25|Infant mortality", US_national_yearly!$D:$AM, 10, FALSE), 1)</f>
        <v>2.4141483648030771E-7</v>
      </c>
      <c r="Q3" s="7">
        <f>$B3 * IFERROR(VLOOKUP("LULUCF|PM25|Infant mortality", US_national_yearly!$D:$AM, 25, FALSE) / VLOOKUP("LULUCF|PM25|Infant mortality", US_national_yearly!$D:$AM, 10, FALSE), 1)</f>
        <v>2.4037694401660377E-7</v>
      </c>
      <c r="R3" s="7">
        <f>$B3 * IFERROR(VLOOKUP("LULUCF|PM25|Infant mortality", US_national_yearly!$D:$AM, 26, FALSE) / VLOOKUP("LULUCF|PM25|Infant mortality", US_national_yearly!$D:$AM, 10, FALSE), 1)</f>
        <v>2.3933905155289983E-7</v>
      </c>
      <c r="S3" s="7">
        <f>$B3 * IFERROR(VLOOKUP("LULUCF|PM25|Infant mortality", US_national_yearly!$D:$AM, 27, FALSE) / VLOOKUP("LULUCF|PM25|Infant mortality", US_national_yearly!$D:$AM, 10, FALSE), 1)</f>
        <v>2.3804529737552221E-7</v>
      </c>
      <c r="T3" s="7">
        <f>$B3 * IFERROR(VLOOKUP("LULUCF|PM25|Infant mortality", US_national_yearly!$D:$AM, 28, FALSE) / VLOOKUP("LULUCF|PM25|Infant mortality", US_national_yearly!$D:$AM, 10, FALSE), 1)</f>
        <v>2.3675154319814455E-7</v>
      </c>
      <c r="U3" s="7">
        <f>$B3 * IFERROR(VLOOKUP("LULUCF|PM25|Infant mortality", US_national_yearly!$D:$AM, 29, FALSE) / VLOOKUP("LULUCF|PM25|Infant mortality", US_national_yearly!$D:$AM, 10, FALSE), 1)</f>
        <v>2.3545778902076694E-7</v>
      </c>
      <c r="V3" s="7">
        <f>$B3 * IFERROR(VLOOKUP("LULUCF|PM25|Infant mortality", US_national_yearly!$D:$AM, 30, FALSE) / VLOOKUP("LULUCF|PM25|Infant mortality", US_national_yearly!$D:$AM, 10, FALSE), 1)</f>
        <v>2.3416403484338933E-7</v>
      </c>
      <c r="W3" s="7">
        <f>$B3 * IFERROR(VLOOKUP("LULUCF|PM25|Infant mortality", US_national_yearly!$D:$AM, 31, FALSE) / VLOOKUP("LULUCF|PM25|Infant mortality", US_national_yearly!$D:$AM, 10, FALSE), 1)</f>
        <v>2.3287028066601169E-7</v>
      </c>
      <c r="X3" s="7">
        <f>$B3 * IFERROR(VLOOKUP("LULUCF|PM25|Infant mortality", US_national_yearly!$D:$AM, 32, FALSE) / VLOOKUP("LULUCF|PM25|Infant mortality", US_national_yearly!$D:$AM, 10, FALSE), 1)</f>
        <v>2.3147545105495803E-7</v>
      </c>
      <c r="Y3" s="7">
        <f>$B3 * IFERROR(VLOOKUP("LULUCF|PM25|Infant mortality", US_national_yearly!$D:$AM, 33, FALSE) / VLOOKUP("LULUCF|PM25|Infant mortality", US_national_yearly!$D:$AM, 10, FALSE), 1)</f>
        <v>2.300806214439043E-7</v>
      </c>
      <c r="Z3" s="7">
        <f>$B3 * IFERROR(VLOOKUP("LULUCF|PM25|Infant mortality", US_national_yearly!$D:$AM, 34, FALSE) / VLOOKUP("LULUCF|PM25|Infant mortality", US_national_yearly!$D:$AM, 10, FALSE), 1)</f>
        <v>2.2868579183285067E-7</v>
      </c>
      <c r="AA3" s="7">
        <f>$B3 * IFERROR(VLOOKUP("LULUCF|PM25|Infant mortality", US_national_yearly!$D:$AM, 35, FALSE) / VLOOKUP("LULUCF|PM25|Infant mortality", US_national_yearly!$D:$AM, 10, FALSE), 1)</f>
        <v>2.2729096222179699E-7</v>
      </c>
      <c r="AB3" s="7">
        <f>$B3 * IFERROR(VLOOKUP("LULUCF|PM25|Infant mortality", US_national_yearly!$D:$AM, 36, FALSE) / VLOOKUP("LULUCF|PM25|Infant mortality", US_national_yearly!$D:$AM, 10, FALSE), 1)</f>
        <v>2.2589613261074334E-7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9.0678076423331719E-4</v>
      </c>
      <c r="C6" s="7">
        <f>$B6 * IFERROR(VLOOKUP("LULUCF|PM25|Asthma symptoms cough", US_national_yearly!$D:$AM, 11, FALSE) / VLOOKUP("LULUCF|PM25|Asthma symptoms cough", US_national_yearly!$D:$AM, 10, FALSE), 1)</f>
        <v>9.0678076423331719E-4</v>
      </c>
      <c r="D6" s="7">
        <f>$B6 * IFERROR(VLOOKUP("LULUCF|PM25|Asthma symptoms cough", US_national_yearly!$D:$AM, 12, FALSE) / VLOOKUP("LULUCF|PM25|Asthma symptoms cough", US_national_yearly!$D:$AM, 10, FALSE), 1)</f>
        <v>9.0678076423331719E-4</v>
      </c>
      <c r="E6" s="7">
        <f>$B6 * IFERROR(VLOOKUP("LULUCF|PM25|Asthma symptoms cough", US_national_yearly!$D:$AM, 13, FALSE) / VLOOKUP("LULUCF|PM25|Asthma symptoms cough", US_national_yearly!$D:$AM, 10, FALSE), 1)</f>
        <v>9.0678076423331719E-4</v>
      </c>
      <c r="F6" s="7">
        <f>$B6 * IFERROR(VLOOKUP("LULUCF|PM25|Asthma symptoms cough", US_national_yearly!$D:$AM, 14, FALSE) / VLOOKUP("LULUCF|PM25|Asthma symptoms cough", US_national_yearly!$D:$AM, 10, FALSE), 1)</f>
        <v>9.0678076423331719E-4</v>
      </c>
      <c r="G6" s="7">
        <f>$B6 * IFERROR(VLOOKUP("LULUCF|PM25|Asthma symptoms cough", US_national_yearly!$D:$AM, 15, FALSE) / VLOOKUP("LULUCF|PM25|Asthma symptoms cough", US_national_yearly!$D:$AM, 10, FALSE), 1)</f>
        <v>9.0678076423331719E-4</v>
      </c>
      <c r="H6" s="7">
        <f>$B6 * IFERROR(VLOOKUP("LULUCF|PM25|Asthma symptoms cough", US_national_yearly!$D:$AM, 16, FALSE) / VLOOKUP("LULUCF|PM25|Asthma symptoms cough", US_national_yearly!$D:$AM, 10, FALSE), 1)</f>
        <v>9.0678076423331719E-4</v>
      </c>
      <c r="I6" s="7">
        <f>$B6 * IFERROR(VLOOKUP("LULUCF|PM25|Asthma symptoms cough", US_national_yearly!$D:$AM, 17, FALSE) / VLOOKUP("LULUCF|PM25|Asthma symptoms cough", US_national_yearly!$D:$AM, 10, FALSE), 1)</f>
        <v>9.0678076423331719E-4</v>
      </c>
      <c r="J6" s="7">
        <f>$B6 * IFERROR(VLOOKUP("LULUCF|PM25|Asthma symptoms cough", US_national_yearly!$D:$AM, 18, FALSE) / VLOOKUP("LULUCF|PM25|Asthma symptoms cough", US_national_yearly!$D:$AM, 10, FALSE), 1)</f>
        <v>9.0678076423331719E-4</v>
      </c>
      <c r="K6" s="7">
        <f>$B6 * IFERROR(VLOOKUP("LULUCF|PM25|Asthma symptoms cough", US_national_yearly!$D:$AM, 19, FALSE) / VLOOKUP("LULUCF|PM25|Asthma symptoms cough", US_national_yearly!$D:$AM, 10, FALSE), 1)</f>
        <v>9.0678076423331719E-4</v>
      </c>
      <c r="L6" s="7">
        <f>$B6 * IFERROR(VLOOKUP("LULUCF|PM25|Asthma symptoms cough", US_national_yearly!$D:$AM, 20, FALSE) / VLOOKUP("LULUCF|PM25|Asthma symptoms cough", US_national_yearly!$D:$AM, 10, FALSE), 1)</f>
        <v>9.0678076423331719E-4</v>
      </c>
      <c r="M6" s="7">
        <f>$B6 * IFERROR(VLOOKUP("LULUCF|PM25|Asthma symptoms cough", US_national_yearly!$D:$AM, 21, FALSE) / VLOOKUP("LULUCF|PM25|Asthma symptoms cough", US_national_yearly!$D:$AM, 10, FALSE), 1)</f>
        <v>9.0678076423331719E-4</v>
      </c>
      <c r="N6" s="7">
        <f>$B6 * IFERROR(VLOOKUP("LULUCF|PM25|Asthma symptoms cough", US_national_yearly!$D:$AM, 22, FALSE) / VLOOKUP("LULUCF|PM25|Asthma symptoms cough", US_national_yearly!$D:$AM, 10, FALSE), 1)</f>
        <v>9.0678076423331719E-4</v>
      </c>
      <c r="O6" s="7">
        <f>$B6 * IFERROR(VLOOKUP("LULUCF|PM25|Asthma symptoms cough", US_national_yearly!$D:$AM, 23, FALSE) / VLOOKUP("LULUCF|PM25|Asthma symptoms cough", US_national_yearly!$D:$AM, 10, FALSE), 1)</f>
        <v>9.0678076423331719E-4</v>
      </c>
      <c r="P6" s="7">
        <f>$B6 * IFERROR(VLOOKUP("LULUCF|PM25|Asthma symptoms cough", US_national_yearly!$D:$AM, 24, FALSE) / VLOOKUP("LULUCF|PM25|Asthma symptoms cough", US_national_yearly!$D:$AM, 10, FALSE), 1)</f>
        <v>9.0678076423331719E-4</v>
      </c>
      <c r="Q6" s="7">
        <f>$B6 * IFERROR(VLOOKUP("LULUCF|PM25|Asthma symptoms cough", US_national_yearly!$D:$AM, 25, FALSE) / VLOOKUP("LULUCF|PM25|Asthma symptoms cough", US_national_yearly!$D:$AM, 10, FALSE), 1)</f>
        <v>9.0678076423331719E-4</v>
      </c>
      <c r="R6" s="7">
        <f>$B6 * IFERROR(VLOOKUP("LULUCF|PM25|Asthma symptoms cough", US_national_yearly!$D:$AM, 26, FALSE) / VLOOKUP("LULUCF|PM25|Asthma symptoms cough", US_national_yearly!$D:$AM, 10, FALSE), 1)</f>
        <v>9.0678076423331719E-4</v>
      </c>
      <c r="S6" s="7">
        <f>$B6 * IFERROR(VLOOKUP("LULUCF|PM25|Asthma symptoms cough", US_national_yearly!$D:$AM, 27, FALSE) / VLOOKUP("LULUCF|PM25|Asthma symptoms cough", US_national_yearly!$D:$AM, 10, FALSE), 1)</f>
        <v>9.0678076423331719E-4</v>
      </c>
      <c r="T6" s="7">
        <f>$B6 * IFERROR(VLOOKUP("LULUCF|PM25|Asthma symptoms cough", US_national_yearly!$D:$AM, 28, FALSE) / VLOOKUP("LULUCF|PM25|Asthma symptoms cough", US_national_yearly!$D:$AM, 10, FALSE), 1)</f>
        <v>9.0678076423331719E-4</v>
      </c>
      <c r="U6" s="7">
        <f>$B6 * IFERROR(VLOOKUP("LULUCF|PM25|Asthma symptoms cough", US_national_yearly!$D:$AM, 29, FALSE) / VLOOKUP("LULUCF|PM25|Asthma symptoms cough", US_national_yearly!$D:$AM, 10, FALSE), 1)</f>
        <v>9.0678076423331719E-4</v>
      </c>
      <c r="V6" s="7">
        <f>$B6 * IFERROR(VLOOKUP("LULUCF|PM25|Asthma symptoms cough", US_national_yearly!$D:$AM, 30, FALSE) / VLOOKUP("LULUCF|PM25|Asthma symptoms cough", US_national_yearly!$D:$AM, 10, FALSE), 1)</f>
        <v>9.0678076423331719E-4</v>
      </c>
      <c r="W6" s="7">
        <f>$B6 * IFERROR(VLOOKUP("LULUCF|PM25|Asthma symptoms cough", US_national_yearly!$D:$AM, 31, FALSE) / VLOOKUP("LULUCF|PM25|Asthma symptoms cough", US_national_yearly!$D:$AM, 10, FALSE), 1)</f>
        <v>9.0678076423331719E-4</v>
      </c>
      <c r="X6" s="7">
        <f>$B6 * IFERROR(VLOOKUP("LULUCF|PM25|Asthma symptoms cough", US_national_yearly!$D:$AM, 32, FALSE) / VLOOKUP("LULUCF|PM25|Asthma symptoms cough", US_national_yearly!$D:$AM, 10, FALSE), 1)</f>
        <v>9.0678076423331719E-4</v>
      </c>
      <c r="Y6" s="7">
        <f>$B6 * IFERROR(VLOOKUP("LULUCF|PM25|Asthma symptoms cough", US_national_yearly!$D:$AM, 33, FALSE) / VLOOKUP("LULUCF|PM25|Asthma symptoms cough", US_national_yearly!$D:$AM, 10, FALSE), 1)</f>
        <v>9.0678076423331719E-4</v>
      </c>
      <c r="Z6" s="7">
        <f>$B6 * IFERROR(VLOOKUP("LULUCF|PM25|Asthma symptoms cough", US_national_yearly!$D:$AM, 34, FALSE) / VLOOKUP("LULUCF|PM25|Asthma symptoms cough", US_national_yearly!$D:$AM, 10, FALSE), 1)</f>
        <v>9.0678076423331719E-4</v>
      </c>
      <c r="AA6" s="7">
        <f>$B6 * IFERROR(VLOOKUP("LULUCF|PM25|Asthma symptoms cough", US_national_yearly!$D:$AM, 35, FALSE) / VLOOKUP("LULUCF|PM25|Asthma symptoms cough", US_national_yearly!$D:$AM, 10, FALSE), 1)</f>
        <v>9.0678076423331719E-4</v>
      </c>
      <c r="AB6" s="7">
        <f>$B6 * IFERROR(VLOOKUP("LULUCF|PM25|Asthma symptoms cough", US_national_yearly!$D:$AM, 36, FALSE) / VLOOKUP("LULUCF|PM25|Asthma symptoms cough", US_national_yearly!$D:$AM, 10, FALSE), 1)</f>
        <v>9.0678076423331719E-4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1.2211084457054377E-3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1.2211084457054377E-3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1.2211084457054377E-3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1.2211084457054377E-3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1.2211084457054377E-3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1.2211084457054377E-3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1.2211084457054377E-3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1.2211084457054377E-3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1.2211084457054377E-3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1.2211084457054377E-3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1.2211084457054377E-3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1.2211084457054377E-3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1.2211084457054377E-3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1.2211084457054377E-3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1.2211084457054377E-3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1.2211084457054377E-3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1.2211084457054377E-3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1.2211084457054377E-3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1.2211084457054377E-3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1.2211084457054377E-3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1.2211084457054377E-3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1.2211084457054377E-3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1.2211084457054377E-3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1.2211084457054377E-3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1.2211084457054377E-3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1.2211084457054377E-3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1.2211084457054377E-3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1.8656589932165473E-3</v>
      </c>
      <c r="C8" s="7">
        <f>$B8 * IFERROR(VLOOKUP("LULUCF|PM25|Asthma symptoms wheeze", US_national_yearly!$D:$AM, 11, FALSE) / VLOOKUP("LULUCF|PM25|Asthma symptoms wheeze", US_national_yearly!$D:$AM, 10, FALSE), 1)</f>
        <v>1.8656589932165473E-3</v>
      </c>
      <c r="D8" s="7">
        <f>$B8 * IFERROR(VLOOKUP("LULUCF|PM25|Asthma symptoms wheeze", US_national_yearly!$D:$AM, 12, FALSE) / VLOOKUP("LULUCF|PM25|Asthma symptoms wheeze", US_national_yearly!$D:$AM, 10, FALSE), 1)</f>
        <v>1.8656589932165473E-3</v>
      </c>
      <c r="E8" s="7">
        <f>$B8 * IFERROR(VLOOKUP("LULUCF|PM25|Asthma symptoms wheeze", US_national_yearly!$D:$AM, 13, FALSE) / VLOOKUP("LULUCF|PM25|Asthma symptoms wheeze", US_national_yearly!$D:$AM, 10, FALSE), 1)</f>
        <v>1.8656589932165473E-3</v>
      </c>
      <c r="F8" s="7">
        <f>$B8 * IFERROR(VLOOKUP("LULUCF|PM25|Asthma symptoms wheeze", US_national_yearly!$D:$AM, 14, FALSE) / VLOOKUP("LULUCF|PM25|Asthma symptoms wheeze", US_national_yearly!$D:$AM, 10, FALSE), 1)</f>
        <v>1.8656589932165473E-3</v>
      </c>
      <c r="G8" s="7">
        <f>$B8 * IFERROR(VLOOKUP("LULUCF|PM25|Asthma symptoms wheeze", US_national_yearly!$D:$AM, 15, FALSE) / VLOOKUP("LULUCF|PM25|Asthma symptoms wheeze", US_national_yearly!$D:$AM, 10, FALSE), 1)</f>
        <v>1.8656589932165473E-3</v>
      </c>
      <c r="H8" s="7">
        <f>$B8 * IFERROR(VLOOKUP("LULUCF|PM25|Asthma symptoms wheeze", US_national_yearly!$D:$AM, 16, FALSE) / VLOOKUP("LULUCF|PM25|Asthma symptoms wheeze", US_national_yearly!$D:$AM, 10, FALSE), 1)</f>
        <v>1.8656589932165473E-3</v>
      </c>
      <c r="I8" s="7">
        <f>$B8 * IFERROR(VLOOKUP("LULUCF|PM25|Asthma symptoms wheeze", US_national_yearly!$D:$AM, 17, FALSE) / VLOOKUP("LULUCF|PM25|Asthma symptoms wheeze", US_national_yearly!$D:$AM, 10, FALSE), 1)</f>
        <v>1.8656589932165473E-3</v>
      </c>
      <c r="J8" s="7">
        <f>$B8 * IFERROR(VLOOKUP("LULUCF|PM25|Asthma symptoms wheeze", US_national_yearly!$D:$AM, 18, FALSE) / VLOOKUP("LULUCF|PM25|Asthma symptoms wheeze", US_national_yearly!$D:$AM, 10, FALSE), 1)</f>
        <v>1.8656589932165473E-3</v>
      </c>
      <c r="K8" s="7">
        <f>$B8 * IFERROR(VLOOKUP("LULUCF|PM25|Asthma symptoms wheeze", US_national_yearly!$D:$AM, 19, FALSE) / VLOOKUP("LULUCF|PM25|Asthma symptoms wheeze", US_national_yearly!$D:$AM, 10, FALSE), 1)</f>
        <v>1.8656589932165473E-3</v>
      </c>
      <c r="L8" s="7">
        <f>$B8 * IFERROR(VLOOKUP("LULUCF|PM25|Asthma symptoms wheeze", US_national_yearly!$D:$AM, 20, FALSE) / VLOOKUP("LULUCF|PM25|Asthma symptoms wheeze", US_national_yearly!$D:$AM, 10, FALSE), 1)</f>
        <v>1.8656589932165473E-3</v>
      </c>
      <c r="M8" s="7">
        <f>$B8 * IFERROR(VLOOKUP("LULUCF|PM25|Asthma symptoms wheeze", US_national_yearly!$D:$AM, 21, FALSE) / VLOOKUP("LULUCF|PM25|Asthma symptoms wheeze", US_national_yearly!$D:$AM, 10, FALSE), 1)</f>
        <v>1.8656589932165473E-3</v>
      </c>
      <c r="N8" s="7">
        <f>$B8 * IFERROR(VLOOKUP("LULUCF|PM25|Asthma symptoms wheeze", US_national_yearly!$D:$AM, 22, FALSE) / VLOOKUP("LULUCF|PM25|Asthma symptoms wheeze", US_national_yearly!$D:$AM, 10, FALSE), 1)</f>
        <v>1.8656589932165473E-3</v>
      </c>
      <c r="O8" s="7">
        <f>$B8 * IFERROR(VLOOKUP("LULUCF|PM25|Asthma symptoms wheeze", US_national_yearly!$D:$AM, 23, FALSE) / VLOOKUP("LULUCF|PM25|Asthma symptoms wheeze", US_national_yearly!$D:$AM, 10, FALSE), 1)</f>
        <v>1.8656589932165473E-3</v>
      </c>
      <c r="P8" s="7">
        <f>$B8 * IFERROR(VLOOKUP("LULUCF|PM25|Asthma symptoms wheeze", US_national_yearly!$D:$AM, 24, FALSE) / VLOOKUP("LULUCF|PM25|Asthma symptoms wheeze", US_national_yearly!$D:$AM, 10, FALSE), 1)</f>
        <v>1.8656589932165473E-3</v>
      </c>
      <c r="Q8" s="7">
        <f>$B8 * IFERROR(VLOOKUP("LULUCF|PM25|Asthma symptoms wheeze", US_national_yearly!$D:$AM, 25, FALSE) / VLOOKUP("LULUCF|PM25|Asthma symptoms wheeze", US_national_yearly!$D:$AM, 10, FALSE), 1)</f>
        <v>1.8656589932165473E-3</v>
      </c>
      <c r="R8" s="7">
        <f>$B8 * IFERROR(VLOOKUP("LULUCF|PM25|Asthma symptoms wheeze", US_national_yearly!$D:$AM, 26, FALSE) / VLOOKUP("LULUCF|PM25|Asthma symptoms wheeze", US_national_yearly!$D:$AM, 10, FALSE), 1)</f>
        <v>1.8656589932165473E-3</v>
      </c>
      <c r="S8" s="7">
        <f>$B8 * IFERROR(VLOOKUP("LULUCF|PM25|Asthma symptoms wheeze", US_national_yearly!$D:$AM, 27, FALSE) / VLOOKUP("LULUCF|PM25|Asthma symptoms wheeze", US_national_yearly!$D:$AM, 10, FALSE), 1)</f>
        <v>1.8656589932165473E-3</v>
      </c>
      <c r="T8" s="7">
        <f>$B8 * IFERROR(VLOOKUP("LULUCF|PM25|Asthma symptoms wheeze", US_national_yearly!$D:$AM, 28, FALSE) / VLOOKUP("LULUCF|PM25|Asthma symptoms wheeze", US_national_yearly!$D:$AM, 10, FALSE), 1)</f>
        <v>1.8656589932165473E-3</v>
      </c>
      <c r="U8" s="7">
        <f>$B8 * IFERROR(VLOOKUP("LULUCF|PM25|Asthma symptoms wheeze", US_national_yearly!$D:$AM, 29, FALSE) / VLOOKUP("LULUCF|PM25|Asthma symptoms wheeze", US_national_yearly!$D:$AM, 10, FALSE), 1)</f>
        <v>1.8656589932165473E-3</v>
      </c>
      <c r="V8" s="7">
        <f>$B8 * IFERROR(VLOOKUP("LULUCF|PM25|Asthma symptoms wheeze", US_national_yearly!$D:$AM, 30, FALSE) / VLOOKUP("LULUCF|PM25|Asthma symptoms wheeze", US_national_yearly!$D:$AM, 10, FALSE), 1)</f>
        <v>1.8656589932165473E-3</v>
      </c>
      <c r="W8" s="7">
        <f>$B8 * IFERROR(VLOOKUP("LULUCF|PM25|Asthma symptoms wheeze", US_national_yearly!$D:$AM, 31, FALSE) / VLOOKUP("LULUCF|PM25|Asthma symptoms wheeze", US_national_yearly!$D:$AM, 10, FALSE), 1)</f>
        <v>1.8656589932165473E-3</v>
      </c>
      <c r="X8" s="7">
        <f>$B8 * IFERROR(VLOOKUP("LULUCF|PM25|Asthma symptoms wheeze", US_national_yearly!$D:$AM, 32, FALSE) / VLOOKUP("LULUCF|PM25|Asthma symptoms wheeze", US_national_yearly!$D:$AM, 10, FALSE), 1)</f>
        <v>1.8656589932165473E-3</v>
      </c>
      <c r="Y8" s="7">
        <f>$B8 * IFERROR(VLOOKUP("LULUCF|PM25|Asthma symptoms wheeze", US_national_yearly!$D:$AM, 33, FALSE) / VLOOKUP("LULUCF|PM25|Asthma symptoms wheeze", US_national_yearly!$D:$AM, 10, FALSE), 1)</f>
        <v>1.8656589932165473E-3</v>
      </c>
      <c r="Z8" s="7">
        <f>$B8 * IFERROR(VLOOKUP("LULUCF|PM25|Asthma symptoms wheeze", US_national_yearly!$D:$AM, 34, FALSE) / VLOOKUP("LULUCF|PM25|Asthma symptoms wheeze", US_national_yearly!$D:$AM, 10, FALSE), 1)</f>
        <v>1.8656589932165473E-3</v>
      </c>
      <c r="AA8" s="7">
        <f>$B8 * IFERROR(VLOOKUP("LULUCF|PM25|Asthma symptoms wheeze", US_national_yearly!$D:$AM, 35, FALSE) / VLOOKUP("LULUCF|PM25|Asthma symptoms wheeze", US_national_yearly!$D:$AM, 10, FALSE), 1)</f>
        <v>1.8656589932165473E-3</v>
      </c>
      <c r="AB8" s="7">
        <f>$B8 * IFERROR(VLOOKUP("LULUCF|PM25|Asthma symptoms wheeze", US_national_yearly!$D:$AM, 36, FALSE) / VLOOKUP("LULUCF|PM25|Asthma symptoms wheeze", US_national_yearly!$D:$AM, 10, FALSE), 1)</f>
        <v>1.8656589932165473E-3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2.4638328867175913E-5</v>
      </c>
      <c r="C12" s="7">
        <f>$B12 * IFERROR(VLOOKUP("LULUCF|PM25|Respiratory hospital admissions", US_national_yearly!$D:$AM, 11, FALSE) / VLOOKUP("LULUCF|PM25|Respiratory hospital admissions", US_national_yearly!$D:$AM, 10, FALSE), 1)</f>
        <v>2.4779545837592821E-5</v>
      </c>
      <c r="D12" s="7">
        <f>$B12 * IFERROR(VLOOKUP("LULUCF|PM25|Respiratory hospital admissions", US_national_yearly!$D:$AM, 12, FALSE) / VLOOKUP("LULUCF|PM25|Respiratory hospital admissions", US_national_yearly!$D:$AM, 10, FALSE), 1)</f>
        <v>2.4920762808009722E-5</v>
      </c>
      <c r="E12" s="7">
        <f>$B12 * IFERROR(VLOOKUP("LULUCF|PM25|Respiratory hospital admissions", US_national_yearly!$D:$AM, 13, FALSE) / VLOOKUP("LULUCF|PM25|Respiratory hospital admissions", US_national_yearly!$D:$AM, 10, FALSE), 1)</f>
        <v>2.5061979778426627E-5</v>
      </c>
      <c r="F12" s="7">
        <f>$B12 * IFERROR(VLOOKUP("LULUCF|PM25|Respiratory hospital admissions", US_national_yearly!$D:$AM, 14, FALSE) / VLOOKUP("LULUCF|PM25|Respiratory hospital admissions", US_national_yearly!$D:$AM, 10, FALSE), 1)</f>
        <v>2.5203196748843528E-5</v>
      </c>
      <c r="G12" s="7">
        <f>$B12 * IFERROR(VLOOKUP("LULUCF|PM25|Respiratory hospital admissions", US_national_yearly!$D:$AM, 15, FALSE) / VLOOKUP("LULUCF|PM25|Respiratory hospital admissions", US_national_yearly!$D:$AM, 10, FALSE), 1)</f>
        <v>2.5355717100542589E-5</v>
      </c>
      <c r="H12" s="7">
        <f>$B12 * IFERROR(VLOOKUP("LULUCF|PM25|Respiratory hospital admissions", US_national_yearly!$D:$AM, 16, FALSE) / VLOOKUP("LULUCF|PM25|Respiratory hospital admissions", US_national_yearly!$D:$AM, 10, FALSE), 1)</f>
        <v>2.550823745224165E-5</v>
      </c>
      <c r="I12" s="7">
        <f>$B12 * IFERROR(VLOOKUP("LULUCF|PM25|Respiratory hospital admissions", US_national_yearly!$D:$AM, 17, FALSE) / VLOOKUP("LULUCF|PM25|Respiratory hospital admissions", US_national_yearly!$D:$AM, 10, FALSE), 1)</f>
        <v>2.5653964853506292E-5</v>
      </c>
      <c r="J12" s="7">
        <f>$B12 * IFERROR(VLOOKUP("LULUCF|PM25|Respiratory hospital admissions", US_national_yearly!$D:$AM, 18, FALSE) / VLOOKUP("LULUCF|PM25|Respiratory hospital admissions", US_national_yearly!$D:$AM, 10, FALSE), 1)</f>
        <v>2.5799692254770944E-5</v>
      </c>
      <c r="K12" s="7">
        <f>$B12 * IFERROR(VLOOKUP("LULUCF|PM25|Respiratory hospital admissions", US_national_yearly!$D:$AM, 19, FALSE) / VLOOKUP("LULUCF|PM25|Respiratory hospital admissions", US_national_yearly!$D:$AM, 10, FALSE), 1)</f>
        <v>2.5945419656035592E-5</v>
      </c>
      <c r="L12" s="7">
        <f>$B12 * IFERROR(VLOOKUP("LULUCF|PM25|Respiratory hospital admissions", US_national_yearly!$D:$AM, 20, FALSE) / VLOOKUP("LULUCF|PM25|Respiratory hospital admissions", US_national_yearly!$D:$AM, 10, FALSE), 1)</f>
        <v>2.6091147057300244E-5</v>
      </c>
      <c r="M12" s="7">
        <f>$B12 * IFERROR(VLOOKUP("LULUCF|PM25|Respiratory hospital admissions", US_national_yearly!$D:$AM, 21, FALSE) / VLOOKUP("LULUCF|PM25|Respiratory hospital admissions", US_national_yearly!$D:$AM, 10, FALSE), 1)</f>
        <v>2.6236874458564886E-5</v>
      </c>
      <c r="N12" s="7">
        <f>$B12 * IFERROR(VLOOKUP("LULUCF|PM25|Respiratory hospital admissions", US_national_yearly!$D:$AM, 22, FALSE) / VLOOKUP("LULUCF|PM25|Respiratory hospital admissions", US_national_yearly!$D:$AM, 10, FALSE), 1)</f>
        <v>2.6341467267044631E-5</v>
      </c>
      <c r="O12" s="7">
        <f>$B12 * IFERROR(VLOOKUP("LULUCF|PM25|Respiratory hospital admissions", US_national_yearly!$D:$AM, 23, FALSE) / VLOOKUP("LULUCF|PM25|Respiratory hospital admissions", US_national_yearly!$D:$AM, 10, FALSE), 1)</f>
        <v>2.6446060075524373E-5</v>
      </c>
      <c r="P12" s="7">
        <f>$B12 * IFERROR(VLOOKUP("LULUCF|PM25|Respiratory hospital admissions", US_national_yearly!$D:$AM, 24, FALSE) / VLOOKUP("LULUCF|PM25|Respiratory hospital admissions", US_national_yearly!$D:$AM, 10, FALSE), 1)</f>
        <v>2.6550652884004108E-5</v>
      </c>
      <c r="Q12" s="7">
        <f>$B12 * IFERROR(VLOOKUP("LULUCF|PM25|Respiratory hospital admissions", US_national_yearly!$D:$AM, 25, FALSE) / VLOOKUP("LULUCF|PM25|Respiratory hospital admissions", US_national_yearly!$D:$AM, 10, FALSE), 1)</f>
        <v>2.6655245692483846E-5</v>
      </c>
      <c r="R12" s="7">
        <f>$B12 * IFERROR(VLOOKUP("LULUCF|PM25|Respiratory hospital admissions", US_national_yearly!$D:$AM, 26, FALSE) / VLOOKUP("LULUCF|PM25|Respiratory hospital admissions", US_national_yearly!$D:$AM, 10, FALSE), 1)</f>
        <v>2.6759838500963594E-5</v>
      </c>
      <c r="S12" s="7">
        <f>$B12 * IFERROR(VLOOKUP("LULUCF|PM25|Respiratory hospital admissions", US_national_yearly!$D:$AM, 27, FALSE) / VLOOKUP("LULUCF|PM25|Respiratory hospital admissions", US_national_yearly!$D:$AM, 10, FALSE), 1)</f>
        <v>2.6859424636607908E-5</v>
      </c>
      <c r="T12" s="7">
        <f>$B12 * IFERROR(VLOOKUP("LULUCF|PM25|Respiratory hospital admissions", US_national_yearly!$D:$AM, 28, FALSE) / VLOOKUP("LULUCF|PM25|Respiratory hospital admissions", US_national_yearly!$D:$AM, 10, FALSE), 1)</f>
        <v>2.6959010772252228E-5</v>
      </c>
      <c r="U12" s="7">
        <f>$B12 * IFERROR(VLOOKUP("LULUCF|PM25|Respiratory hospital admissions", US_national_yearly!$D:$AM, 29, FALSE) / VLOOKUP("LULUCF|PM25|Respiratory hospital admissions", US_national_yearly!$D:$AM, 10, FALSE), 1)</f>
        <v>2.7058596907896542E-5</v>
      </c>
      <c r="V12" s="7">
        <f>$B12 * IFERROR(VLOOKUP("LULUCF|PM25|Respiratory hospital admissions", US_national_yearly!$D:$AM, 30, FALSE) / VLOOKUP("LULUCF|PM25|Respiratory hospital admissions", US_national_yearly!$D:$AM, 10, FALSE), 1)</f>
        <v>2.7158183043540858E-5</v>
      </c>
      <c r="W12" s="7">
        <f>$B12 * IFERROR(VLOOKUP("LULUCF|PM25|Respiratory hospital admissions", US_national_yearly!$D:$AM, 31, FALSE) / VLOOKUP("LULUCF|PM25|Respiratory hospital admissions", US_national_yearly!$D:$AM, 10, FALSE), 1)</f>
        <v>2.7257769179185172E-5</v>
      </c>
      <c r="X12" s="7">
        <f>$B12 * IFERROR(VLOOKUP("LULUCF|PM25|Respiratory hospital admissions", US_national_yearly!$D:$AM, 32, FALSE) / VLOOKUP("LULUCF|PM25|Respiratory hospital admissions", US_national_yearly!$D:$AM, 10, FALSE), 1)</f>
        <v>2.7353572312012699E-5</v>
      </c>
      <c r="Y12" s="7">
        <f>$B12 * IFERROR(VLOOKUP("LULUCF|PM25|Respiratory hospital admissions", US_national_yearly!$D:$AM, 33, FALSE) / VLOOKUP("LULUCF|PM25|Respiratory hospital admissions", US_national_yearly!$D:$AM, 10, FALSE), 1)</f>
        <v>2.7449375444840213E-5</v>
      </c>
      <c r="Z12" s="7">
        <f>$B12 * IFERROR(VLOOKUP("LULUCF|PM25|Respiratory hospital admissions", US_national_yearly!$D:$AM, 34, FALSE) / VLOOKUP("LULUCF|PM25|Respiratory hospital admissions", US_national_yearly!$D:$AM, 10, FALSE), 1)</f>
        <v>2.7545178577667734E-5</v>
      </c>
      <c r="AA12" s="7">
        <f>$B12 * IFERROR(VLOOKUP("LULUCF|PM25|Respiratory hospital admissions", US_national_yearly!$D:$AM, 35, FALSE) / VLOOKUP("LULUCF|PM25|Respiratory hospital admissions", US_national_yearly!$D:$AM, 10, FALSE), 1)</f>
        <v>2.7640981710495248E-5</v>
      </c>
      <c r="AB12" s="7">
        <f>$B12 * IFERROR(VLOOKUP("LULUCF|PM25|Respiratory hospital admissions", US_national_yearly!$D:$AM, 36, FALSE) / VLOOKUP("LULUCF|PM25|Respiratory hospital admissions", US_national_yearly!$D:$AM, 10, FALSE), 1)</f>
        <v>2.7736784843322768E-5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1.5846828466670166E-4</v>
      </c>
      <c r="C13" s="7">
        <f>$B13 * IFERROR(VLOOKUP("LULUCF|PM25|Non-fatal heart attacks", US_national_yearly!$D:$AM, 11, FALSE) / VLOOKUP("LULUCF|PM25|Non-fatal heart attacks", US_national_yearly!$D:$AM, 10, FALSE), 1)</f>
        <v>1.6307537822866092E-4</v>
      </c>
      <c r="D13" s="7">
        <f>$B13 * IFERROR(VLOOKUP("LULUCF|PM25|Non-fatal heart attacks", US_national_yearly!$D:$AM, 12, FALSE) / VLOOKUP("LULUCF|PM25|Non-fatal heart attacks", US_national_yearly!$D:$AM, 10, FALSE), 1)</f>
        <v>1.6768247179062019E-4</v>
      </c>
      <c r="E13" s="7">
        <f>$B13 * IFERROR(VLOOKUP("LULUCF|PM25|Non-fatal heart attacks", US_national_yearly!$D:$AM, 13, FALSE) / VLOOKUP("LULUCF|PM25|Non-fatal heart attacks", US_national_yearly!$D:$AM, 10, FALSE), 1)</f>
        <v>1.7228956535257942E-4</v>
      </c>
      <c r="F13" s="7">
        <f>$B13 * IFERROR(VLOOKUP("LULUCF|PM25|Non-fatal heart attacks", US_national_yearly!$D:$AM, 14, FALSE) / VLOOKUP("LULUCF|PM25|Non-fatal heart attacks", US_national_yearly!$D:$AM, 10, FALSE), 1)</f>
        <v>1.7689665891453874E-4</v>
      </c>
      <c r="G13" s="7">
        <f>$B13 * IFERROR(VLOOKUP("LULUCF|PM25|Non-fatal heart attacks", US_national_yearly!$D:$AM, 15, FALSE) / VLOOKUP("LULUCF|PM25|Non-fatal heart attacks", US_national_yearly!$D:$AM, 10, FALSE), 1)</f>
        <v>1.8124143939827472E-4</v>
      </c>
      <c r="H13" s="7">
        <f>$B13 * IFERROR(VLOOKUP("LULUCF|PM25|Non-fatal heart attacks", US_national_yearly!$D:$AM, 16, FALSE) / VLOOKUP("LULUCF|PM25|Non-fatal heart attacks", US_national_yearly!$D:$AM, 10, FALSE), 1)</f>
        <v>1.8558621988201067E-4</v>
      </c>
      <c r="I13" s="7">
        <f>$B13 * IFERROR(VLOOKUP("LULUCF|PM25|Non-fatal heart attacks", US_national_yearly!$D:$AM, 17, FALSE) / VLOOKUP("LULUCF|PM25|Non-fatal heart attacks", US_national_yearly!$D:$AM, 10, FALSE), 1)</f>
        <v>1.8907797764348023E-4</v>
      </c>
      <c r="J13" s="7">
        <f>$B13 * IFERROR(VLOOKUP("LULUCF|PM25|Non-fatal heart attacks", US_national_yearly!$D:$AM, 18, FALSE) / VLOOKUP("LULUCF|PM25|Non-fatal heart attacks", US_national_yearly!$D:$AM, 10, FALSE), 1)</f>
        <v>1.9256973540494979E-4</v>
      </c>
      <c r="K13" s="7">
        <f>$B13 * IFERROR(VLOOKUP("LULUCF|PM25|Non-fatal heart attacks", US_national_yearly!$D:$AM, 19, FALSE) / VLOOKUP("LULUCF|PM25|Non-fatal heart attacks", US_national_yearly!$D:$AM, 10, FALSE), 1)</f>
        <v>1.9606149316641938E-4</v>
      </c>
      <c r="L13" s="7">
        <f>$B13 * IFERROR(VLOOKUP("LULUCF|PM25|Non-fatal heart attacks", US_national_yearly!$D:$AM, 20, FALSE) / VLOOKUP("LULUCF|PM25|Non-fatal heart attacks", US_national_yearly!$D:$AM, 10, FALSE), 1)</f>
        <v>1.9955325092788895E-4</v>
      </c>
      <c r="M13" s="7">
        <f>$B13 * IFERROR(VLOOKUP("LULUCF|PM25|Non-fatal heart attacks", US_national_yearly!$D:$AM, 21, FALSE) / VLOOKUP("LULUCF|PM25|Non-fatal heart attacks", US_national_yearly!$D:$AM, 10, FALSE), 1)</f>
        <v>2.0304500868935854E-4</v>
      </c>
      <c r="N13" s="7">
        <f>$B13 * IFERROR(VLOOKUP("LULUCF|PM25|Non-fatal heart attacks", US_national_yearly!$D:$AM, 22, FALSE) / VLOOKUP("LULUCF|PM25|Non-fatal heart attacks", US_national_yearly!$D:$AM, 10, FALSE), 1)</f>
        <v>2.0529684765021133E-4</v>
      </c>
      <c r="O13" s="7">
        <f>$B13 * IFERROR(VLOOKUP("LULUCF|PM25|Non-fatal heart attacks", US_national_yearly!$D:$AM, 23, FALSE) / VLOOKUP("LULUCF|PM25|Non-fatal heart attacks", US_national_yearly!$D:$AM, 10, FALSE), 1)</f>
        <v>2.0754868661106417E-4</v>
      </c>
      <c r="P13" s="7">
        <f>$B13 * IFERROR(VLOOKUP("LULUCF|PM25|Non-fatal heart attacks", US_national_yearly!$D:$AM, 24, FALSE) / VLOOKUP("LULUCF|PM25|Non-fatal heart attacks", US_national_yearly!$D:$AM, 10, FALSE), 1)</f>
        <v>2.0980052557191699E-4</v>
      </c>
      <c r="Q13" s="7">
        <f>$B13 * IFERROR(VLOOKUP("LULUCF|PM25|Non-fatal heart attacks", US_national_yearly!$D:$AM, 25, FALSE) / VLOOKUP("LULUCF|PM25|Non-fatal heart attacks", US_national_yearly!$D:$AM, 10, FALSE), 1)</f>
        <v>2.1205236453276978E-4</v>
      </c>
      <c r="R13" s="7">
        <f>$B13 * IFERROR(VLOOKUP("LULUCF|PM25|Non-fatal heart attacks", US_national_yearly!$D:$AM, 26, FALSE) / VLOOKUP("LULUCF|PM25|Non-fatal heart attacks", US_national_yearly!$D:$AM, 10, FALSE), 1)</f>
        <v>2.1430420349362263E-4</v>
      </c>
      <c r="S13" s="7">
        <f>$B13 * IFERROR(VLOOKUP("LULUCF|PM25|Non-fatal heart attacks", US_national_yearly!$D:$AM, 27, FALSE) / VLOOKUP("LULUCF|PM25|Non-fatal heart attacks", US_national_yearly!$D:$AM, 10, FALSE), 1)</f>
        <v>2.1549008622495584E-4</v>
      </c>
      <c r="T13" s="7">
        <f>$B13 * IFERROR(VLOOKUP("LULUCF|PM25|Non-fatal heart attacks", US_national_yearly!$D:$AM, 28, FALSE) / VLOOKUP("LULUCF|PM25|Non-fatal heart attacks", US_national_yearly!$D:$AM, 10, FALSE), 1)</f>
        <v>2.1667596895628911E-4</v>
      </c>
      <c r="U13" s="7">
        <f>$B13 * IFERROR(VLOOKUP("LULUCF|PM25|Non-fatal heart attacks", US_national_yearly!$D:$AM, 29, FALSE) / VLOOKUP("LULUCF|PM25|Non-fatal heart attacks", US_national_yearly!$D:$AM, 10, FALSE), 1)</f>
        <v>2.1786185168762238E-4</v>
      </c>
      <c r="V13" s="7">
        <f>$B13 * IFERROR(VLOOKUP("LULUCF|PM25|Non-fatal heart attacks", US_national_yearly!$D:$AM, 30, FALSE) / VLOOKUP("LULUCF|PM25|Non-fatal heart attacks", US_national_yearly!$D:$AM, 10, FALSE), 1)</f>
        <v>2.1904773441895565E-4</v>
      </c>
      <c r="W13" s="7">
        <f>$B13 * IFERROR(VLOOKUP("LULUCF|PM25|Non-fatal heart attacks", US_national_yearly!$D:$AM, 31, FALSE) / VLOOKUP("LULUCF|PM25|Non-fatal heart attacks", US_national_yearly!$D:$AM, 10, FALSE), 1)</f>
        <v>2.202336171502889E-4</v>
      </c>
      <c r="X13" s="7">
        <f>$B13 * IFERROR(VLOOKUP("LULUCF|PM25|Non-fatal heart attacks", US_national_yearly!$D:$AM, 32, FALSE) / VLOOKUP("LULUCF|PM25|Non-fatal heart attacks", US_national_yearly!$D:$AM, 10, FALSE), 1)</f>
        <v>2.2113387361848963E-4</v>
      </c>
      <c r="Y13" s="7">
        <f>$B13 * IFERROR(VLOOKUP("LULUCF|PM25|Non-fatal heart attacks", US_national_yearly!$D:$AM, 33, FALSE) / VLOOKUP("LULUCF|PM25|Non-fatal heart attacks", US_national_yearly!$D:$AM, 10, FALSE), 1)</f>
        <v>2.2203413008669038E-4</v>
      </c>
      <c r="Z13" s="7">
        <f>$B13 * IFERROR(VLOOKUP("LULUCF|PM25|Non-fatal heart attacks", US_national_yearly!$D:$AM, 34, FALSE) / VLOOKUP("LULUCF|PM25|Non-fatal heart attacks", US_national_yearly!$D:$AM, 10, FALSE), 1)</f>
        <v>2.2293438655489111E-4</v>
      </c>
      <c r="AA13" s="7">
        <f>$B13 * IFERROR(VLOOKUP("LULUCF|PM25|Non-fatal heart attacks", US_national_yearly!$D:$AM, 35, FALSE) / VLOOKUP("LULUCF|PM25|Non-fatal heart attacks", US_national_yearly!$D:$AM, 10, FALSE), 1)</f>
        <v>2.2383464302309187E-4</v>
      </c>
      <c r="AB13" s="7">
        <f>$B13 * IFERROR(VLOOKUP("LULUCF|PM25|Non-fatal heart attacks", US_national_yearly!$D:$AM, 36, FALSE) / VLOOKUP("LULUCF|PM25|Non-fatal heart attacks", US_national_yearly!$D:$AM, 10, FALSE), 1)</f>
        <v>2.247348994912926E-4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0.11954372194790036</v>
      </c>
      <c r="C14" s="7">
        <f>$B14 * IFERROR(VLOOKUP("LULUCF|PM25|Minor restricted activity days", US_national_yearly!$D:$AM, 11, FALSE) / VLOOKUP("LULUCF|PM25|Minor restricted activity days", US_national_yearly!$D:$AM, 10, FALSE), 1)</f>
        <v>0.11983566189369278</v>
      </c>
      <c r="D14" s="7">
        <f>$B14 * IFERROR(VLOOKUP("LULUCF|PM25|Minor restricted activity days", US_national_yearly!$D:$AM, 12, FALSE) / VLOOKUP("LULUCF|PM25|Minor restricted activity days", US_national_yearly!$D:$AM, 10, FALSE), 1)</f>
        <v>0.12012760183948519</v>
      </c>
      <c r="E14" s="7">
        <f>$B14 * IFERROR(VLOOKUP("LULUCF|PM25|Minor restricted activity days", US_national_yearly!$D:$AM, 13, FALSE) / VLOOKUP("LULUCF|PM25|Minor restricted activity days", US_national_yearly!$D:$AM, 10, FALSE), 1)</f>
        <v>0.12041954178527764</v>
      </c>
      <c r="F14" s="7">
        <f>$B14 * IFERROR(VLOOKUP("LULUCF|PM25|Minor restricted activity days", US_national_yearly!$D:$AM, 14, FALSE) / VLOOKUP("LULUCF|PM25|Minor restricted activity days", US_national_yearly!$D:$AM, 10, FALSE), 1)</f>
        <v>0.12071148173107002</v>
      </c>
      <c r="G14" s="7">
        <f>$B14 * IFERROR(VLOOKUP("LULUCF|PM25|Minor restricted activity days", US_national_yearly!$D:$AM, 15, FALSE) / VLOOKUP("LULUCF|PM25|Minor restricted activity days", US_national_yearly!$D:$AM, 10, FALSE), 1)</f>
        <v>0.12114223038408128</v>
      </c>
      <c r="H14" s="7">
        <f>$B14 * IFERROR(VLOOKUP("LULUCF|PM25|Minor restricted activity days", US_national_yearly!$D:$AM, 16, FALSE) / VLOOKUP("LULUCF|PM25|Minor restricted activity days", US_national_yearly!$D:$AM, 10, FALSE), 1)</f>
        <v>0.12157297903709255</v>
      </c>
      <c r="I14" s="7">
        <f>$B14 * IFERROR(VLOOKUP("LULUCF|PM25|Minor restricted activity days", US_national_yearly!$D:$AM, 17, FALSE) / VLOOKUP("LULUCF|PM25|Minor restricted activity days", US_national_yearly!$D:$AM, 10, FALSE), 1)</f>
        <v>0.12230936198136898</v>
      </c>
      <c r="J14" s="7">
        <f>$B14 * IFERROR(VLOOKUP("LULUCF|PM25|Minor restricted activity days", US_national_yearly!$D:$AM, 18, FALSE) / VLOOKUP("LULUCF|PM25|Minor restricted activity days", US_national_yearly!$D:$AM, 10, FALSE), 1)</f>
        <v>0.12304574492564536</v>
      </c>
      <c r="K14" s="7">
        <f>$B14 * IFERROR(VLOOKUP("LULUCF|PM25|Minor restricted activity days", US_national_yearly!$D:$AM, 19, FALSE) / VLOOKUP("LULUCF|PM25|Minor restricted activity days", US_national_yearly!$D:$AM, 10, FALSE), 1)</f>
        <v>0.12378212786992179</v>
      </c>
      <c r="L14" s="7">
        <f>$B14 * IFERROR(VLOOKUP("LULUCF|PM25|Minor restricted activity days", US_national_yearly!$D:$AM, 20, FALSE) / VLOOKUP("LULUCF|PM25|Minor restricted activity days", US_national_yearly!$D:$AM, 10, FALSE), 1)</f>
        <v>0.12451851081419821</v>
      </c>
      <c r="M14" s="7">
        <f>$B14 * IFERROR(VLOOKUP("LULUCF|PM25|Minor restricted activity days", US_national_yearly!$D:$AM, 21, FALSE) / VLOOKUP("LULUCF|PM25|Minor restricted activity days", US_national_yearly!$D:$AM, 10, FALSE), 1)</f>
        <v>0.12525489375847462</v>
      </c>
      <c r="N14" s="7">
        <f>$B14 * IFERROR(VLOOKUP("LULUCF|PM25|Minor restricted activity days", US_national_yearly!$D:$AM, 22, FALSE) / VLOOKUP("LULUCF|PM25|Minor restricted activity days", US_national_yearly!$D:$AM, 10, FALSE), 1)</f>
        <v>0.12625799394216256</v>
      </c>
      <c r="O14" s="7">
        <f>$B14 * IFERROR(VLOOKUP("LULUCF|PM25|Minor restricted activity days", US_national_yearly!$D:$AM, 23, FALSE) / VLOOKUP("LULUCF|PM25|Minor restricted activity days", US_national_yearly!$D:$AM, 10, FALSE), 1)</f>
        <v>0.12726109412585046</v>
      </c>
      <c r="P14" s="7">
        <f>$B14 * IFERROR(VLOOKUP("LULUCF|PM25|Minor restricted activity days", US_national_yearly!$D:$AM, 24, FALSE) / VLOOKUP("LULUCF|PM25|Minor restricted activity days", US_national_yearly!$D:$AM, 10, FALSE), 1)</f>
        <v>0.12826419430953839</v>
      </c>
      <c r="Q14" s="7">
        <f>$B14 * IFERROR(VLOOKUP("LULUCF|PM25|Minor restricted activity days", US_national_yearly!$D:$AM, 25, FALSE) / VLOOKUP("LULUCF|PM25|Minor restricted activity days", US_national_yearly!$D:$AM, 10, FALSE), 1)</f>
        <v>0.12926729449322633</v>
      </c>
      <c r="R14" s="7">
        <f>$B14 * IFERROR(VLOOKUP("LULUCF|PM25|Minor restricted activity days", US_national_yearly!$D:$AM, 26, FALSE) / VLOOKUP("LULUCF|PM25|Minor restricted activity days", US_national_yearly!$D:$AM, 10, FALSE), 1)</f>
        <v>0.13027039467691423</v>
      </c>
      <c r="S14" s="7">
        <f>$B14 * IFERROR(VLOOKUP("LULUCF|PM25|Minor restricted activity days", US_national_yearly!$D:$AM, 27, FALSE) / VLOOKUP("LULUCF|PM25|Minor restricted activity days", US_national_yearly!$D:$AM, 10, FALSE), 1)</f>
        <v>0.13128040288287196</v>
      </c>
      <c r="T14" s="7">
        <f>$B14 * IFERROR(VLOOKUP("LULUCF|PM25|Minor restricted activity days", US_national_yearly!$D:$AM, 28, FALSE) / VLOOKUP("LULUCF|PM25|Minor restricted activity days", US_national_yearly!$D:$AM, 10, FALSE), 1)</f>
        <v>0.13229041108882969</v>
      </c>
      <c r="U14" s="7">
        <f>$B14 * IFERROR(VLOOKUP("LULUCF|PM25|Minor restricted activity days", US_national_yearly!$D:$AM, 29, FALSE) / VLOOKUP("LULUCF|PM25|Minor restricted activity days", US_national_yearly!$D:$AM, 10, FALSE), 1)</f>
        <v>0.13330041929478739</v>
      </c>
      <c r="V14" s="7">
        <f>$B14 * IFERROR(VLOOKUP("LULUCF|PM25|Minor restricted activity days", US_national_yearly!$D:$AM, 30, FALSE) / VLOOKUP("LULUCF|PM25|Minor restricted activity days", US_national_yearly!$D:$AM, 10, FALSE), 1)</f>
        <v>0.13431042750074512</v>
      </c>
      <c r="W14" s="7">
        <f>$B14 * IFERROR(VLOOKUP("LULUCF|PM25|Minor restricted activity days", US_national_yearly!$D:$AM, 31, FALSE) / VLOOKUP("LULUCF|PM25|Minor restricted activity days", US_national_yearly!$D:$AM, 10, FALSE), 1)</f>
        <v>0.13532043570670285</v>
      </c>
      <c r="X14" s="7">
        <f>$B14 * IFERROR(VLOOKUP("LULUCF|PM25|Minor restricted activity days", US_national_yearly!$D:$AM, 32, FALSE) / VLOOKUP("LULUCF|PM25|Minor restricted activity days", US_national_yearly!$D:$AM, 10, FALSE), 1)</f>
        <v>0.1361972244382329</v>
      </c>
      <c r="Y14" s="7">
        <f>$B14 * IFERROR(VLOOKUP("LULUCF|PM25|Minor restricted activity days", US_national_yearly!$D:$AM, 33, FALSE) / VLOOKUP("LULUCF|PM25|Minor restricted activity days", US_national_yearly!$D:$AM, 10, FALSE), 1)</f>
        <v>0.13707401316976295</v>
      </c>
      <c r="Z14" s="7">
        <f>$B14 * IFERROR(VLOOKUP("LULUCF|PM25|Minor restricted activity days", US_national_yearly!$D:$AM, 34, FALSE) / VLOOKUP("LULUCF|PM25|Minor restricted activity days", US_national_yearly!$D:$AM, 10, FALSE), 1)</f>
        <v>0.137950801901293</v>
      </c>
      <c r="AA14" s="7">
        <f>$B14 * IFERROR(VLOOKUP("LULUCF|PM25|Minor restricted activity days", US_national_yearly!$D:$AM, 35, FALSE) / VLOOKUP("LULUCF|PM25|Minor restricted activity days", US_national_yearly!$D:$AM, 10, FALSE), 1)</f>
        <v>0.13882759063282302</v>
      </c>
      <c r="AB14" s="7">
        <f>$B14 * IFERROR(VLOOKUP("LULUCF|PM25|Minor restricted activity days", US_national_yearly!$D:$AM, 36, FALSE) / VLOOKUP("LULUCF|PM25|Minor restricted activity days", US_national_yearly!$D:$AM, 10, FALSE), 1)</f>
        <v>0.13970437936435307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2.0148292276430363E-2</v>
      </c>
      <c r="C15" s="7">
        <f>$B15 * IFERROR(VLOOKUP("LULUCF|PM25|Work loss days", US_national_yearly!$D:$AM, 11, FALSE) / VLOOKUP("LULUCF|PM25|Work loss days", US_national_yearly!$D:$AM, 10, FALSE), 1)</f>
        <v>2.0210744725660843E-2</v>
      </c>
      <c r="D15" s="7">
        <f>$B15 * IFERROR(VLOOKUP("LULUCF|PM25|Work loss days", US_national_yearly!$D:$AM, 12, FALSE) / VLOOKUP("LULUCF|PM25|Work loss days", US_national_yearly!$D:$AM, 10, FALSE), 1)</f>
        <v>2.027319717489133E-2</v>
      </c>
      <c r="E15" s="7">
        <f>$B15 * IFERROR(VLOOKUP("LULUCF|PM25|Work loss days", US_national_yearly!$D:$AM, 13, FALSE) / VLOOKUP("LULUCF|PM25|Work loss days", US_national_yearly!$D:$AM, 10, FALSE), 1)</f>
        <v>2.0335649624121811E-2</v>
      </c>
      <c r="F15" s="7">
        <f>$B15 * IFERROR(VLOOKUP("LULUCF|PM25|Work loss days", US_national_yearly!$D:$AM, 14, FALSE) / VLOOKUP("LULUCF|PM25|Work loss days", US_national_yearly!$D:$AM, 10, FALSE), 1)</f>
        <v>2.0398102073352291E-2</v>
      </c>
      <c r="G15" s="7">
        <f>$B15 * IFERROR(VLOOKUP("LULUCF|PM25|Work loss days", US_national_yearly!$D:$AM, 15, FALSE) / VLOOKUP("LULUCF|PM25|Work loss days", US_national_yearly!$D:$AM, 10, FALSE), 1)</f>
        <v>2.0479981219444134E-2</v>
      </c>
      <c r="H15" s="7">
        <f>$B15 * IFERROR(VLOOKUP("LULUCF|PM25|Work loss days", US_national_yearly!$D:$AM, 16, FALSE) / VLOOKUP("LULUCF|PM25|Work loss days", US_national_yearly!$D:$AM, 10, FALSE), 1)</f>
        <v>2.0561860365535985E-2</v>
      </c>
      <c r="I15" s="7">
        <f>$B15 * IFERROR(VLOOKUP("LULUCF|PM25|Work loss days", US_national_yearly!$D:$AM, 17, FALSE) / VLOOKUP("LULUCF|PM25|Work loss days", US_national_yearly!$D:$AM, 10, FALSE), 1)</f>
        <v>2.0682436413626566E-2</v>
      </c>
      <c r="J15" s="7">
        <f>$B15 * IFERROR(VLOOKUP("LULUCF|PM25|Work loss days", US_national_yearly!$D:$AM, 18, FALSE) / VLOOKUP("LULUCF|PM25|Work loss days", US_national_yearly!$D:$AM, 10, FALSE), 1)</f>
        <v>2.080301246171715E-2</v>
      </c>
      <c r="K15" s="7">
        <f>$B15 * IFERROR(VLOOKUP("LULUCF|PM25|Work loss days", US_national_yearly!$D:$AM, 19, FALSE) / VLOOKUP("LULUCF|PM25|Work loss days", US_national_yearly!$D:$AM, 10, FALSE), 1)</f>
        <v>2.0923588509807734E-2</v>
      </c>
      <c r="L15" s="7">
        <f>$B15 * IFERROR(VLOOKUP("LULUCF|PM25|Work loss days", US_national_yearly!$D:$AM, 20, FALSE) / VLOOKUP("LULUCF|PM25|Work loss days", US_national_yearly!$D:$AM, 10, FALSE), 1)</f>
        <v>2.1044164557898315E-2</v>
      </c>
      <c r="M15" s="7">
        <f>$B15 * IFERROR(VLOOKUP("LULUCF|PM25|Work loss days", US_national_yearly!$D:$AM, 21, FALSE) / VLOOKUP("LULUCF|PM25|Work loss days", US_national_yearly!$D:$AM, 10, FALSE), 1)</f>
        <v>2.1164740605988899E-2</v>
      </c>
      <c r="N15" s="7">
        <f>$B15 * IFERROR(VLOOKUP("LULUCF|PM25|Work loss days", US_national_yearly!$D:$AM, 22, FALSE) / VLOOKUP("LULUCF|PM25|Work loss days", US_national_yearly!$D:$AM, 10, FALSE), 1)</f>
        <v>2.1316494688767416E-2</v>
      </c>
      <c r="O15" s="7">
        <f>$B15 * IFERROR(VLOOKUP("LULUCF|PM25|Work loss days", US_national_yearly!$D:$AM, 23, FALSE) / VLOOKUP("LULUCF|PM25|Work loss days", US_national_yearly!$D:$AM, 10, FALSE), 1)</f>
        <v>2.146824877154593E-2</v>
      </c>
      <c r="P15" s="7">
        <f>$B15 * IFERROR(VLOOKUP("LULUCF|PM25|Work loss days", US_national_yearly!$D:$AM, 24, FALSE) / VLOOKUP("LULUCF|PM25|Work loss days", US_national_yearly!$D:$AM, 10, FALSE), 1)</f>
        <v>2.1620002854324447E-2</v>
      </c>
      <c r="Q15" s="7">
        <f>$B15 * IFERROR(VLOOKUP("LULUCF|PM25|Work loss days", US_national_yearly!$D:$AM, 25, FALSE) / VLOOKUP("LULUCF|PM25|Work loss days", US_national_yearly!$D:$AM, 10, FALSE), 1)</f>
        <v>2.1771756937102961E-2</v>
      </c>
      <c r="R15" s="7">
        <f>$B15 * IFERROR(VLOOKUP("LULUCF|PM25|Work loss days", US_national_yearly!$D:$AM, 26, FALSE) / VLOOKUP("LULUCF|PM25|Work loss days", US_national_yearly!$D:$AM, 10, FALSE), 1)</f>
        <v>2.1923511019881482E-2</v>
      </c>
      <c r="S15" s="7">
        <f>$B15 * IFERROR(VLOOKUP("LULUCF|PM25|Work loss days", US_national_yearly!$D:$AM, 27, FALSE) / VLOOKUP("LULUCF|PM25|Work loss days", US_national_yearly!$D:$AM, 10, FALSE), 1)</f>
        <v>2.2091357514340333E-2</v>
      </c>
      <c r="T15" s="7">
        <f>$B15 * IFERROR(VLOOKUP("LULUCF|PM25|Work loss days", US_national_yearly!$D:$AM, 28, FALSE) / VLOOKUP("LULUCF|PM25|Work loss days", US_national_yearly!$D:$AM, 10, FALSE), 1)</f>
        <v>2.2259204008799192E-2</v>
      </c>
      <c r="U15" s="7">
        <f>$B15 * IFERROR(VLOOKUP("LULUCF|PM25|Work loss days", US_national_yearly!$D:$AM, 29, FALSE) / VLOOKUP("LULUCF|PM25|Work loss days", US_national_yearly!$D:$AM, 10, FALSE), 1)</f>
        <v>2.242705050325804E-2</v>
      </c>
      <c r="V15" s="7">
        <f>$B15 * IFERROR(VLOOKUP("LULUCF|PM25|Work loss days", US_national_yearly!$D:$AM, 30, FALSE) / VLOOKUP("LULUCF|PM25|Work loss days", US_national_yearly!$D:$AM, 10, FALSE), 1)</f>
        <v>2.2594896997716898E-2</v>
      </c>
      <c r="W15" s="7">
        <f>$B15 * IFERROR(VLOOKUP("LULUCF|PM25|Work loss days", US_national_yearly!$D:$AM, 31, FALSE) / VLOOKUP("LULUCF|PM25|Work loss days", US_national_yearly!$D:$AM, 10, FALSE), 1)</f>
        <v>2.2762743492175753E-2</v>
      </c>
      <c r="X15" s="7">
        <f>$B15 * IFERROR(VLOOKUP("LULUCF|PM25|Work loss days", US_national_yearly!$D:$AM, 32, FALSE) / VLOOKUP("LULUCF|PM25|Work loss days", US_national_yearly!$D:$AM, 10, FALSE), 1)</f>
        <v>2.2911668601568316E-2</v>
      </c>
      <c r="Y15" s="7">
        <f>$B15 * IFERROR(VLOOKUP("LULUCF|PM25|Work loss days", US_national_yearly!$D:$AM, 33, FALSE) / VLOOKUP("LULUCF|PM25|Work loss days", US_national_yearly!$D:$AM, 10, FALSE), 1)</f>
        <v>2.3060593710960881E-2</v>
      </c>
      <c r="Z15" s="7">
        <f>$B15 * IFERROR(VLOOKUP("LULUCF|PM25|Work loss days", US_national_yearly!$D:$AM, 34, FALSE) / VLOOKUP("LULUCF|PM25|Work loss days", US_national_yearly!$D:$AM, 10, FALSE), 1)</f>
        <v>2.320951882035345E-2</v>
      </c>
      <c r="AA15" s="7">
        <f>$B15 * IFERROR(VLOOKUP("LULUCF|PM25|Work loss days", US_national_yearly!$D:$AM, 35, FALSE) / VLOOKUP("LULUCF|PM25|Work loss days", US_national_yearly!$D:$AM, 10, FALSE), 1)</f>
        <v>2.3358443929746016E-2</v>
      </c>
      <c r="AB15" s="7">
        <f>$B15 * IFERROR(VLOOKUP("LULUCF|PM25|Work loss days", US_national_yearly!$D:$AM, 36, FALSE) / VLOOKUP("LULUCF|PM25|Work loss days", US_national_yearly!$D:$AM, 10, FALSE), 1)</f>
        <v>2.3507369039138581E-2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4.0777552323157695E-5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4.1996014021448237E-5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4.3214475719738785E-5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4.4432937418029334E-5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4.5651399116319882E-5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4.6818467773428436E-5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4.7985536430537003E-5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4.8983677620734076E-5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4.9981818810931142E-5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5.0979960001128201E-5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5.1978101191325287E-5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5.2976242381522346E-5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5.3641725901920757E-5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5.4307209422319174E-5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5.4972692942717578E-5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5.5638176463115995E-5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5.6303659983514406E-5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5.6655762896057862E-5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5.7007865808601312E-5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5.7359968721144755E-5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5.7712071633688204E-5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5.8064174546231654E-5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5.8301214858507094E-5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5.8538255170782535E-5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5.8775295483057976E-5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5.9012335795333417E-5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5.9249376107608858E-5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3.512552277314031E-4</v>
      </c>
      <c r="C2" s="7">
        <f>$B2 * IFERROR(VLOOKUP("LULUCF|NOx|Premature mortality", US_national_yearly!$D:$AM, 11, FALSE) / VLOOKUP("LULUCF|NOx|Premature mortality", US_national_yearly!$D:$AM, 10, FALSE), 1)</f>
        <v>3.5641457331647914E-4</v>
      </c>
      <c r="D2" s="7">
        <f>$B2 * IFERROR(VLOOKUP("LULUCF|NOx|Premature mortality", US_national_yearly!$D:$AM, 12, FALSE) / VLOOKUP("LULUCF|NOx|Premature mortality", US_national_yearly!$D:$AM, 10, FALSE), 1)</f>
        <v>3.6157391890155512E-4</v>
      </c>
      <c r="E2" s="7">
        <f>$B2 * IFERROR(VLOOKUP("LULUCF|NOx|Premature mortality", US_national_yearly!$D:$AM, 13, FALSE) / VLOOKUP("LULUCF|NOx|Premature mortality", US_national_yearly!$D:$AM, 10, FALSE), 1)</f>
        <v>3.6673326448663116E-4</v>
      </c>
      <c r="F2" s="7">
        <f>$B2 * IFERROR(VLOOKUP("LULUCF|NOx|Premature mortality", US_national_yearly!$D:$AM, 14, FALSE) / VLOOKUP("LULUCF|NOx|Premature mortality", US_national_yearly!$D:$AM, 10, FALSE), 1)</f>
        <v>3.7189261007170721E-4</v>
      </c>
      <c r="G2" s="7">
        <f>$B2 * IFERROR(VLOOKUP("LULUCF|NOx|Premature mortality", US_national_yearly!$D:$AM, 15, FALSE) / VLOOKUP("LULUCF|NOx|Premature mortality", US_national_yearly!$D:$AM, 10, FALSE), 1)</f>
        <v>3.8116001453667852E-4</v>
      </c>
      <c r="H2" s="7">
        <f>$B2 * IFERROR(VLOOKUP("LULUCF|NOx|Premature mortality", US_national_yearly!$D:$AM, 16, FALSE) / VLOOKUP("LULUCF|NOx|Premature mortality", US_national_yearly!$D:$AM, 10, FALSE), 1)</f>
        <v>3.9042741900165005E-4</v>
      </c>
      <c r="I2" s="7">
        <f>$B2 * IFERROR(VLOOKUP("LULUCF|NOx|Premature mortality", US_national_yearly!$D:$AM, 17, FALSE) / VLOOKUP("LULUCF|NOx|Premature mortality", US_national_yearly!$D:$AM, 10, FALSE), 1)</f>
        <v>3.9640970437380165E-4</v>
      </c>
      <c r="J2" s="7">
        <f>$B2 * IFERROR(VLOOKUP("LULUCF|NOx|Premature mortality", US_national_yearly!$D:$AM, 18, FALSE) / VLOOKUP("LULUCF|NOx|Premature mortality", US_national_yearly!$D:$AM, 10, FALSE), 1)</f>
        <v>4.0239198974595342E-4</v>
      </c>
      <c r="K2" s="7">
        <f>$B2 * IFERROR(VLOOKUP("LULUCF|NOx|Premature mortality", US_national_yearly!$D:$AM, 19, FALSE) / VLOOKUP("LULUCF|NOx|Premature mortality", US_national_yearly!$D:$AM, 10, FALSE), 1)</f>
        <v>4.0837427511810509E-4</v>
      </c>
      <c r="L2" s="7">
        <f>$B2 * IFERROR(VLOOKUP("LULUCF|NOx|Premature mortality", US_national_yearly!$D:$AM, 20, FALSE) / VLOOKUP("LULUCF|NOx|Premature mortality", US_national_yearly!$D:$AM, 10, FALSE), 1)</f>
        <v>4.1435656049025675E-4</v>
      </c>
      <c r="M2" s="7">
        <f>$B2 * IFERROR(VLOOKUP("LULUCF|NOx|Premature mortality", US_national_yearly!$D:$AM, 21, FALSE) / VLOOKUP("LULUCF|NOx|Premature mortality", US_national_yearly!$D:$AM, 10, FALSE), 1)</f>
        <v>4.2033884586240846E-4</v>
      </c>
      <c r="N2" s="7">
        <f>$B2 * IFERROR(VLOOKUP("LULUCF|NOx|Premature mortality", US_national_yearly!$D:$AM, 22, FALSE) / VLOOKUP("LULUCF|NOx|Premature mortality", US_national_yearly!$D:$AM, 10, FALSE), 1)</f>
        <v>4.2477049960970261E-4</v>
      </c>
      <c r="O2" s="7">
        <f>$B2 * IFERROR(VLOOKUP("LULUCF|NOx|Premature mortality", US_national_yearly!$D:$AM, 23, FALSE) / VLOOKUP("LULUCF|NOx|Premature mortality", US_national_yearly!$D:$AM, 10, FALSE), 1)</f>
        <v>4.2920215335699681E-4</v>
      </c>
      <c r="P2" s="7">
        <f>$B2 * IFERROR(VLOOKUP("LULUCF|NOx|Premature mortality", US_national_yearly!$D:$AM, 24, FALSE) / VLOOKUP("LULUCF|NOx|Premature mortality", US_national_yearly!$D:$AM, 10, FALSE), 1)</f>
        <v>4.3363380710429095E-4</v>
      </c>
      <c r="Q2" s="7">
        <f>$B2 * IFERROR(VLOOKUP("LULUCF|NOx|Premature mortality", US_national_yearly!$D:$AM, 25, FALSE) / VLOOKUP("LULUCF|NOx|Premature mortality", US_national_yearly!$D:$AM, 10, FALSE), 1)</f>
        <v>4.3806546085158521E-4</v>
      </c>
      <c r="R2" s="7">
        <f>$B2 * IFERROR(VLOOKUP("LULUCF|NOx|Premature mortality", US_national_yearly!$D:$AM, 26, FALSE) / VLOOKUP("LULUCF|NOx|Premature mortality", US_national_yearly!$D:$AM, 10, FALSE), 1)</f>
        <v>4.4249711459887935E-4</v>
      </c>
      <c r="S2" s="7">
        <f>$B2 * IFERROR(VLOOKUP("LULUCF|NOx|Premature mortality", US_national_yearly!$D:$AM, 27, FALSE) / VLOOKUP("LULUCF|NOx|Premature mortality", US_national_yearly!$D:$AM, 10, FALSE), 1)</f>
        <v>4.4451134585318471E-4</v>
      </c>
      <c r="T2" s="7">
        <f>$B2 * IFERROR(VLOOKUP("LULUCF|NOx|Premature mortality", US_national_yearly!$D:$AM, 28, FALSE) / VLOOKUP("LULUCF|NOx|Premature mortality", US_national_yearly!$D:$AM, 10, FALSE), 1)</f>
        <v>4.4652557710749019E-4</v>
      </c>
      <c r="U2" s="7">
        <f>$B2 * IFERROR(VLOOKUP("LULUCF|NOx|Premature mortality", US_national_yearly!$D:$AM, 29, FALSE) / VLOOKUP("LULUCF|NOx|Premature mortality", US_national_yearly!$D:$AM, 10, FALSE), 1)</f>
        <v>4.4853980836179555E-4</v>
      </c>
      <c r="V2" s="7">
        <f>$B2 * IFERROR(VLOOKUP("LULUCF|NOx|Premature mortality", US_national_yearly!$D:$AM, 30, FALSE) / VLOOKUP("LULUCF|NOx|Premature mortality", US_national_yearly!$D:$AM, 10, FALSE), 1)</f>
        <v>4.5055403961610096E-4</v>
      </c>
      <c r="W2" s="7">
        <f>$B2 * IFERROR(VLOOKUP("LULUCF|NOx|Premature mortality", US_national_yearly!$D:$AM, 31, FALSE) / VLOOKUP("LULUCF|NOx|Premature mortality", US_national_yearly!$D:$AM, 10, FALSE), 1)</f>
        <v>4.5256827087040638E-4</v>
      </c>
      <c r="X2" s="7">
        <f>$B2 * IFERROR(VLOOKUP("LULUCF|NOx|Premature mortality", US_national_yearly!$D:$AM, 32, FALSE) / VLOOKUP("LULUCF|NOx|Premature mortality", US_national_yearly!$D:$AM, 10, FALSE), 1)</f>
        <v>4.5263804268487755E-4</v>
      </c>
      <c r="Y2" s="7">
        <f>$B2 * IFERROR(VLOOKUP("LULUCF|NOx|Premature mortality", US_national_yearly!$D:$AM, 33, FALSE) / VLOOKUP("LULUCF|NOx|Premature mortality", US_national_yearly!$D:$AM, 10, FALSE), 1)</f>
        <v>4.5270781449934872E-4</v>
      </c>
      <c r="Z2" s="7">
        <f>$B2 * IFERROR(VLOOKUP("LULUCF|NOx|Premature mortality", US_national_yearly!$D:$AM, 34, FALSE) / VLOOKUP("LULUCF|NOx|Premature mortality", US_national_yearly!$D:$AM, 10, FALSE), 1)</f>
        <v>4.5277758631381978E-4</v>
      </c>
      <c r="AA2" s="7">
        <f>$B2 * IFERROR(VLOOKUP("LULUCF|NOx|Premature mortality", US_national_yearly!$D:$AM, 35, FALSE) / VLOOKUP("LULUCF|NOx|Premature mortality", US_national_yearly!$D:$AM, 10, FALSE), 1)</f>
        <v>4.52847358128291E-4</v>
      </c>
      <c r="AB2" s="7">
        <f>$B2 * IFERROR(VLOOKUP("LULUCF|NOx|Premature mortality", US_national_yearly!$D:$AM, 36, FALSE) / VLOOKUP("LULUCF|NOx|Premature mortality", US_national_yearly!$D:$AM, 10, FALSE), 1)</f>
        <v>4.5291712994276217E-4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7.9345652141914615E-7</v>
      </c>
      <c r="C3" s="7">
        <f>$B3 * IFERROR(VLOOKUP("LULUCF|NOx|Infant mortality", US_national_yearly!$D:$AM, 11, FALSE) / VLOOKUP("LULUCF|NOx|Infant mortality", US_national_yearly!$D:$AM, 10, FALSE), 1)</f>
        <v>7.8589682619647309E-7</v>
      </c>
      <c r="D3" s="7">
        <f>$B3 * IFERROR(VLOOKUP("LULUCF|NOx|Infant mortality", US_national_yearly!$D:$AM, 12, FALSE) / VLOOKUP("LULUCF|NOx|Infant mortality", US_national_yearly!$D:$AM, 10, FALSE), 1)</f>
        <v>7.7833713097380004E-7</v>
      </c>
      <c r="E3" s="7">
        <f>$B3 * IFERROR(VLOOKUP("LULUCF|NOx|Infant mortality", US_national_yearly!$D:$AM, 13, FALSE) / VLOOKUP("LULUCF|NOx|Infant mortality", US_national_yearly!$D:$AM, 10, FALSE), 1)</f>
        <v>7.7077743575112699E-7</v>
      </c>
      <c r="F3" s="7">
        <f>$B3 * IFERROR(VLOOKUP("LULUCF|NOx|Infant mortality", US_national_yearly!$D:$AM, 14, FALSE) / VLOOKUP("LULUCF|NOx|Infant mortality", US_national_yearly!$D:$AM, 10, FALSE), 1)</f>
        <v>7.6321774052845404E-7</v>
      </c>
      <c r="G3" s="7">
        <f>$B3 * IFERROR(VLOOKUP("LULUCF|NOx|Infant mortality", US_national_yearly!$D:$AM, 15, FALSE) / VLOOKUP("LULUCF|NOx|Infant mortality", US_national_yearly!$D:$AM, 10, FALSE), 1)</f>
        <v>5.0666162460478637E-7</v>
      </c>
      <c r="H3" s="7">
        <f>$B3 * IFERROR(VLOOKUP("LULUCF|NOx|Infant mortality", US_national_yearly!$D:$AM, 16, FALSE) / VLOOKUP("LULUCF|NOx|Infant mortality", US_national_yearly!$D:$AM, 10, FALSE), 1)</f>
        <v>2.501055086811189E-7</v>
      </c>
      <c r="I3" s="7">
        <f>$B3 * IFERROR(VLOOKUP("LULUCF|NOx|Infant mortality", US_national_yearly!$D:$AM, 17, FALSE) / VLOOKUP("LULUCF|NOx|Infant mortality", US_national_yearly!$D:$AM, 10, FALSE), 1)</f>
        <v>2.4833702393303057E-7</v>
      </c>
      <c r="J3" s="7">
        <f>$B3 * IFERROR(VLOOKUP("LULUCF|NOx|Infant mortality", US_national_yearly!$D:$AM, 18, FALSE) / VLOOKUP("LULUCF|NOx|Infant mortality", US_national_yearly!$D:$AM, 10, FALSE), 1)</f>
        <v>2.4656853918494224E-7</v>
      </c>
      <c r="K3" s="7">
        <f>$B3 * IFERROR(VLOOKUP("LULUCF|NOx|Infant mortality", US_national_yearly!$D:$AM, 19, FALSE) / VLOOKUP("LULUCF|NOx|Infant mortality", US_national_yearly!$D:$AM, 10, FALSE), 1)</f>
        <v>2.4480005443685391E-7</v>
      </c>
      <c r="L3" s="7">
        <f>$B3 * IFERROR(VLOOKUP("LULUCF|NOx|Infant mortality", US_national_yearly!$D:$AM, 20, FALSE) / VLOOKUP("LULUCF|NOx|Infant mortality", US_national_yearly!$D:$AM, 10, FALSE), 1)</f>
        <v>2.4303156968876564E-7</v>
      </c>
      <c r="M3" s="7">
        <f>$B3 * IFERROR(VLOOKUP("LULUCF|NOx|Infant mortality", US_national_yearly!$D:$AM, 21, FALSE) / VLOOKUP("LULUCF|NOx|Infant mortality", US_national_yearly!$D:$AM, 10, FALSE), 1)</f>
        <v>2.4126308494067725E-7</v>
      </c>
      <c r="N3" s="7">
        <f>$B3 * IFERROR(VLOOKUP("LULUCF|NOx|Infant mortality", US_national_yearly!$D:$AM, 22, FALSE) / VLOOKUP("LULUCF|NOx|Infant mortality", US_national_yearly!$D:$AM, 10, FALSE), 1)</f>
        <v>2.400892387096376E-7</v>
      </c>
      <c r="O3" s="7">
        <f>$B3 * IFERROR(VLOOKUP("LULUCF|NOx|Infant mortality", US_national_yearly!$D:$AM, 23, FALSE) / VLOOKUP("LULUCF|NOx|Infant mortality", US_national_yearly!$D:$AM, 10, FALSE), 1)</f>
        <v>2.389153924785979E-7</v>
      </c>
      <c r="P3" s="7">
        <f>$B3 * IFERROR(VLOOKUP("LULUCF|NOx|Infant mortality", US_national_yearly!$D:$AM, 24, FALSE) / VLOOKUP("LULUCF|NOx|Infant mortality", US_national_yearly!$D:$AM, 10, FALSE), 1)</f>
        <v>2.3774154624755822E-7</v>
      </c>
      <c r="Q3" s="7">
        <f>$B3 * IFERROR(VLOOKUP("LULUCF|NOx|Infant mortality", US_national_yearly!$D:$AM, 25, FALSE) / VLOOKUP("LULUCF|NOx|Infant mortality", US_national_yearly!$D:$AM, 10, FALSE), 1)</f>
        <v>2.3656770001651852E-7</v>
      </c>
      <c r="R3" s="7">
        <f>$B3 * IFERROR(VLOOKUP("LULUCF|NOx|Infant mortality", US_national_yearly!$D:$AM, 26, FALSE) / VLOOKUP("LULUCF|NOx|Infant mortality", US_national_yearly!$D:$AM, 10, FALSE), 1)</f>
        <v>2.3539385378547884E-7</v>
      </c>
      <c r="S3" s="7">
        <f>$B3 * IFERROR(VLOOKUP("LULUCF|NOx|Infant mortality", US_national_yearly!$D:$AM, 27, FALSE) / VLOOKUP("LULUCF|NOx|Infant mortality", US_national_yearly!$D:$AM, 10, FALSE), 1)</f>
        <v>2.3398270394625065E-7</v>
      </c>
      <c r="T3" s="7">
        <f>$B3 * IFERROR(VLOOKUP("LULUCF|NOx|Infant mortality", US_national_yearly!$D:$AM, 28, FALSE) / VLOOKUP("LULUCF|NOx|Infant mortality", US_national_yearly!$D:$AM, 10, FALSE), 1)</f>
        <v>2.3257155410702242E-7</v>
      </c>
      <c r="U3" s="7">
        <f>$B3 * IFERROR(VLOOKUP("LULUCF|NOx|Infant mortality", US_national_yearly!$D:$AM, 29, FALSE) / VLOOKUP("LULUCF|NOx|Infant mortality", US_national_yearly!$D:$AM, 10, FALSE), 1)</f>
        <v>2.3116040426779423E-7</v>
      </c>
      <c r="V3" s="7">
        <f>$B3 * IFERROR(VLOOKUP("LULUCF|NOx|Infant mortality", US_national_yearly!$D:$AM, 30, FALSE) / VLOOKUP("LULUCF|NOx|Infant mortality", US_national_yearly!$D:$AM, 10, FALSE), 1)</f>
        <v>2.2974925442856603E-7</v>
      </c>
      <c r="W3" s="7">
        <f>$B3 * IFERROR(VLOOKUP("LULUCF|NOx|Infant mortality", US_national_yearly!$D:$AM, 31, FALSE) / VLOOKUP("LULUCF|NOx|Infant mortality", US_national_yearly!$D:$AM, 10, FALSE), 1)</f>
        <v>2.2833810458933783E-7</v>
      </c>
      <c r="X3" s="7">
        <f>$B3 * IFERROR(VLOOKUP("LULUCF|NOx|Infant mortality", US_national_yearly!$D:$AM, 32, FALSE) / VLOOKUP("LULUCF|NOx|Infant mortality", US_national_yearly!$D:$AM, 10, FALSE), 1)</f>
        <v>2.2684362866917415E-7</v>
      </c>
      <c r="Y3" s="7">
        <f>$B3 * IFERROR(VLOOKUP("LULUCF|NOx|Infant mortality", US_national_yearly!$D:$AM, 33, FALSE) / VLOOKUP("LULUCF|NOx|Infant mortality", US_national_yearly!$D:$AM, 10, FALSE), 1)</f>
        <v>2.2534915274901044E-7</v>
      </c>
      <c r="Z3" s="7">
        <f>$B3 * IFERROR(VLOOKUP("LULUCF|NOx|Infant mortality", US_national_yearly!$D:$AM, 34, FALSE) / VLOOKUP("LULUCF|NOx|Infant mortality", US_national_yearly!$D:$AM, 10, FALSE), 1)</f>
        <v>2.238546768288467E-7</v>
      </c>
      <c r="AA3" s="7">
        <f>$B3 * IFERROR(VLOOKUP("LULUCF|NOx|Infant mortality", US_national_yearly!$D:$AM, 35, FALSE) / VLOOKUP("LULUCF|NOx|Infant mortality", US_national_yearly!$D:$AM, 10, FALSE), 1)</f>
        <v>2.2236020090868299E-7</v>
      </c>
      <c r="AB3" s="7">
        <f>$B3 * IFERROR(VLOOKUP("LULUCF|NOx|Infant mortality", US_national_yearly!$D:$AM, 36, FALSE) / VLOOKUP("LULUCF|NOx|Infant mortality", US_national_yearly!$D:$AM, 10, FALSE), 1)</f>
        <v>2.2086572498851926E-7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9.0678076423331719E-4</v>
      </c>
      <c r="C6" s="7">
        <f>$B6 * IFERROR(VLOOKUP("LULUCF|NOx|Asthma symptoms cough", US_national_yearly!$D:$AM, 11, FALSE) / VLOOKUP("LULUCF|NOx|Asthma symptoms cough", US_national_yearly!$D:$AM, 10, FALSE), 1)</f>
        <v>9.1917793980825083E-4</v>
      </c>
      <c r="D6" s="7">
        <f>$B6 * IFERROR(VLOOKUP("LULUCF|NOx|Asthma symptoms cough", US_national_yearly!$D:$AM, 12, FALSE) / VLOOKUP("LULUCF|NOx|Asthma symptoms cough", US_national_yearly!$D:$AM, 10, FALSE), 1)</f>
        <v>9.3157511538318448E-4</v>
      </c>
      <c r="E6" s="7">
        <f>$B6 * IFERROR(VLOOKUP("LULUCF|NOx|Asthma symptoms cough", US_national_yearly!$D:$AM, 13, FALSE) / VLOOKUP("LULUCF|NOx|Asthma symptoms cough", US_national_yearly!$D:$AM, 10, FALSE), 1)</f>
        <v>9.4397229095811812E-4</v>
      </c>
      <c r="F6" s="7">
        <f>$B6 * IFERROR(VLOOKUP("LULUCF|NOx|Asthma symptoms cough", US_national_yearly!$D:$AM, 14, FALSE) / VLOOKUP("LULUCF|NOx|Asthma symptoms cough", US_national_yearly!$D:$AM, 10, FALSE), 1)</f>
        <v>9.5636946653305176E-4</v>
      </c>
      <c r="G6" s="7">
        <f>$B6 * IFERROR(VLOOKUP("LULUCF|NOx|Asthma symptoms cough", US_national_yearly!$D:$AM, 15, FALSE) / VLOOKUP("LULUCF|NOx|Asthma symptoms cough", US_national_yearly!$D:$AM, 10, FALSE), 1)</f>
        <v>9.6626687884138901E-4</v>
      </c>
      <c r="H6" s="7">
        <f>$B6 * IFERROR(VLOOKUP("LULUCF|NOx|Asthma symptoms cough", US_national_yearly!$D:$AM, 16, FALSE) / VLOOKUP("LULUCF|NOx|Asthma symptoms cough", US_national_yearly!$D:$AM, 10, FALSE), 1)</f>
        <v>9.7616429114972657E-4</v>
      </c>
      <c r="I6" s="7">
        <f>$B6 * IFERROR(VLOOKUP("LULUCF|NOx|Asthma symptoms cough", US_national_yearly!$D:$AM, 17, FALSE) / VLOOKUP("LULUCF|NOx|Asthma symptoms cough", US_national_yearly!$D:$AM, 10, FALSE), 1)</f>
        <v>9.7957083897531124E-4</v>
      </c>
      <c r="J6" s="7">
        <f>$B6 * IFERROR(VLOOKUP("LULUCF|NOx|Asthma symptoms cough", US_national_yearly!$D:$AM, 18, FALSE) / VLOOKUP("LULUCF|NOx|Asthma symptoms cough", US_national_yearly!$D:$AM, 10, FALSE), 1)</f>
        <v>9.8297738680089611E-4</v>
      </c>
      <c r="K6" s="7">
        <f>$B6 * IFERROR(VLOOKUP("LULUCF|NOx|Asthma symptoms cough", US_national_yearly!$D:$AM, 19, FALSE) / VLOOKUP("LULUCF|NOx|Asthma symptoms cough", US_national_yearly!$D:$AM, 10, FALSE), 1)</f>
        <v>9.8638393462648099E-4</v>
      </c>
      <c r="L6" s="7">
        <f>$B6 * IFERROR(VLOOKUP("LULUCF|NOx|Asthma symptoms cough", US_national_yearly!$D:$AM, 20, FALSE) / VLOOKUP("LULUCF|NOx|Asthma symptoms cough", US_national_yearly!$D:$AM, 10, FALSE), 1)</f>
        <v>9.8979048245206565E-4</v>
      </c>
      <c r="M6" s="7">
        <f>$B6 * IFERROR(VLOOKUP("LULUCF|NOx|Asthma symptoms cough", US_national_yearly!$D:$AM, 21, FALSE) / VLOOKUP("LULUCF|NOx|Asthma symptoms cough", US_national_yearly!$D:$AM, 10, FALSE), 1)</f>
        <v>9.9319703027765053E-4</v>
      </c>
      <c r="N6" s="7">
        <f>$B6 * IFERROR(VLOOKUP("LULUCF|NOx|Asthma symptoms cough", US_national_yearly!$D:$AM, 22, FALSE) / VLOOKUP("LULUCF|NOx|Asthma symptoms cough", US_national_yearly!$D:$AM, 10, FALSE), 1)</f>
        <v>9.9714717615773151E-4</v>
      </c>
      <c r="O6" s="7">
        <f>$B6 * IFERROR(VLOOKUP("LULUCF|NOx|Asthma symptoms cough", US_national_yearly!$D:$AM, 23, FALSE) / VLOOKUP("LULUCF|NOx|Asthma symptoms cough", US_national_yearly!$D:$AM, 10, FALSE), 1)</f>
        <v>1.0010973220378125E-3</v>
      </c>
      <c r="P6" s="7">
        <f>$B6 * IFERROR(VLOOKUP("LULUCF|NOx|Asthma symptoms cough", US_national_yearly!$D:$AM, 24, FALSE) / VLOOKUP("LULUCF|NOx|Asthma symptoms cough", US_national_yearly!$D:$AM, 10, FALSE), 1)</f>
        <v>1.0050474679178935E-3</v>
      </c>
      <c r="Q6" s="7">
        <f>$B6 * IFERROR(VLOOKUP("LULUCF|NOx|Asthma symptoms cough", US_national_yearly!$D:$AM, 25, FALSE) / VLOOKUP("LULUCF|NOx|Asthma symptoms cough", US_national_yearly!$D:$AM, 10, FALSE), 1)</f>
        <v>1.0089976137979744E-3</v>
      </c>
      <c r="R6" s="7">
        <f>$B6 * IFERROR(VLOOKUP("LULUCF|NOx|Asthma symptoms cough", US_national_yearly!$D:$AM, 26, FALSE) / VLOOKUP("LULUCF|NOx|Asthma symptoms cough", US_national_yearly!$D:$AM, 10, FALSE), 1)</f>
        <v>1.0129477596780554E-3</v>
      </c>
      <c r="S6" s="7">
        <f>$B6 * IFERROR(VLOOKUP("LULUCF|NOx|Asthma symptoms cough", US_national_yearly!$D:$AM, 27, FALSE) / VLOOKUP("LULUCF|NOx|Asthma symptoms cough", US_national_yearly!$D:$AM, 10, FALSE), 1)</f>
        <v>1.0181079083095815E-3</v>
      </c>
      <c r="T6" s="7">
        <f>$B6 * IFERROR(VLOOKUP("LULUCF|NOx|Asthma symptoms cough", US_national_yearly!$D:$AM, 28, FALSE) / VLOOKUP("LULUCF|NOx|Asthma symptoms cough", US_national_yearly!$D:$AM, 10, FALSE), 1)</f>
        <v>1.0232680569411073E-3</v>
      </c>
      <c r="U6" s="7">
        <f>$B6 * IFERROR(VLOOKUP("LULUCF|NOx|Asthma symptoms cough", US_national_yearly!$D:$AM, 29, FALSE) / VLOOKUP("LULUCF|NOx|Asthma symptoms cough", US_national_yearly!$D:$AM, 10, FALSE), 1)</f>
        <v>1.028428205572633E-3</v>
      </c>
      <c r="V6" s="7">
        <f>$B6 * IFERROR(VLOOKUP("LULUCF|NOx|Asthma symptoms cough", US_national_yearly!$D:$AM, 30, FALSE) / VLOOKUP("LULUCF|NOx|Asthma symptoms cough", US_national_yearly!$D:$AM, 10, FALSE), 1)</f>
        <v>1.0335883542041591E-3</v>
      </c>
      <c r="W6" s="7">
        <f>$B6 * IFERROR(VLOOKUP("LULUCF|NOx|Asthma symptoms cough", US_national_yearly!$D:$AM, 31, FALSE) / VLOOKUP("LULUCF|NOx|Asthma symptoms cough", US_national_yearly!$D:$AM, 10, FALSE), 1)</f>
        <v>1.0387485028356847E-3</v>
      </c>
      <c r="X6" s="7">
        <f>$B6 * IFERROR(VLOOKUP("LULUCF|NOx|Asthma symptoms cough", US_national_yearly!$D:$AM, 32, FALSE) / VLOOKUP("LULUCF|NOx|Asthma symptoms cough", US_national_yearly!$D:$AM, 10, FALSE), 1)</f>
        <v>1.0435430223531546E-3</v>
      </c>
      <c r="Y6" s="7">
        <f>$B6 * IFERROR(VLOOKUP("LULUCF|NOx|Asthma symptoms cough", US_national_yearly!$D:$AM, 33, FALSE) / VLOOKUP("LULUCF|NOx|Asthma symptoms cough", US_national_yearly!$D:$AM, 10, FALSE), 1)</f>
        <v>1.0483375418706244E-3</v>
      </c>
      <c r="Z6" s="7">
        <f>$B6 * IFERROR(VLOOKUP("LULUCF|NOx|Asthma symptoms cough", US_national_yearly!$D:$AM, 34, FALSE) / VLOOKUP("LULUCF|NOx|Asthma symptoms cough", US_national_yearly!$D:$AM, 10, FALSE), 1)</f>
        <v>1.0531320613880943E-3</v>
      </c>
      <c r="AA6" s="7">
        <f>$B6 * IFERROR(VLOOKUP("LULUCF|NOx|Asthma symptoms cough", US_national_yearly!$D:$AM, 35, FALSE) / VLOOKUP("LULUCF|NOx|Asthma symptoms cough", US_national_yearly!$D:$AM, 10, FALSE), 1)</f>
        <v>1.0579265809055642E-3</v>
      </c>
      <c r="AB6" s="7">
        <f>$B6 * IFERROR(VLOOKUP("LULUCF|NOx|Asthma symptoms cough", US_national_yearly!$D:$AM, 36, FALSE) / VLOOKUP("LULUCF|NOx|Asthma symptoms cough", US_national_yearly!$D:$AM, 10, FALSE), 1)</f>
        <v>1.062721100423034E-3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1.2211084457054377E-3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1.2378029945784514E-3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1.2544975434514646E-3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1.2711920923244783E-3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1.287886641197492E-3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1.3012149055554195E-3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1.3145431699133467E-3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1.3191305679449527E-3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1.3237179659765586E-3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1.3283053640081647E-3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1.3328927620397705E-3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1.3374801600713766E-3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1.3427995897180368E-3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1.3481190193646967E-3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1.3534384490113567E-3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1.3587578786580169E-3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1.3640773083046769E-3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1.3710261776684767E-3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1.377975047032277E-3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1.3849239163960768E-3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1.3918727857598764E-3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1.3988216551236762E-3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1.4052781532104925E-3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1.4117346512973086E-3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1.4181911493841251E-3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1.4246476474709413E-3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1.4311041455577576E-3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1.8656589932165473E-3</v>
      </c>
      <c r="C8" s="7">
        <f>$B8 * IFERROR(VLOOKUP("LULUCF|NOx|Asthma symptoms wheeze", US_national_yearly!$D:$AM, 11, FALSE) / VLOOKUP("LULUCF|NOx|Asthma symptoms wheeze", US_national_yearly!$D:$AM, 10, FALSE), 1)</f>
        <v>1.8911656019207014E-3</v>
      </c>
      <c r="D8" s="7">
        <f>$B8 * IFERROR(VLOOKUP("LULUCF|NOx|Asthma symptoms wheeze", US_national_yearly!$D:$AM, 12, FALSE) / VLOOKUP("LULUCF|NOx|Asthma symptoms wheeze", US_national_yearly!$D:$AM, 10, FALSE), 1)</f>
        <v>1.9166722106248562E-3</v>
      </c>
      <c r="E8" s="7">
        <f>$B8 * IFERROR(VLOOKUP("LULUCF|NOx|Asthma symptoms wheeze", US_national_yearly!$D:$AM, 13, FALSE) / VLOOKUP("LULUCF|NOx|Asthma symptoms wheeze", US_national_yearly!$D:$AM, 10, FALSE), 1)</f>
        <v>1.9421788193290104E-3</v>
      </c>
      <c r="F8" s="7">
        <f>$B8 * IFERROR(VLOOKUP("LULUCF|NOx|Asthma symptoms wheeze", US_national_yearly!$D:$AM, 14, FALSE) / VLOOKUP("LULUCF|NOx|Asthma symptoms wheeze", US_national_yearly!$D:$AM, 10, FALSE), 1)</f>
        <v>1.9676854280331643E-3</v>
      </c>
      <c r="G8" s="7">
        <f>$B8 * IFERROR(VLOOKUP("LULUCF|NOx|Asthma symptoms wheeze", US_national_yearly!$D:$AM, 15, FALSE) / VLOOKUP("LULUCF|NOx|Asthma symptoms wheeze", US_national_yearly!$D:$AM, 10, FALSE), 1)</f>
        <v>1.9880488907908387E-3</v>
      </c>
      <c r="H8" s="7">
        <f>$B8 * IFERROR(VLOOKUP("LULUCF|NOx|Asthma symptoms wheeze", US_national_yearly!$D:$AM, 16, FALSE) / VLOOKUP("LULUCF|NOx|Asthma symptoms wheeze", US_national_yearly!$D:$AM, 10, FALSE), 1)</f>
        <v>2.0084123535485132E-3</v>
      </c>
      <c r="I8" s="7">
        <f>$B8 * IFERROR(VLOOKUP("LULUCF|NOx|Asthma symptoms wheeze", US_national_yearly!$D:$AM, 17, FALSE) / VLOOKUP("LULUCF|NOx|Asthma symptoms wheeze", US_national_yearly!$D:$AM, 10, FALSE), 1)</f>
        <v>2.0154211663445908E-3</v>
      </c>
      <c r="J8" s="7">
        <f>$B8 * IFERROR(VLOOKUP("LULUCF|NOx|Asthma symptoms wheeze", US_national_yearly!$D:$AM, 18, FALSE) / VLOOKUP("LULUCF|NOx|Asthma symptoms wheeze", US_national_yearly!$D:$AM, 10, FALSE), 1)</f>
        <v>2.0224299791406688E-3</v>
      </c>
      <c r="K8" s="7">
        <f>$B8 * IFERROR(VLOOKUP("LULUCF|NOx|Asthma symptoms wheeze", US_national_yearly!$D:$AM, 19, FALSE) / VLOOKUP("LULUCF|NOx|Asthma symptoms wheeze", US_national_yearly!$D:$AM, 10, FALSE), 1)</f>
        <v>2.0294387919367459E-3</v>
      </c>
      <c r="L8" s="7">
        <f>$B8 * IFERROR(VLOOKUP("LULUCF|NOx|Asthma symptoms wheeze", US_national_yearly!$D:$AM, 20, FALSE) / VLOOKUP("LULUCF|NOx|Asthma symptoms wheeze", US_national_yearly!$D:$AM, 10, FALSE), 1)</f>
        <v>2.036447604732824E-3</v>
      </c>
      <c r="M8" s="7">
        <f>$B8 * IFERROR(VLOOKUP("LULUCF|NOx|Asthma symptoms wheeze", US_national_yearly!$D:$AM, 21, FALSE) / VLOOKUP("LULUCF|NOx|Asthma symptoms wheeze", US_national_yearly!$D:$AM, 10, FALSE), 1)</f>
        <v>2.0434564175289016E-3</v>
      </c>
      <c r="N8" s="7">
        <f>$B8 * IFERROR(VLOOKUP("LULUCF|NOx|Asthma symptoms wheeze", US_national_yearly!$D:$AM, 22, FALSE) / VLOOKUP("LULUCF|NOx|Asthma symptoms wheeze", US_national_yearly!$D:$AM, 10, FALSE), 1)</f>
        <v>2.0515836578963486E-3</v>
      </c>
      <c r="O8" s="7">
        <f>$B8 * IFERROR(VLOOKUP("LULUCF|NOx|Asthma symptoms wheeze", US_national_yearly!$D:$AM, 23, FALSE) / VLOOKUP("LULUCF|NOx|Asthma symptoms wheeze", US_national_yearly!$D:$AM, 10, FALSE), 1)</f>
        <v>2.059710898263796E-3</v>
      </c>
      <c r="P8" s="7">
        <f>$B8 * IFERROR(VLOOKUP("LULUCF|NOx|Asthma symptoms wheeze", US_national_yearly!$D:$AM, 24, FALSE) / VLOOKUP("LULUCF|NOx|Asthma symptoms wheeze", US_national_yearly!$D:$AM, 10, FALSE), 1)</f>
        <v>2.067838138631243E-3</v>
      </c>
      <c r="Q8" s="7">
        <f>$B8 * IFERROR(VLOOKUP("LULUCF|NOx|Asthma symptoms wheeze", US_national_yearly!$D:$AM, 25, FALSE) / VLOOKUP("LULUCF|NOx|Asthma symptoms wheeze", US_national_yearly!$D:$AM, 10, FALSE), 1)</f>
        <v>2.0759653789986904E-3</v>
      </c>
      <c r="R8" s="7">
        <f>$B8 * IFERROR(VLOOKUP("LULUCF|NOx|Asthma symptoms wheeze", US_national_yearly!$D:$AM, 26, FALSE) / VLOOKUP("LULUCF|NOx|Asthma symptoms wheeze", US_national_yearly!$D:$AM, 10, FALSE), 1)</f>
        <v>2.0840926193661374E-3</v>
      </c>
      <c r="S8" s="7">
        <f>$B8 * IFERROR(VLOOKUP("LULUCF|NOx|Asthma symptoms wheeze", US_national_yearly!$D:$AM, 27, FALSE) / VLOOKUP("LULUCF|NOx|Asthma symptoms wheeze", US_national_yearly!$D:$AM, 10, FALSE), 1)</f>
        <v>2.0947093837866103E-3</v>
      </c>
      <c r="T8" s="7">
        <f>$B8 * IFERROR(VLOOKUP("LULUCF|NOx|Asthma symptoms wheeze", US_national_yearly!$D:$AM, 28, FALSE) / VLOOKUP("LULUCF|NOx|Asthma symptoms wheeze", US_national_yearly!$D:$AM, 10, FALSE), 1)</f>
        <v>2.1053261482070831E-3</v>
      </c>
      <c r="U8" s="7">
        <f>$B8 * IFERROR(VLOOKUP("LULUCF|NOx|Asthma symptoms wheeze", US_national_yearly!$D:$AM, 29, FALSE) / VLOOKUP("LULUCF|NOx|Asthma symptoms wheeze", US_national_yearly!$D:$AM, 10, FALSE), 1)</f>
        <v>2.115942912627556E-3</v>
      </c>
      <c r="V8" s="7">
        <f>$B8 * IFERROR(VLOOKUP("LULUCF|NOx|Asthma symptoms wheeze", US_national_yearly!$D:$AM, 30, FALSE) / VLOOKUP("LULUCF|NOx|Asthma symptoms wheeze", US_national_yearly!$D:$AM, 10, FALSE), 1)</f>
        <v>2.1265596770480297E-3</v>
      </c>
      <c r="W8" s="7">
        <f>$B8 * IFERROR(VLOOKUP("LULUCF|NOx|Asthma symptoms wheeze", US_national_yearly!$D:$AM, 31, FALSE) / VLOOKUP("LULUCF|NOx|Asthma symptoms wheeze", US_national_yearly!$D:$AM, 10, FALSE), 1)</f>
        <v>2.1371764414685021E-3</v>
      </c>
      <c r="X8" s="7">
        <f>$B8 * IFERROR(VLOOKUP("LULUCF|NOx|Asthma symptoms wheeze", US_national_yearly!$D:$AM, 32, FALSE) / VLOOKUP("LULUCF|NOx|Asthma symptoms wheeze", US_national_yearly!$D:$AM, 10, FALSE), 1)</f>
        <v>2.1470409410873806E-3</v>
      </c>
      <c r="Y8" s="7">
        <f>$B8 * IFERROR(VLOOKUP("LULUCF|NOx|Asthma symptoms wheeze", US_national_yearly!$D:$AM, 33, FALSE) / VLOOKUP("LULUCF|NOx|Asthma symptoms wheeze", US_national_yearly!$D:$AM, 10, FALSE), 1)</f>
        <v>2.1569054407062586E-3</v>
      </c>
      <c r="Z8" s="7">
        <f>$B8 * IFERROR(VLOOKUP("LULUCF|NOx|Asthma symptoms wheeze", US_national_yearly!$D:$AM, 34, FALSE) / VLOOKUP("LULUCF|NOx|Asthma symptoms wheeze", US_national_yearly!$D:$AM, 10, FALSE), 1)</f>
        <v>2.1667699403251366E-3</v>
      </c>
      <c r="AA8" s="7">
        <f>$B8 * IFERROR(VLOOKUP("LULUCF|NOx|Asthma symptoms wheeze", US_national_yearly!$D:$AM, 35, FALSE) / VLOOKUP("LULUCF|NOx|Asthma symptoms wheeze", US_national_yearly!$D:$AM, 10, FALSE), 1)</f>
        <v>2.1766344399440146E-3</v>
      </c>
      <c r="AB8" s="7">
        <f>$B8 * IFERROR(VLOOKUP("LULUCF|NOx|Asthma symptoms wheeze", US_national_yearly!$D:$AM, 36, FALSE) / VLOOKUP("LULUCF|NOx|Asthma symptoms wheeze", US_national_yearly!$D:$AM, 10, FALSE), 1)</f>
        <v>2.186498939562893E-3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2.4638328867175913E-5</v>
      </c>
      <c r="C12" s="7">
        <f>$B12 * IFERROR(VLOOKUP("LULUCF|NOx|Respiratory hospital admissions", US_national_yearly!$D:$AM, 11, FALSE) / VLOOKUP("LULUCF|NOx|Respiratory hospital admissions", US_national_yearly!$D:$AM, 10, FALSE), 1)</f>
        <v>2.5252923719599818E-5</v>
      </c>
      <c r="D12" s="7">
        <f>$B12 * IFERROR(VLOOKUP("LULUCF|NOx|Respiratory hospital admissions", US_national_yearly!$D:$AM, 12, FALSE) / VLOOKUP("LULUCF|NOx|Respiratory hospital admissions", US_national_yearly!$D:$AM, 10, FALSE), 1)</f>
        <v>2.586751857202373E-5</v>
      </c>
      <c r="E12" s="7">
        <f>$B12 * IFERROR(VLOOKUP("LULUCF|NOx|Respiratory hospital admissions", US_national_yearly!$D:$AM, 13, FALSE) / VLOOKUP("LULUCF|NOx|Respiratory hospital admissions", US_national_yearly!$D:$AM, 10, FALSE), 1)</f>
        <v>2.6482113424447641E-5</v>
      </c>
      <c r="F12" s="7">
        <f>$B12 * IFERROR(VLOOKUP("LULUCF|NOx|Respiratory hospital admissions", US_national_yearly!$D:$AM, 14, FALSE) / VLOOKUP("LULUCF|NOx|Respiratory hospital admissions", US_national_yearly!$D:$AM, 10, FALSE), 1)</f>
        <v>2.7096708276871553E-5</v>
      </c>
      <c r="G12" s="7">
        <f>$B12 * IFERROR(VLOOKUP("LULUCF|NOx|Respiratory hospital admissions", US_national_yearly!$D:$AM, 15, FALSE) / VLOOKUP("LULUCF|NOx|Respiratory hospital admissions", US_national_yearly!$D:$AM, 10, FALSE), 1)</f>
        <v>2.7684281874107569E-5</v>
      </c>
      <c r="H12" s="7">
        <f>$B12 * IFERROR(VLOOKUP("LULUCF|NOx|Respiratory hospital admissions", US_national_yearly!$D:$AM, 16, FALSE) / VLOOKUP("LULUCF|NOx|Respiratory hospital admissions", US_national_yearly!$D:$AM, 10, FALSE), 1)</f>
        <v>2.8271855471343586E-5</v>
      </c>
      <c r="I12" s="7">
        <f>$B12 * IFERROR(VLOOKUP("LULUCF|NOx|Respiratory hospital admissions", US_national_yearly!$D:$AM, 17, FALSE) / VLOOKUP("LULUCF|NOx|Respiratory hospital admissions", US_national_yearly!$D:$AM, 10, FALSE), 1)</f>
        <v>2.8770717534687687E-5</v>
      </c>
      <c r="J12" s="7">
        <f>$B12 * IFERROR(VLOOKUP("LULUCF|NOx|Respiratory hospital admissions", US_national_yearly!$D:$AM, 18, FALSE) / VLOOKUP("LULUCF|NOx|Respiratory hospital admissions", US_national_yearly!$D:$AM, 10, FALSE), 1)</f>
        <v>2.9269579598031784E-5</v>
      </c>
      <c r="K12" s="7">
        <f>$B12 * IFERROR(VLOOKUP("LULUCF|NOx|Respiratory hospital admissions", US_national_yearly!$D:$AM, 19, FALSE) / VLOOKUP("LULUCF|NOx|Respiratory hospital admissions", US_national_yearly!$D:$AM, 10, FALSE), 1)</f>
        <v>2.9768441661375888E-5</v>
      </c>
      <c r="L12" s="7">
        <f>$B12 * IFERROR(VLOOKUP("LULUCF|NOx|Respiratory hospital admissions", US_national_yearly!$D:$AM, 20, FALSE) / VLOOKUP("LULUCF|NOx|Respiratory hospital admissions", US_national_yearly!$D:$AM, 10, FALSE), 1)</f>
        <v>3.0267303724719989E-5</v>
      </c>
      <c r="M12" s="7">
        <f>$B12 * IFERROR(VLOOKUP("LULUCF|NOx|Respiratory hospital admissions", US_national_yearly!$D:$AM, 21, FALSE) / VLOOKUP("LULUCF|NOx|Respiratory hospital admissions", US_national_yearly!$D:$AM, 10, FALSE), 1)</f>
        <v>3.0766165788064094E-5</v>
      </c>
      <c r="N12" s="7">
        <f>$B12 * IFERROR(VLOOKUP("LULUCF|NOx|Respiratory hospital admissions", US_national_yearly!$D:$AM, 22, FALSE) / VLOOKUP("LULUCF|NOx|Respiratory hospital admissions", US_national_yearly!$D:$AM, 10, FALSE), 1)</f>
        <v>3.1099664059201252E-5</v>
      </c>
      <c r="O12" s="7">
        <f>$B12 * IFERROR(VLOOKUP("LULUCF|NOx|Respiratory hospital admissions", US_national_yearly!$D:$AM, 23, FALSE) / VLOOKUP("LULUCF|NOx|Respiratory hospital admissions", US_national_yearly!$D:$AM, 10, FALSE), 1)</f>
        <v>3.1433162330338423E-5</v>
      </c>
      <c r="P12" s="7">
        <f>$B12 * IFERROR(VLOOKUP("LULUCF|NOx|Respiratory hospital admissions", US_national_yearly!$D:$AM, 24, FALSE) / VLOOKUP("LULUCF|NOx|Respiratory hospital admissions", US_national_yearly!$D:$AM, 10, FALSE), 1)</f>
        <v>3.1766660601475581E-5</v>
      </c>
      <c r="Q12" s="7">
        <f>$B12 * IFERROR(VLOOKUP("LULUCF|NOx|Respiratory hospital admissions", US_national_yearly!$D:$AM, 25, FALSE) / VLOOKUP("LULUCF|NOx|Respiratory hospital admissions", US_national_yearly!$D:$AM, 10, FALSE), 1)</f>
        <v>3.2100158872612753E-5</v>
      </c>
      <c r="R12" s="7">
        <f>$B12 * IFERROR(VLOOKUP("LULUCF|NOx|Respiratory hospital admissions", US_national_yearly!$D:$AM, 26, FALSE) / VLOOKUP("LULUCF|NOx|Respiratory hospital admissions", US_national_yearly!$D:$AM, 10, FALSE), 1)</f>
        <v>3.2433657143749917E-5</v>
      </c>
      <c r="S12" s="7">
        <f>$B12 * IFERROR(VLOOKUP("LULUCF|NOx|Respiratory hospital admissions", US_national_yearly!$D:$AM, 27, FALSE) / VLOOKUP("LULUCF|NOx|Respiratory hospital admissions", US_national_yearly!$D:$AM, 10, FALSE), 1)</f>
        <v>3.261233648066882E-5</v>
      </c>
      <c r="T12" s="7">
        <f>$B12 * IFERROR(VLOOKUP("LULUCF|NOx|Respiratory hospital admissions", US_national_yearly!$D:$AM, 28, FALSE) / VLOOKUP("LULUCF|NOx|Respiratory hospital admissions", US_national_yearly!$D:$AM, 10, FALSE), 1)</f>
        <v>3.2791015817587723E-5</v>
      </c>
      <c r="U12" s="7">
        <f>$B12 * IFERROR(VLOOKUP("LULUCF|NOx|Respiratory hospital admissions", US_national_yearly!$D:$AM, 29, FALSE) / VLOOKUP("LULUCF|NOx|Respiratory hospital admissions", US_national_yearly!$D:$AM, 10, FALSE), 1)</f>
        <v>3.2969695154506626E-5</v>
      </c>
      <c r="V12" s="7">
        <f>$B12 * IFERROR(VLOOKUP("LULUCF|NOx|Respiratory hospital admissions", US_national_yearly!$D:$AM, 30, FALSE) / VLOOKUP("LULUCF|NOx|Respiratory hospital admissions", US_national_yearly!$D:$AM, 10, FALSE), 1)</f>
        <v>3.3148374491425522E-5</v>
      </c>
      <c r="W12" s="7">
        <f>$B12 * IFERROR(VLOOKUP("LULUCF|NOx|Respiratory hospital admissions", US_national_yearly!$D:$AM, 31, FALSE) / VLOOKUP("LULUCF|NOx|Respiratory hospital admissions", US_national_yearly!$D:$AM, 10, FALSE), 1)</f>
        <v>3.3327053828344425E-5</v>
      </c>
      <c r="X12" s="7">
        <f>$B12 * IFERROR(VLOOKUP("LULUCF|NOx|Respiratory hospital admissions", US_national_yearly!$D:$AM, 32, FALSE) / VLOOKUP("LULUCF|NOx|Respiratory hospital admissions", US_national_yearly!$D:$AM, 10, FALSE), 1)</f>
        <v>3.3449157941737106E-5</v>
      </c>
      <c r="Y12" s="7">
        <f>$B12 * IFERROR(VLOOKUP("LULUCF|NOx|Respiratory hospital admissions", US_national_yearly!$D:$AM, 33, FALSE) / VLOOKUP("LULUCF|NOx|Respiratory hospital admissions", US_national_yearly!$D:$AM, 10, FALSE), 1)</f>
        <v>3.3571262055129787E-5</v>
      </c>
      <c r="Z12" s="7">
        <f>$B12 * IFERROR(VLOOKUP("LULUCF|NOx|Respiratory hospital admissions", US_national_yearly!$D:$AM, 34, FALSE) / VLOOKUP("LULUCF|NOx|Respiratory hospital admissions", US_national_yearly!$D:$AM, 10, FALSE), 1)</f>
        <v>3.3693366168522475E-5</v>
      </c>
      <c r="AA12" s="7">
        <f>$B12 * IFERROR(VLOOKUP("LULUCF|NOx|Respiratory hospital admissions", US_national_yearly!$D:$AM, 35, FALSE) / VLOOKUP("LULUCF|NOx|Respiratory hospital admissions", US_national_yearly!$D:$AM, 10, FALSE), 1)</f>
        <v>3.3815470281915157E-5</v>
      </c>
      <c r="AB12" s="7">
        <f>$B12 * IFERROR(VLOOKUP("LULUCF|NOx|Respiratory hospital admissions", US_national_yearly!$D:$AM, 36, FALSE) / VLOOKUP("LULUCF|NOx|Respiratory hospital admissions", US_national_yearly!$D:$AM, 10, FALSE), 1)</f>
        <v>3.3937574395307838E-5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1.5846828466670166E-4</v>
      </c>
      <c r="C13" s="7">
        <f>$B13 * IFERROR(VLOOKUP("LULUCF|NOx|Non-fatal heart attacks", US_national_yearly!$D:$AM, 11, FALSE) / VLOOKUP("LULUCF|NOx|Non-fatal heart attacks", US_national_yearly!$D:$AM, 10, FALSE), 1)</f>
        <v>1.6299875330585582E-4</v>
      </c>
      <c r="D13" s="7">
        <f>$B13 * IFERROR(VLOOKUP("LULUCF|NOx|Non-fatal heart attacks", US_national_yearly!$D:$AM, 12, FALSE) / VLOOKUP("LULUCF|NOx|Non-fatal heart attacks", US_national_yearly!$D:$AM, 10, FALSE), 1)</f>
        <v>1.6752922194500998E-4</v>
      </c>
      <c r="E13" s="7">
        <f>$B13 * IFERROR(VLOOKUP("LULUCF|NOx|Non-fatal heart attacks", US_national_yearly!$D:$AM, 13, FALSE) / VLOOKUP("LULUCF|NOx|Non-fatal heart attacks", US_national_yearly!$D:$AM, 10, FALSE), 1)</f>
        <v>1.7205969058416411E-4</v>
      </c>
      <c r="F13" s="7">
        <f>$B13 * IFERROR(VLOOKUP("LULUCF|NOx|Non-fatal heart attacks", US_national_yearly!$D:$AM, 14, FALSE) / VLOOKUP("LULUCF|NOx|Non-fatal heart attacks", US_national_yearly!$D:$AM, 10, FALSE), 1)</f>
        <v>1.7659015922331827E-4</v>
      </c>
      <c r="G13" s="7">
        <f>$B13 * IFERROR(VLOOKUP("LULUCF|NOx|Non-fatal heart attacks", US_national_yearly!$D:$AM, 15, FALSE) / VLOOKUP("LULUCF|NOx|Non-fatal heart attacks", US_national_yearly!$D:$AM, 10, FALSE), 1)</f>
        <v>1.808238727507214E-4</v>
      </c>
      <c r="H13" s="7">
        <f>$B13 * IFERROR(VLOOKUP("LULUCF|NOx|Non-fatal heart attacks", US_national_yearly!$D:$AM, 16, FALSE) / VLOOKUP("LULUCF|NOx|Non-fatal heart attacks", US_national_yearly!$D:$AM, 10, FALSE), 1)</f>
        <v>1.8505758627812455E-4</v>
      </c>
      <c r="I13" s="7">
        <f>$B13 * IFERROR(VLOOKUP("LULUCF|NOx|Non-fatal heart attacks", US_national_yearly!$D:$AM, 17, FALSE) / VLOOKUP("LULUCF|NOx|Non-fatal heart attacks", US_national_yearly!$D:$AM, 10, FALSE), 1)</f>
        <v>1.8839538543481661E-4</v>
      </c>
      <c r="J13" s="7">
        <f>$B13 * IFERROR(VLOOKUP("LULUCF|NOx|Non-fatal heart attacks", US_national_yearly!$D:$AM, 18, FALSE) / VLOOKUP("LULUCF|NOx|Non-fatal heart attacks", US_national_yearly!$D:$AM, 10, FALSE), 1)</f>
        <v>1.9173318459150872E-4</v>
      </c>
      <c r="K13" s="7">
        <f>$B13 * IFERROR(VLOOKUP("LULUCF|NOx|Non-fatal heart attacks", US_national_yearly!$D:$AM, 19, FALSE) / VLOOKUP("LULUCF|NOx|Non-fatal heart attacks", US_national_yearly!$D:$AM, 10, FALSE), 1)</f>
        <v>1.9507098374820067E-4</v>
      </c>
      <c r="L13" s="7">
        <f>$B13 * IFERROR(VLOOKUP("LULUCF|NOx|Non-fatal heart attacks", US_national_yearly!$D:$AM, 20, FALSE) / VLOOKUP("LULUCF|NOx|Non-fatal heart attacks", US_national_yearly!$D:$AM, 10, FALSE), 1)</f>
        <v>1.9840878290489287E-4</v>
      </c>
      <c r="M13" s="7">
        <f>$B13 * IFERROR(VLOOKUP("LULUCF|NOx|Non-fatal heart attacks", US_national_yearly!$D:$AM, 21, FALSE) / VLOOKUP("LULUCF|NOx|Non-fatal heart attacks", US_national_yearly!$D:$AM, 10, FALSE), 1)</f>
        <v>2.017465820615849E-4</v>
      </c>
      <c r="N13" s="7">
        <f>$B13 * IFERROR(VLOOKUP("LULUCF|NOx|Non-fatal heart attacks", US_national_yearly!$D:$AM, 22, FALSE) / VLOOKUP("LULUCF|NOx|Non-fatal heart attacks", US_national_yearly!$D:$AM, 10, FALSE), 1)</f>
        <v>2.0375470325827646E-4</v>
      </c>
      <c r="O13" s="7">
        <f>$B13 * IFERROR(VLOOKUP("LULUCF|NOx|Non-fatal heart attacks", US_national_yearly!$D:$AM, 23, FALSE) / VLOOKUP("LULUCF|NOx|Non-fatal heart attacks", US_national_yearly!$D:$AM, 10, FALSE), 1)</f>
        <v>2.0576282445496801E-4</v>
      </c>
      <c r="P13" s="7">
        <f>$B13 * IFERROR(VLOOKUP("LULUCF|NOx|Non-fatal heart attacks", US_national_yearly!$D:$AM, 24, FALSE) / VLOOKUP("LULUCF|NOx|Non-fatal heart attacks", US_national_yearly!$D:$AM, 10, FALSE), 1)</f>
        <v>2.0777094565165952E-4</v>
      </c>
      <c r="Q13" s="7">
        <f>$B13 * IFERROR(VLOOKUP("LULUCF|NOx|Non-fatal heart attacks", US_national_yearly!$D:$AM, 25, FALSE) / VLOOKUP("LULUCF|NOx|Non-fatal heart attacks", US_national_yearly!$D:$AM, 10, FALSE), 1)</f>
        <v>2.0977906684835113E-4</v>
      </c>
      <c r="R13" s="7">
        <f>$B13 * IFERROR(VLOOKUP("LULUCF|NOx|Non-fatal heart attacks", US_national_yearly!$D:$AM, 26, FALSE) / VLOOKUP("LULUCF|NOx|Non-fatal heart attacks", US_national_yearly!$D:$AM, 10, FALSE), 1)</f>
        <v>2.1178718804504266E-4</v>
      </c>
      <c r="S13" s="7">
        <f>$B13 * IFERROR(VLOOKUP("LULUCF|NOx|Non-fatal heart attacks", US_national_yearly!$D:$AM, 27, FALSE) / VLOOKUP("LULUCF|NOx|Non-fatal heart attacks", US_national_yearly!$D:$AM, 10, FALSE), 1)</f>
        <v>2.1269808570877519E-4</v>
      </c>
      <c r="T13" s="7">
        <f>$B13 * IFERROR(VLOOKUP("LULUCF|NOx|Non-fatal heart attacks", US_national_yearly!$D:$AM, 28, FALSE) / VLOOKUP("LULUCF|NOx|Non-fatal heart attacks", US_national_yearly!$D:$AM, 10, FALSE), 1)</f>
        <v>2.1360898337250772E-4</v>
      </c>
      <c r="U13" s="7">
        <f>$B13 * IFERROR(VLOOKUP("LULUCF|NOx|Non-fatal heart attacks", US_national_yearly!$D:$AM, 29, FALSE) / VLOOKUP("LULUCF|NOx|Non-fatal heart attacks", US_national_yearly!$D:$AM, 10, FALSE), 1)</f>
        <v>2.1451988103624026E-4</v>
      </c>
      <c r="V13" s="7">
        <f>$B13 * IFERROR(VLOOKUP("LULUCF|NOx|Non-fatal heart attacks", US_national_yearly!$D:$AM, 30, FALSE) / VLOOKUP("LULUCF|NOx|Non-fatal heart attacks", US_national_yearly!$D:$AM, 10, FALSE), 1)</f>
        <v>2.1543077869997276E-4</v>
      </c>
      <c r="W13" s="7">
        <f>$B13 * IFERROR(VLOOKUP("LULUCF|NOx|Non-fatal heart attacks", US_national_yearly!$D:$AM, 31, FALSE) / VLOOKUP("LULUCF|NOx|Non-fatal heart attacks", US_national_yearly!$D:$AM, 10, FALSE), 1)</f>
        <v>2.163416763637053E-4</v>
      </c>
      <c r="X13" s="7">
        <f>$B13 * IFERROR(VLOOKUP("LULUCF|NOx|Non-fatal heart attacks", US_national_yearly!$D:$AM, 32, FALSE) / VLOOKUP("LULUCF|NOx|Non-fatal heart attacks", US_national_yearly!$D:$AM, 10, FALSE), 1)</f>
        <v>2.1695038611241639E-4</v>
      </c>
      <c r="Y13" s="7">
        <f>$B13 * IFERROR(VLOOKUP("LULUCF|NOx|Non-fatal heart attacks", US_national_yearly!$D:$AM, 33, FALSE) / VLOOKUP("LULUCF|NOx|Non-fatal heart attacks", US_national_yearly!$D:$AM, 10, FALSE), 1)</f>
        <v>2.1755909586112753E-4</v>
      </c>
      <c r="Z13" s="7">
        <f>$B13 * IFERROR(VLOOKUP("LULUCF|NOx|Non-fatal heart attacks", US_national_yearly!$D:$AM, 34, FALSE) / VLOOKUP("LULUCF|NOx|Non-fatal heart attacks", US_national_yearly!$D:$AM, 10, FALSE), 1)</f>
        <v>2.1816780560983859E-4</v>
      </c>
      <c r="AA13" s="7">
        <f>$B13 * IFERROR(VLOOKUP("LULUCF|NOx|Non-fatal heart attacks", US_national_yearly!$D:$AM, 35, FALSE) / VLOOKUP("LULUCF|NOx|Non-fatal heart attacks", US_national_yearly!$D:$AM, 10, FALSE), 1)</f>
        <v>2.1877651535854968E-4</v>
      </c>
      <c r="AB13" s="7">
        <f>$B13 * IFERROR(VLOOKUP("LULUCF|NOx|Non-fatal heart attacks", US_national_yearly!$D:$AM, 36, FALSE) / VLOOKUP("LULUCF|NOx|Non-fatal heart attacks", US_national_yearly!$D:$AM, 10, FALSE), 1)</f>
        <v>2.1938522510726079E-4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0.11954372194790036</v>
      </c>
      <c r="C14" s="7">
        <f>$B14 * IFERROR(VLOOKUP("LULUCF|NOx|Minor restricted activity days", US_national_yearly!$D:$AM, 11, FALSE) / VLOOKUP("LULUCF|NOx|Minor restricted activity days", US_national_yearly!$D:$AM, 10, FALSE), 1)</f>
        <v>0.11972700253530921</v>
      </c>
      <c r="D14" s="7">
        <f>$B14 * IFERROR(VLOOKUP("LULUCF|NOx|Minor restricted activity days", US_national_yearly!$D:$AM, 12, FALSE) / VLOOKUP("LULUCF|NOx|Minor restricted activity days", US_national_yearly!$D:$AM, 10, FALSE), 1)</f>
        <v>0.11991028312271811</v>
      </c>
      <c r="E14" s="7">
        <f>$B14 * IFERROR(VLOOKUP("LULUCF|NOx|Minor restricted activity days", US_national_yearly!$D:$AM, 13, FALSE) / VLOOKUP("LULUCF|NOx|Minor restricted activity days", US_national_yearly!$D:$AM, 10, FALSE), 1)</f>
        <v>0.12009356371012699</v>
      </c>
      <c r="F14" s="7">
        <f>$B14 * IFERROR(VLOOKUP("LULUCF|NOx|Minor restricted activity days", US_national_yearly!$D:$AM, 14, FALSE) / VLOOKUP("LULUCF|NOx|Minor restricted activity days", US_national_yearly!$D:$AM, 10, FALSE), 1)</f>
        <v>0.12027684429753585</v>
      </c>
      <c r="G14" s="7">
        <f>$B14 * IFERROR(VLOOKUP("LULUCF|NOx|Minor restricted activity days", US_national_yearly!$D:$AM, 15, FALSE) / VLOOKUP("LULUCF|NOx|Minor restricted activity days", US_national_yearly!$D:$AM, 10, FALSE), 1)</f>
        <v>0.12060780541386786</v>
      </c>
      <c r="H14" s="7">
        <f>$B14 * IFERROR(VLOOKUP("LULUCF|NOx|Minor restricted activity days", US_national_yearly!$D:$AM, 16, FALSE) / VLOOKUP("LULUCF|NOx|Minor restricted activity days", US_national_yearly!$D:$AM, 10, FALSE), 1)</f>
        <v>0.12093876653019985</v>
      </c>
      <c r="I14" s="7">
        <f>$B14 * IFERROR(VLOOKUP("LULUCF|NOx|Minor restricted activity days", US_national_yearly!$D:$AM, 17, FALSE) / VLOOKUP("LULUCF|NOx|Minor restricted activity days", US_national_yearly!$D:$AM, 10, FALSE), 1)</f>
        <v>0.12158611338618848</v>
      </c>
      <c r="J14" s="7">
        <f>$B14 * IFERROR(VLOOKUP("LULUCF|NOx|Minor restricted activity days", US_national_yearly!$D:$AM, 18, FALSE) / VLOOKUP("LULUCF|NOx|Minor restricted activity days", US_national_yearly!$D:$AM, 10, FALSE), 1)</f>
        <v>0.1222334602421771</v>
      </c>
      <c r="K14" s="7">
        <f>$B14 * IFERROR(VLOOKUP("LULUCF|NOx|Minor restricted activity days", US_national_yearly!$D:$AM, 19, FALSE) / VLOOKUP("LULUCF|NOx|Minor restricted activity days", US_national_yearly!$D:$AM, 10, FALSE), 1)</f>
        <v>0.12288080709816573</v>
      </c>
      <c r="L14" s="7">
        <f>$B14 * IFERROR(VLOOKUP("LULUCF|NOx|Minor restricted activity days", US_national_yearly!$D:$AM, 20, FALSE) / VLOOKUP("LULUCF|NOx|Minor restricted activity days", US_national_yearly!$D:$AM, 10, FALSE), 1)</f>
        <v>0.12352815395415434</v>
      </c>
      <c r="M14" s="7">
        <f>$B14 * IFERROR(VLOOKUP("LULUCF|NOx|Minor restricted activity days", US_national_yearly!$D:$AM, 21, FALSE) / VLOOKUP("LULUCF|NOx|Minor restricted activity days", US_national_yearly!$D:$AM, 10, FALSE), 1)</f>
        <v>0.12417550081014297</v>
      </c>
      <c r="N14" s="7">
        <f>$B14 * IFERROR(VLOOKUP("LULUCF|NOx|Minor restricted activity days", US_national_yearly!$D:$AM, 22, FALSE) / VLOOKUP("LULUCF|NOx|Minor restricted activity days", US_national_yearly!$D:$AM, 10, FALSE), 1)</f>
        <v>0.12510235472519834</v>
      </c>
      <c r="O14" s="7">
        <f>$B14 * IFERROR(VLOOKUP("LULUCF|NOx|Minor restricted activity days", US_national_yearly!$D:$AM, 23, FALSE) / VLOOKUP("LULUCF|NOx|Minor restricted activity days", US_national_yearly!$D:$AM, 10, FALSE), 1)</f>
        <v>0.12602920864025369</v>
      </c>
      <c r="P14" s="7">
        <f>$B14 * IFERROR(VLOOKUP("LULUCF|NOx|Minor restricted activity days", US_national_yearly!$D:$AM, 24, FALSE) / VLOOKUP("LULUCF|NOx|Minor restricted activity days", US_national_yearly!$D:$AM, 10, FALSE), 1)</f>
        <v>0.12695606255530906</v>
      </c>
      <c r="Q14" s="7">
        <f>$B14 * IFERROR(VLOOKUP("LULUCF|NOx|Minor restricted activity days", US_national_yearly!$D:$AM, 25, FALSE) / VLOOKUP("LULUCF|NOx|Minor restricted activity days", US_national_yearly!$D:$AM, 10, FALSE), 1)</f>
        <v>0.1278829164703644</v>
      </c>
      <c r="R14" s="7">
        <f>$B14 * IFERROR(VLOOKUP("LULUCF|NOx|Minor restricted activity days", US_national_yearly!$D:$AM, 26, FALSE) / VLOOKUP("LULUCF|NOx|Minor restricted activity days", US_national_yearly!$D:$AM, 10, FALSE), 1)</f>
        <v>0.12880977038541974</v>
      </c>
      <c r="S14" s="7">
        <f>$B14 * IFERROR(VLOOKUP("LULUCF|NOx|Minor restricted activity days", US_national_yearly!$D:$AM, 27, FALSE) / VLOOKUP("LULUCF|NOx|Minor restricted activity days", US_national_yearly!$D:$AM, 10, FALSE), 1)</f>
        <v>0.12973642943142324</v>
      </c>
      <c r="T14" s="7">
        <f>$B14 * IFERROR(VLOOKUP("LULUCF|NOx|Minor restricted activity days", US_national_yearly!$D:$AM, 28, FALSE) / VLOOKUP("LULUCF|NOx|Minor restricted activity days", US_national_yearly!$D:$AM, 10, FALSE), 1)</f>
        <v>0.13066308847742672</v>
      </c>
      <c r="U14" s="7">
        <f>$B14 * IFERROR(VLOOKUP("LULUCF|NOx|Minor restricted activity days", US_national_yearly!$D:$AM, 29, FALSE) / VLOOKUP("LULUCF|NOx|Minor restricted activity days", US_national_yearly!$D:$AM, 10, FALSE), 1)</f>
        <v>0.13158974752343022</v>
      </c>
      <c r="V14" s="7">
        <f>$B14 * IFERROR(VLOOKUP("LULUCF|NOx|Minor restricted activity days", US_national_yearly!$D:$AM, 30, FALSE) / VLOOKUP("LULUCF|NOx|Minor restricted activity days", US_national_yearly!$D:$AM, 10, FALSE), 1)</f>
        <v>0.13251640656943373</v>
      </c>
      <c r="W14" s="7">
        <f>$B14 * IFERROR(VLOOKUP("LULUCF|NOx|Minor restricted activity days", US_national_yearly!$D:$AM, 31, FALSE) / VLOOKUP("LULUCF|NOx|Minor restricted activity days", US_national_yearly!$D:$AM, 10, FALSE), 1)</f>
        <v>0.1334430656154372</v>
      </c>
      <c r="X14" s="7">
        <f>$B14 * IFERROR(VLOOKUP("LULUCF|NOx|Minor restricted activity days", US_national_yearly!$D:$AM, 32, FALSE) / VLOOKUP("LULUCF|NOx|Minor restricted activity days", US_national_yearly!$D:$AM, 10, FALSE), 1)</f>
        <v>0.1342265205369878</v>
      </c>
      <c r="Y14" s="7">
        <f>$B14 * IFERROR(VLOOKUP("LULUCF|NOx|Minor restricted activity days", US_national_yearly!$D:$AM, 33, FALSE) / VLOOKUP("LULUCF|NOx|Minor restricted activity days", US_national_yearly!$D:$AM, 10, FALSE), 1)</f>
        <v>0.13500997545853838</v>
      </c>
      <c r="Z14" s="7">
        <f>$B14 * IFERROR(VLOOKUP("LULUCF|NOx|Minor restricted activity days", US_national_yearly!$D:$AM, 34, FALSE) / VLOOKUP("LULUCF|NOx|Minor restricted activity days", US_national_yearly!$D:$AM, 10, FALSE), 1)</f>
        <v>0.13579343038008898</v>
      </c>
      <c r="AA14" s="7">
        <f>$B14 * IFERROR(VLOOKUP("LULUCF|NOx|Minor restricted activity days", US_national_yearly!$D:$AM, 35, FALSE) / VLOOKUP("LULUCF|NOx|Minor restricted activity days", US_national_yearly!$D:$AM, 10, FALSE), 1)</f>
        <v>0.13657688530163956</v>
      </c>
      <c r="AB14" s="7">
        <f>$B14 * IFERROR(VLOOKUP("LULUCF|NOx|Minor restricted activity days", US_national_yearly!$D:$AM, 36, FALSE) / VLOOKUP("LULUCF|NOx|Minor restricted activity days", US_national_yearly!$D:$AM, 10, FALSE), 1)</f>
        <v>0.13736034022319016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2.0148292276430363E-2</v>
      </c>
      <c r="C15" s="7">
        <f>$B15 * IFERROR(VLOOKUP("LULUCF|NOx|Work loss days", US_national_yearly!$D:$AM, 11, FALSE) / VLOOKUP("LULUCF|NOx|Work loss days", US_national_yearly!$D:$AM, 10, FALSE), 1)</f>
        <v>2.0193111068689627E-2</v>
      </c>
      <c r="D15" s="7">
        <f>$B15 * IFERROR(VLOOKUP("LULUCF|NOx|Work loss days", US_national_yearly!$D:$AM, 12, FALSE) / VLOOKUP("LULUCF|NOx|Work loss days", US_national_yearly!$D:$AM, 10, FALSE), 1)</f>
        <v>2.0237929860948894E-2</v>
      </c>
      <c r="E15" s="7">
        <f>$B15 * IFERROR(VLOOKUP("LULUCF|NOx|Work loss days", US_national_yearly!$D:$AM, 13, FALSE) / VLOOKUP("LULUCF|NOx|Work loss days", US_national_yearly!$D:$AM, 10, FALSE), 1)</f>
        <v>2.0282748653208157E-2</v>
      </c>
      <c r="F15" s="7">
        <f>$B15 * IFERROR(VLOOKUP("LULUCF|NOx|Work loss days", US_national_yearly!$D:$AM, 14, FALSE) / VLOOKUP("LULUCF|NOx|Work loss days", US_national_yearly!$D:$AM, 10, FALSE), 1)</f>
        <v>2.0327567445467425E-2</v>
      </c>
      <c r="G15" s="7">
        <f>$B15 * IFERROR(VLOOKUP("LULUCF|NOx|Work loss days", US_national_yearly!$D:$AM, 15, FALSE) / VLOOKUP("LULUCF|NOx|Work loss days", US_national_yearly!$D:$AM, 10, FALSE), 1)</f>
        <v>2.0393003264490148E-2</v>
      </c>
      <c r="H15" s="7">
        <f>$B15 * IFERROR(VLOOKUP("LULUCF|NOx|Work loss days", US_national_yearly!$D:$AM, 16, FALSE) / VLOOKUP("LULUCF|NOx|Work loss days", US_national_yearly!$D:$AM, 10, FALSE), 1)</f>
        <v>2.0458439083512879E-2</v>
      </c>
      <c r="I15" s="7">
        <f>$B15 * IFERROR(VLOOKUP("LULUCF|NOx|Work loss days", US_national_yearly!$D:$AM, 17, FALSE) / VLOOKUP("LULUCF|NOx|Work loss days", US_national_yearly!$D:$AM, 10, FALSE), 1)</f>
        <v>2.0564441563955864E-2</v>
      </c>
      <c r="J15" s="7">
        <f>$B15 * IFERROR(VLOOKUP("LULUCF|NOx|Work loss days", US_national_yearly!$D:$AM, 18, FALSE) / VLOOKUP("LULUCF|NOx|Work loss days", US_national_yearly!$D:$AM, 10, FALSE), 1)</f>
        <v>2.0670444044398856E-2</v>
      </c>
      <c r="K15" s="7">
        <f>$B15 * IFERROR(VLOOKUP("LULUCF|NOx|Work loss days", US_national_yearly!$D:$AM, 19, FALSE) / VLOOKUP("LULUCF|NOx|Work loss days", US_national_yearly!$D:$AM, 10, FALSE), 1)</f>
        <v>2.0776446524841844E-2</v>
      </c>
      <c r="L15" s="7">
        <f>$B15 * IFERROR(VLOOKUP("LULUCF|NOx|Work loss days", US_national_yearly!$D:$AM, 20, FALSE) / VLOOKUP("LULUCF|NOx|Work loss days", US_national_yearly!$D:$AM, 10, FALSE), 1)</f>
        <v>2.0882449005284829E-2</v>
      </c>
      <c r="M15" s="7">
        <f>$B15 * IFERROR(VLOOKUP("LULUCF|NOx|Work loss days", US_national_yearly!$D:$AM, 21, FALSE) / VLOOKUP("LULUCF|NOx|Work loss days", US_national_yearly!$D:$AM, 10, FALSE), 1)</f>
        <v>2.0988451485727821E-2</v>
      </c>
      <c r="N15" s="7">
        <f>$B15 * IFERROR(VLOOKUP("LULUCF|NOx|Work loss days", US_national_yearly!$D:$AM, 22, FALSE) / VLOOKUP("LULUCF|NOx|Work loss days", US_national_yearly!$D:$AM, 10, FALSE), 1)</f>
        <v>2.1126407209422434E-2</v>
      </c>
      <c r="O15" s="7">
        <f>$B15 * IFERROR(VLOOKUP("LULUCF|NOx|Work loss days", US_national_yearly!$D:$AM, 23, FALSE) / VLOOKUP("LULUCF|NOx|Work loss days", US_national_yearly!$D:$AM, 10, FALSE), 1)</f>
        <v>2.1264362933117047E-2</v>
      </c>
      <c r="P15" s="7">
        <f>$B15 * IFERROR(VLOOKUP("LULUCF|NOx|Work loss days", US_national_yearly!$D:$AM, 24, FALSE) / VLOOKUP("LULUCF|NOx|Work loss days", US_national_yearly!$D:$AM, 10, FALSE), 1)</f>
        <v>2.1402318656811661E-2</v>
      </c>
      <c r="Q15" s="7">
        <f>$B15 * IFERROR(VLOOKUP("LULUCF|NOx|Work loss days", US_national_yearly!$D:$AM, 25, FALSE) / VLOOKUP("LULUCF|NOx|Work loss days", US_national_yearly!$D:$AM, 10, FALSE), 1)</f>
        <v>2.154027438050627E-2</v>
      </c>
      <c r="R15" s="7">
        <f>$B15 * IFERROR(VLOOKUP("LULUCF|NOx|Work loss days", US_national_yearly!$D:$AM, 26, FALSE) / VLOOKUP("LULUCF|NOx|Work loss days", US_national_yearly!$D:$AM, 10, FALSE), 1)</f>
        <v>2.1678230104200891E-2</v>
      </c>
      <c r="S15" s="7">
        <f>$B15 * IFERROR(VLOOKUP("LULUCF|NOx|Work loss days", US_national_yearly!$D:$AM, 27, FALSE) / VLOOKUP("LULUCF|NOx|Work loss days", US_national_yearly!$D:$AM, 10, FALSE), 1)</f>
        <v>2.1832033096824993E-2</v>
      </c>
      <c r="T15" s="7">
        <f>$B15 * IFERROR(VLOOKUP("LULUCF|NOx|Work loss days", US_national_yearly!$D:$AM, 28, FALSE) / VLOOKUP("LULUCF|NOx|Work loss days", US_national_yearly!$D:$AM, 10, FALSE), 1)</f>
        <v>2.1985836089449099E-2</v>
      </c>
      <c r="U15" s="7">
        <f>$B15 * IFERROR(VLOOKUP("LULUCF|NOx|Work loss days", US_national_yearly!$D:$AM, 29, FALSE) / VLOOKUP("LULUCF|NOx|Work loss days", US_national_yearly!$D:$AM, 10, FALSE), 1)</f>
        <v>2.2139639082073198E-2</v>
      </c>
      <c r="V15" s="7">
        <f>$B15 * IFERROR(VLOOKUP("LULUCF|NOx|Work loss days", US_national_yearly!$D:$AM, 30, FALSE) / VLOOKUP("LULUCF|NOx|Work loss days", US_national_yearly!$D:$AM, 10, FALSE), 1)</f>
        <v>2.2293442074697304E-2</v>
      </c>
      <c r="W15" s="7">
        <f>$B15 * IFERROR(VLOOKUP("LULUCF|NOx|Work loss days", US_national_yearly!$D:$AM, 31, FALSE) / VLOOKUP("LULUCF|NOx|Work loss days", US_national_yearly!$D:$AM, 10, FALSE), 1)</f>
        <v>2.2447245067321406E-2</v>
      </c>
      <c r="X15" s="7">
        <f>$B15 * IFERROR(VLOOKUP("LULUCF|NOx|Work loss days", US_national_yearly!$D:$AM, 32, FALSE) / VLOOKUP("LULUCF|NOx|Work loss days", US_national_yearly!$D:$AM, 10, FALSE), 1)</f>
        <v>2.2580737864644873E-2</v>
      </c>
      <c r="Y15" s="7">
        <f>$B15 * IFERROR(VLOOKUP("LULUCF|NOx|Work loss days", US_national_yearly!$D:$AM, 33, FALSE) / VLOOKUP("LULUCF|NOx|Work loss days", US_national_yearly!$D:$AM, 10, FALSE), 1)</f>
        <v>2.2714230661968336E-2</v>
      </c>
      <c r="Z15" s="7">
        <f>$B15 * IFERROR(VLOOKUP("LULUCF|NOx|Work loss days", US_national_yearly!$D:$AM, 34, FALSE) / VLOOKUP("LULUCF|NOx|Work loss days", US_national_yearly!$D:$AM, 10, FALSE), 1)</f>
        <v>2.2847723459291803E-2</v>
      </c>
      <c r="AA15" s="7">
        <f>$B15 * IFERROR(VLOOKUP("LULUCF|NOx|Work loss days", US_national_yearly!$D:$AM, 35, FALSE) / VLOOKUP("LULUCF|NOx|Work loss days", US_national_yearly!$D:$AM, 10, FALSE), 1)</f>
        <v>2.2981216256615266E-2</v>
      </c>
      <c r="AB15" s="7">
        <f>$B15 * IFERROR(VLOOKUP("LULUCF|NOx|Work loss days", US_national_yearly!$D:$AM, 36, FALSE) / VLOOKUP("LULUCF|NOx|Work loss days", US_national_yearly!$D:$AM, 10, FALSE), 1)</f>
        <v>2.3114709053938733E-2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4.0777552323157695E-5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4.1975785680474379E-5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4.3174019037791048E-5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4.4372252395107718E-5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4.5570485752424401E-5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4.6708609284514864E-5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4.7846732816605333E-5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4.8803806905818685E-5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4.9760880995032045E-5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5.0717955084245404E-5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5.1675029173458763E-5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5.2632103262672136E-5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5.3230593403102206E-5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5.382908354353229E-5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5.4427573683962367E-5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5.5026063824392451E-5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5.5624553964822522E-5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5.5897628581073819E-5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5.6170703197325116E-5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5.64437778135764E-5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5.6716852429827697E-5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5.6989927046078994E-5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5.714190253741461E-5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5.729387802875022E-5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5.7445853520085836E-5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5.7597829011421452E-5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5.7749804502757061E-5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3.512552277314031E-4</v>
      </c>
      <c r="C2" s="7">
        <f>$B2 * IFERROR(VLOOKUP("LULUCF|SO2|Premature mortality", US_national_yearly!$D:$AM, 11, FALSE) / VLOOKUP("LULUCF|SO2|Premature mortality", US_national_yearly!$D:$AM, 10, FALSE), 1)</f>
        <v>3.5570368513891144E-4</v>
      </c>
      <c r="D2" s="7">
        <f>$B2 * IFERROR(VLOOKUP("LULUCF|SO2|Premature mortality", US_national_yearly!$D:$AM, 12, FALSE) / VLOOKUP("LULUCF|SO2|Premature mortality", US_national_yearly!$D:$AM, 10, FALSE), 1)</f>
        <v>3.6015214254641985E-4</v>
      </c>
      <c r="E2" s="7">
        <f>$B2 * IFERROR(VLOOKUP("LULUCF|SO2|Premature mortality", US_national_yearly!$D:$AM, 13, FALSE) / VLOOKUP("LULUCF|SO2|Premature mortality", US_national_yearly!$D:$AM, 10, FALSE), 1)</f>
        <v>3.6460059995392814E-4</v>
      </c>
      <c r="F2" s="7">
        <f>$B2 * IFERROR(VLOOKUP("LULUCF|SO2|Premature mortality", US_national_yearly!$D:$AM, 14, FALSE) / VLOOKUP("LULUCF|SO2|Premature mortality", US_national_yearly!$D:$AM, 10, FALSE), 1)</f>
        <v>3.6904905736143649E-4</v>
      </c>
      <c r="G2" s="7">
        <f>$B2 * IFERROR(VLOOKUP("LULUCF|SO2|Premature mortality", US_national_yearly!$D:$AM, 15, FALSE) / VLOOKUP("LULUCF|SO2|Premature mortality", US_national_yearly!$D:$AM, 10, FALSE), 1)</f>
        <v>3.7762098267448948E-4</v>
      </c>
      <c r="H2" s="7">
        <f>$B2 * IFERROR(VLOOKUP("LULUCF|SO2|Premature mortality", US_national_yearly!$D:$AM, 16, FALSE) / VLOOKUP("LULUCF|SO2|Premature mortality", US_national_yearly!$D:$AM, 10, FALSE), 1)</f>
        <v>3.8619290798754235E-4</v>
      </c>
      <c r="I2" s="7">
        <f>$B2 * IFERROR(VLOOKUP("LULUCF|SO2|Premature mortality", US_national_yearly!$D:$AM, 17, FALSE) / VLOOKUP("LULUCF|SO2|Premature mortality", US_national_yearly!$D:$AM, 10, FALSE), 1)</f>
        <v>3.9185776147072584E-4</v>
      </c>
      <c r="J2" s="7">
        <f>$B2 * IFERROR(VLOOKUP("LULUCF|SO2|Premature mortality", US_national_yearly!$D:$AM, 18, FALSE) / VLOOKUP("LULUCF|SO2|Premature mortality", US_national_yearly!$D:$AM, 10, FALSE), 1)</f>
        <v>3.9752261495390939E-4</v>
      </c>
      <c r="K2" s="7">
        <f>$B2 * IFERROR(VLOOKUP("LULUCF|SO2|Premature mortality", US_national_yearly!$D:$AM, 19, FALSE) / VLOOKUP("LULUCF|SO2|Premature mortality", US_national_yearly!$D:$AM, 10, FALSE), 1)</f>
        <v>4.0318746843709288E-4</v>
      </c>
      <c r="L2" s="7">
        <f>$B2 * IFERROR(VLOOKUP("LULUCF|SO2|Premature mortality", US_national_yearly!$D:$AM, 20, FALSE) / VLOOKUP("LULUCF|SO2|Premature mortality", US_national_yearly!$D:$AM, 10, FALSE), 1)</f>
        <v>4.0885232192027643E-4</v>
      </c>
      <c r="M2" s="7">
        <f>$B2 * IFERROR(VLOOKUP("LULUCF|SO2|Premature mortality", US_national_yearly!$D:$AM, 21, FALSE) / VLOOKUP("LULUCF|SO2|Premature mortality", US_national_yearly!$D:$AM, 10, FALSE), 1)</f>
        <v>4.1451717540345992E-4</v>
      </c>
      <c r="N2" s="7">
        <f>$B2 * IFERROR(VLOOKUP("LULUCF|SO2|Premature mortality", US_national_yearly!$D:$AM, 22, FALSE) / VLOOKUP("LULUCF|SO2|Premature mortality", US_national_yearly!$D:$AM, 10, FALSE), 1)</f>
        <v>4.1894338463812015E-4</v>
      </c>
      <c r="O2" s="7">
        <f>$B2 * IFERROR(VLOOKUP("LULUCF|SO2|Premature mortality", US_national_yearly!$D:$AM, 23, FALSE) / VLOOKUP("LULUCF|SO2|Premature mortality", US_national_yearly!$D:$AM, 10, FALSE), 1)</f>
        <v>4.2336959387278032E-4</v>
      </c>
      <c r="P2" s="7">
        <f>$B2 * IFERROR(VLOOKUP("LULUCF|SO2|Premature mortality", US_national_yearly!$D:$AM, 24, FALSE) / VLOOKUP("LULUCF|SO2|Premature mortality", US_national_yearly!$D:$AM, 10, FALSE), 1)</f>
        <v>4.2779580310744054E-4</v>
      </c>
      <c r="Q2" s="7">
        <f>$B2 * IFERROR(VLOOKUP("LULUCF|SO2|Premature mortality", US_national_yearly!$D:$AM, 25, FALSE) / VLOOKUP("LULUCF|SO2|Premature mortality", US_national_yearly!$D:$AM, 10, FALSE), 1)</f>
        <v>4.3222201234210071E-4</v>
      </c>
      <c r="R2" s="7">
        <f>$B2 * IFERROR(VLOOKUP("LULUCF|SO2|Premature mortality", US_national_yearly!$D:$AM, 26, FALSE) / VLOOKUP("LULUCF|SO2|Premature mortality", US_national_yearly!$D:$AM, 10, FALSE), 1)</f>
        <v>4.3664822157676083E-4</v>
      </c>
      <c r="S2" s="7">
        <f>$B2 * IFERROR(VLOOKUP("LULUCF|SO2|Premature mortality", US_national_yearly!$D:$AM, 27, FALSE) / VLOOKUP("LULUCF|SO2|Premature mortality", US_national_yearly!$D:$AM, 10, FALSE), 1)</f>
        <v>4.3901851555777925E-4</v>
      </c>
      <c r="T2" s="7">
        <f>$B2 * IFERROR(VLOOKUP("LULUCF|SO2|Premature mortality", US_national_yearly!$D:$AM, 28, FALSE) / VLOOKUP("LULUCF|SO2|Premature mortality", US_national_yearly!$D:$AM, 10, FALSE), 1)</f>
        <v>4.4138880953879757E-4</v>
      </c>
      <c r="U2" s="7">
        <f>$B2 * IFERROR(VLOOKUP("LULUCF|SO2|Premature mortality", US_national_yearly!$D:$AM, 29, FALSE) / VLOOKUP("LULUCF|SO2|Premature mortality", US_national_yearly!$D:$AM, 10, FALSE), 1)</f>
        <v>4.4375910351981593E-4</v>
      </c>
      <c r="V2" s="7">
        <f>$B2 * IFERROR(VLOOKUP("LULUCF|SO2|Premature mortality", US_national_yearly!$D:$AM, 30, FALSE) / VLOOKUP("LULUCF|SO2|Premature mortality", US_national_yearly!$D:$AM, 10, FALSE), 1)</f>
        <v>4.4612939750083425E-4</v>
      </c>
      <c r="W2" s="7">
        <f>$B2 * IFERROR(VLOOKUP("LULUCF|SO2|Premature mortality", US_national_yearly!$D:$AM, 31, FALSE) / VLOOKUP("LULUCF|SO2|Premature mortality", US_national_yearly!$D:$AM, 10, FALSE), 1)</f>
        <v>4.4849969148185267E-4</v>
      </c>
      <c r="X2" s="7">
        <f>$B2 * IFERROR(VLOOKUP("LULUCF|SO2|Premature mortality", US_national_yearly!$D:$AM, 32, FALSE) / VLOOKUP("LULUCF|SO2|Premature mortality", US_national_yearly!$D:$AM, 10, FALSE), 1)</f>
        <v>4.4898122395428062E-4</v>
      </c>
      <c r="Y2" s="7">
        <f>$B2 * IFERROR(VLOOKUP("LULUCF|SO2|Premature mortality", US_national_yearly!$D:$AM, 33, FALSE) / VLOOKUP("LULUCF|SO2|Premature mortality", US_national_yearly!$D:$AM, 10, FALSE), 1)</f>
        <v>4.4946275642670862E-4</v>
      </c>
      <c r="Z2" s="7">
        <f>$B2 * IFERROR(VLOOKUP("LULUCF|SO2|Premature mortality", US_national_yearly!$D:$AM, 34, FALSE) / VLOOKUP("LULUCF|SO2|Premature mortality", US_national_yearly!$D:$AM, 10, FALSE), 1)</f>
        <v>4.4994428889913657E-4</v>
      </c>
      <c r="AA2" s="7">
        <f>$B2 * IFERROR(VLOOKUP("LULUCF|SO2|Premature mortality", US_national_yearly!$D:$AM, 35, FALSE) / VLOOKUP("LULUCF|SO2|Premature mortality", US_national_yearly!$D:$AM, 10, FALSE), 1)</f>
        <v>4.5042582137156458E-4</v>
      </c>
      <c r="AB2" s="7">
        <f>$B2 * IFERROR(VLOOKUP("LULUCF|SO2|Premature mortality", US_national_yearly!$D:$AM, 36, FALSE) / VLOOKUP("LULUCF|SO2|Premature mortality", US_national_yearly!$D:$AM, 10, FALSE), 1)</f>
        <v>4.5090735384399248E-4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7.9345652141914615E-7</v>
      </c>
      <c r="C3" s="7">
        <f>$B3 * IFERROR(VLOOKUP("LULUCF|SO2|Infant mortality", US_national_yearly!$D:$AM, 11, FALSE) / VLOOKUP("LULUCF|SO2|Infant mortality", US_national_yearly!$D:$AM, 10, FALSE), 1)</f>
        <v>7.8664058516926584E-7</v>
      </c>
      <c r="D3" s="7">
        <f>$B3 * IFERROR(VLOOKUP("LULUCF|SO2|Infant mortality", US_national_yearly!$D:$AM, 12, FALSE) / VLOOKUP("LULUCF|SO2|Infant mortality", US_national_yearly!$D:$AM, 10, FALSE), 1)</f>
        <v>7.7982464891938563E-7</v>
      </c>
      <c r="E3" s="7">
        <f>$B3 * IFERROR(VLOOKUP("LULUCF|SO2|Infant mortality", US_national_yearly!$D:$AM, 13, FALSE) / VLOOKUP("LULUCF|SO2|Infant mortality", US_national_yearly!$D:$AM, 10, FALSE), 1)</f>
        <v>7.7300871266950522E-7</v>
      </c>
      <c r="F3" s="7">
        <f>$B3 * IFERROR(VLOOKUP("LULUCF|SO2|Infant mortality", US_national_yearly!$D:$AM, 14, FALSE) / VLOOKUP("LULUCF|SO2|Infant mortality", US_national_yearly!$D:$AM, 10, FALSE), 1)</f>
        <v>7.6619277641962501E-7</v>
      </c>
      <c r="G3" s="7">
        <f>$B3 * IFERROR(VLOOKUP("LULUCF|SO2|Infant mortality", US_national_yearly!$D:$AM, 15, FALSE) / VLOOKUP("LULUCF|SO2|Infant mortality", US_national_yearly!$D:$AM, 10, FALSE), 1)</f>
        <v>5.1034609947279711E-7</v>
      </c>
      <c r="H3" s="7">
        <f>$B3 * IFERROR(VLOOKUP("LULUCF|SO2|Infant mortality", US_national_yearly!$D:$AM, 16, FALSE) / VLOOKUP("LULUCF|SO2|Infant mortality", US_national_yearly!$D:$AM, 10, FALSE), 1)</f>
        <v>2.5449942252596959E-7</v>
      </c>
      <c r="I3" s="7">
        <f>$B3 * IFERROR(VLOOKUP("LULUCF|SO2|Infant mortality", US_national_yearly!$D:$AM, 17, FALSE) / VLOOKUP("LULUCF|SO2|Infant mortality", US_national_yearly!$D:$AM, 10, FALSE), 1)</f>
        <v>2.5290287079623689E-7</v>
      </c>
      <c r="J3" s="7">
        <f>$B3 * IFERROR(VLOOKUP("LULUCF|SO2|Infant mortality", US_national_yearly!$D:$AM, 18, FALSE) / VLOOKUP("LULUCF|SO2|Infant mortality", US_national_yearly!$D:$AM, 10, FALSE), 1)</f>
        <v>2.5130631906650419E-7</v>
      </c>
      <c r="K3" s="7">
        <f>$B3 * IFERROR(VLOOKUP("LULUCF|SO2|Infant mortality", US_national_yearly!$D:$AM, 19, FALSE) / VLOOKUP("LULUCF|SO2|Infant mortality", US_national_yearly!$D:$AM, 10, FALSE), 1)</f>
        <v>2.4970976733677154E-7</v>
      </c>
      <c r="L3" s="7">
        <f>$B3 * IFERROR(VLOOKUP("LULUCF|SO2|Infant mortality", US_national_yearly!$D:$AM, 20, FALSE) / VLOOKUP("LULUCF|SO2|Infant mortality", US_national_yearly!$D:$AM, 10, FALSE), 1)</f>
        <v>2.481132156070389E-7</v>
      </c>
      <c r="M3" s="7">
        <f>$B3 * IFERROR(VLOOKUP("LULUCF|SO2|Infant mortality", US_national_yearly!$D:$AM, 21, FALSE) / VLOOKUP("LULUCF|SO2|Infant mortality", US_national_yearly!$D:$AM, 10, FALSE), 1)</f>
        <v>2.465166638773062E-7</v>
      </c>
      <c r="N3" s="7">
        <f>$B3 * IFERROR(VLOOKUP("LULUCF|SO2|Infant mortality", US_national_yearly!$D:$AM, 22, FALSE) / VLOOKUP("LULUCF|SO2|Infant mortality", US_national_yearly!$D:$AM, 10, FALSE), 1)</f>
        <v>2.4551452030939654E-7</v>
      </c>
      <c r="O3" s="7">
        <f>$B3 * IFERROR(VLOOKUP("LULUCF|SO2|Infant mortality", US_national_yearly!$D:$AM, 23, FALSE) / VLOOKUP("LULUCF|SO2|Infant mortality", US_national_yearly!$D:$AM, 10, FALSE), 1)</f>
        <v>2.4451237674148687E-7</v>
      </c>
      <c r="P3" s="7">
        <f>$B3 * IFERROR(VLOOKUP("LULUCF|SO2|Infant mortality", US_national_yearly!$D:$AM, 24, FALSE) / VLOOKUP("LULUCF|SO2|Infant mortality", US_national_yearly!$D:$AM, 10, FALSE), 1)</f>
        <v>2.4351023317357715E-7</v>
      </c>
      <c r="Q3" s="7">
        <f>$B3 * IFERROR(VLOOKUP("LULUCF|SO2|Infant mortality", US_national_yearly!$D:$AM, 25, FALSE) / VLOOKUP("LULUCF|SO2|Infant mortality", US_national_yearly!$D:$AM, 10, FALSE), 1)</f>
        <v>2.4250808960566749E-7</v>
      </c>
      <c r="R3" s="7">
        <f>$B3 * IFERROR(VLOOKUP("LULUCF|SO2|Infant mortality", US_national_yearly!$D:$AM, 26, FALSE) / VLOOKUP("LULUCF|SO2|Infant mortality", US_national_yearly!$D:$AM, 10, FALSE), 1)</f>
        <v>2.4150594603775777E-7</v>
      </c>
      <c r="S3" s="7">
        <f>$B3 * IFERROR(VLOOKUP("LULUCF|SO2|Infant mortality", US_national_yearly!$D:$AM, 27, FALSE) / VLOOKUP("LULUCF|SO2|Infant mortality", US_national_yearly!$D:$AM, 10, FALSE), 1)</f>
        <v>2.4024769373635416E-7</v>
      </c>
      <c r="T3" s="7">
        <f>$B3 * IFERROR(VLOOKUP("LULUCF|SO2|Infant mortality", US_national_yearly!$D:$AM, 28, FALSE) / VLOOKUP("LULUCF|SO2|Infant mortality", US_national_yearly!$D:$AM, 10, FALSE), 1)</f>
        <v>2.3898944143495055E-7</v>
      </c>
      <c r="U3" s="7">
        <f>$B3 * IFERROR(VLOOKUP("LULUCF|SO2|Infant mortality", US_national_yearly!$D:$AM, 29, FALSE) / VLOOKUP("LULUCF|SO2|Infant mortality", US_national_yearly!$D:$AM, 10, FALSE), 1)</f>
        <v>2.3773118913354684E-7</v>
      </c>
      <c r="V3" s="7">
        <f>$B3 * IFERROR(VLOOKUP("LULUCF|SO2|Infant mortality", US_national_yearly!$D:$AM, 30, FALSE) / VLOOKUP("LULUCF|SO2|Infant mortality", US_national_yearly!$D:$AM, 10, FALSE), 1)</f>
        <v>2.3647293683214325E-7</v>
      </c>
      <c r="W3" s="7">
        <f>$B3 * IFERROR(VLOOKUP("LULUCF|SO2|Infant mortality", US_national_yearly!$D:$AM, 31, FALSE) / VLOOKUP("LULUCF|SO2|Infant mortality", US_national_yearly!$D:$AM, 10, FALSE), 1)</f>
        <v>2.3521468453073959E-7</v>
      </c>
      <c r="X3" s="7">
        <f>$B3 * IFERROR(VLOOKUP("LULUCF|SO2|Infant mortality", US_national_yearly!$D:$AM, 32, FALSE) / VLOOKUP("LULUCF|SO2|Infant mortality", US_national_yearly!$D:$AM, 10, FALSE), 1)</f>
        <v>2.3383902637796073E-7</v>
      </c>
      <c r="Y3" s="7">
        <f>$B3 * IFERROR(VLOOKUP("LULUCF|SO2|Infant mortality", US_national_yearly!$D:$AM, 33, FALSE) / VLOOKUP("LULUCF|SO2|Infant mortality", US_national_yearly!$D:$AM, 10, FALSE), 1)</f>
        <v>2.3246336822518177E-7</v>
      </c>
      <c r="Z3" s="7">
        <f>$B3 * IFERROR(VLOOKUP("LULUCF|SO2|Infant mortality", US_national_yearly!$D:$AM, 34, FALSE) / VLOOKUP("LULUCF|SO2|Infant mortality", US_national_yearly!$D:$AM, 10, FALSE), 1)</f>
        <v>2.3108771007240289E-7</v>
      </c>
      <c r="AA3" s="7">
        <f>$B3 * IFERROR(VLOOKUP("LULUCF|SO2|Infant mortality", US_national_yearly!$D:$AM, 35, FALSE) / VLOOKUP("LULUCF|SO2|Infant mortality", US_national_yearly!$D:$AM, 10, FALSE), 1)</f>
        <v>2.2971205191962392E-7</v>
      </c>
      <c r="AB3" s="7">
        <f>$B3 * IFERROR(VLOOKUP("LULUCF|SO2|Infant mortality", US_national_yearly!$D:$AM, 36, FALSE) / VLOOKUP("LULUCF|SO2|Infant mortality", US_national_yearly!$D:$AM, 10, FALSE), 1)</f>
        <v>2.2833639376684506E-7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9.0678076423331719E-4</v>
      </c>
      <c r="C6" s="7">
        <f>$B6 * IFERROR(VLOOKUP("LULUCF|SO2|Asthma symptoms cough", US_national_yearly!$D:$AM, 11, FALSE) / VLOOKUP("LULUCF|SO2|Asthma symptoms cough", US_national_yearly!$D:$AM, 10, FALSE), 1)</f>
        <v>9.0678076423331719E-4</v>
      </c>
      <c r="D6" s="7">
        <f>$B6 * IFERROR(VLOOKUP("LULUCF|SO2|Asthma symptoms cough", US_national_yearly!$D:$AM, 12, FALSE) / VLOOKUP("LULUCF|SO2|Asthma symptoms cough", US_national_yearly!$D:$AM, 10, FALSE), 1)</f>
        <v>9.0678076423331719E-4</v>
      </c>
      <c r="E6" s="7">
        <f>$B6 * IFERROR(VLOOKUP("LULUCF|SO2|Asthma symptoms cough", US_national_yearly!$D:$AM, 13, FALSE) / VLOOKUP("LULUCF|SO2|Asthma symptoms cough", US_national_yearly!$D:$AM, 10, FALSE), 1)</f>
        <v>9.0678076423331719E-4</v>
      </c>
      <c r="F6" s="7">
        <f>$B6 * IFERROR(VLOOKUP("LULUCF|SO2|Asthma symptoms cough", US_national_yearly!$D:$AM, 14, FALSE) / VLOOKUP("LULUCF|SO2|Asthma symptoms cough", US_national_yearly!$D:$AM, 10, FALSE), 1)</f>
        <v>9.0678076423331719E-4</v>
      </c>
      <c r="G6" s="7">
        <f>$B6 * IFERROR(VLOOKUP("LULUCF|SO2|Asthma symptoms cough", US_national_yearly!$D:$AM, 15, FALSE) / VLOOKUP("LULUCF|SO2|Asthma symptoms cough", US_national_yearly!$D:$AM, 10, FALSE), 1)</f>
        <v>9.0678076423331719E-4</v>
      </c>
      <c r="H6" s="7">
        <f>$B6 * IFERROR(VLOOKUP("LULUCF|SO2|Asthma symptoms cough", US_national_yearly!$D:$AM, 16, FALSE) / VLOOKUP("LULUCF|SO2|Asthma symptoms cough", US_national_yearly!$D:$AM, 10, FALSE), 1)</f>
        <v>9.0678076423331719E-4</v>
      </c>
      <c r="I6" s="7">
        <f>$B6 * IFERROR(VLOOKUP("LULUCF|SO2|Asthma symptoms cough", US_national_yearly!$D:$AM, 17, FALSE) / VLOOKUP("LULUCF|SO2|Asthma symptoms cough", US_national_yearly!$D:$AM, 10, FALSE), 1)</f>
        <v>9.0678076423331719E-4</v>
      </c>
      <c r="J6" s="7">
        <f>$B6 * IFERROR(VLOOKUP("LULUCF|SO2|Asthma symptoms cough", US_national_yearly!$D:$AM, 18, FALSE) / VLOOKUP("LULUCF|SO2|Asthma symptoms cough", US_national_yearly!$D:$AM, 10, FALSE), 1)</f>
        <v>9.0678076423331719E-4</v>
      </c>
      <c r="K6" s="7">
        <f>$B6 * IFERROR(VLOOKUP("LULUCF|SO2|Asthma symptoms cough", US_national_yearly!$D:$AM, 19, FALSE) / VLOOKUP("LULUCF|SO2|Asthma symptoms cough", US_national_yearly!$D:$AM, 10, FALSE), 1)</f>
        <v>9.0678076423331719E-4</v>
      </c>
      <c r="L6" s="7">
        <f>$B6 * IFERROR(VLOOKUP("LULUCF|SO2|Asthma symptoms cough", US_national_yearly!$D:$AM, 20, FALSE) / VLOOKUP("LULUCF|SO2|Asthma symptoms cough", US_national_yearly!$D:$AM, 10, FALSE), 1)</f>
        <v>9.0678076423331719E-4</v>
      </c>
      <c r="M6" s="7">
        <f>$B6 * IFERROR(VLOOKUP("LULUCF|SO2|Asthma symptoms cough", US_national_yearly!$D:$AM, 21, FALSE) / VLOOKUP("LULUCF|SO2|Asthma symptoms cough", US_national_yearly!$D:$AM, 10, FALSE), 1)</f>
        <v>9.0678076423331719E-4</v>
      </c>
      <c r="N6" s="7">
        <f>$B6 * IFERROR(VLOOKUP("LULUCF|SO2|Asthma symptoms cough", US_national_yearly!$D:$AM, 22, FALSE) / VLOOKUP("LULUCF|SO2|Asthma symptoms cough", US_national_yearly!$D:$AM, 10, FALSE), 1)</f>
        <v>9.0678076423331719E-4</v>
      </c>
      <c r="O6" s="7">
        <f>$B6 * IFERROR(VLOOKUP("LULUCF|SO2|Asthma symptoms cough", US_national_yearly!$D:$AM, 23, FALSE) / VLOOKUP("LULUCF|SO2|Asthma symptoms cough", US_national_yearly!$D:$AM, 10, FALSE), 1)</f>
        <v>9.0678076423331719E-4</v>
      </c>
      <c r="P6" s="7">
        <f>$B6 * IFERROR(VLOOKUP("LULUCF|SO2|Asthma symptoms cough", US_national_yearly!$D:$AM, 24, FALSE) / VLOOKUP("LULUCF|SO2|Asthma symptoms cough", US_national_yearly!$D:$AM, 10, FALSE), 1)</f>
        <v>9.0678076423331719E-4</v>
      </c>
      <c r="Q6" s="7">
        <f>$B6 * IFERROR(VLOOKUP("LULUCF|SO2|Asthma symptoms cough", US_national_yearly!$D:$AM, 25, FALSE) / VLOOKUP("LULUCF|SO2|Asthma symptoms cough", US_national_yearly!$D:$AM, 10, FALSE), 1)</f>
        <v>9.0678076423331719E-4</v>
      </c>
      <c r="R6" s="7">
        <f>$B6 * IFERROR(VLOOKUP("LULUCF|SO2|Asthma symptoms cough", US_national_yearly!$D:$AM, 26, FALSE) / VLOOKUP("LULUCF|SO2|Asthma symptoms cough", US_national_yearly!$D:$AM, 10, FALSE), 1)</f>
        <v>9.0678076423331719E-4</v>
      </c>
      <c r="S6" s="7">
        <f>$B6 * IFERROR(VLOOKUP("LULUCF|SO2|Asthma symptoms cough", US_national_yearly!$D:$AM, 27, FALSE) / VLOOKUP("LULUCF|SO2|Asthma symptoms cough", US_national_yearly!$D:$AM, 10, FALSE), 1)</f>
        <v>9.0678076423331719E-4</v>
      </c>
      <c r="T6" s="7">
        <f>$B6 * IFERROR(VLOOKUP("LULUCF|SO2|Asthma symptoms cough", US_national_yearly!$D:$AM, 28, FALSE) / VLOOKUP("LULUCF|SO2|Asthma symptoms cough", US_national_yearly!$D:$AM, 10, FALSE), 1)</f>
        <v>9.0678076423331719E-4</v>
      </c>
      <c r="U6" s="7">
        <f>$B6 * IFERROR(VLOOKUP("LULUCF|SO2|Asthma symptoms cough", US_national_yearly!$D:$AM, 29, FALSE) / VLOOKUP("LULUCF|SO2|Asthma symptoms cough", US_national_yearly!$D:$AM, 10, FALSE), 1)</f>
        <v>9.0678076423331719E-4</v>
      </c>
      <c r="V6" s="7">
        <f>$B6 * IFERROR(VLOOKUP("LULUCF|SO2|Asthma symptoms cough", US_national_yearly!$D:$AM, 30, FALSE) / VLOOKUP("LULUCF|SO2|Asthma symptoms cough", US_national_yearly!$D:$AM, 10, FALSE), 1)</f>
        <v>9.0678076423331719E-4</v>
      </c>
      <c r="W6" s="7">
        <f>$B6 * IFERROR(VLOOKUP("LULUCF|SO2|Asthma symptoms cough", US_national_yearly!$D:$AM, 31, FALSE) / VLOOKUP("LULUCF|SO2|Asthma symptoms cough", US_national_yearly!$D:$AM, 10, FALSE), 1)</f>
        <v>9.0678076423331719E-4</v>
      </c>
      <c r="X6" s="7">
        <f>$B6 * IFERROR(VLOOKUP("LULUCF|SO2|Asthma symptoms cough", US_national_yearly!$D:$AM, 32, FALSE) / VLOOKUP("LULUCF|SO2|Asthma symptoms cough", US_national_yearly!$D:$AM, 10, FALSE), 1)</f>
        <v>9.0678076423331719E-4</v>
      </c>
      <c r="Y6" s="7">
        <f>$B6 * IFERROR(VLOOKUP("LULUCF|SO2|Asthma symptoms cough", US_national_yearly!$D:$AM, 33, FALSE) / VLOOKUP("LULUCF|SO2|Asthma symptoms cough", US_national_yearly!$D:$AM, 10, FALSE), 1)</f>
        <v>9.0678076423331719E-4</v>
      </c>
      <c r="Z6" s="7">
        <f>$B6 * IFERROR(VLOOKUP("LULUCF|SO2|Asthma symptoms cough", US_national_yearly!$D:$AM, 34, FALSE) / VLOOKUP("LULUCF|SO2|Asthma symptoms cough", US_national_yearly!$D:$AM, 10, FALSE), 1)</f>
        <v>9.0678076423331719E-4</v>
      </c>
      <c r="AA6" s="7">
        <f>$B6 * IFERROR(VLOOKUP("LULUCF|SO2|Asthma symptoms cough", US_national_yearly!$D:$AM, 35, FALSE) / VLOOKUP("LULUCF|SO2|Asthma symptoms cough", US_national_yearly!$D:$AM, 10, FALSE), 1)</f>
        <v>9.0678076423331719E-4</v>
      </c>
      <c r="AB6" s="7">
        <f>$B6 * IFERROR(VLOOKUP("LULUCF|SO2|Asthma symptoms cough", US_national_yearly!$D:$AM, 36, FALSE) / VLOOKUP("LULUCF|SO2|Asthma symptoms cough", US_national_yearly!$D:$AM, 10, FALSE), 1)</f>
        <v>9.0678076423331719E-4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1.2211084457054377E-3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1.2211084457054377E-3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1.2211084457054377E-3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1.2211084457054377E-3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1.2211084457054377E-3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1.2211084457054377E-3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1.2211084457054377E-3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1.2211084457054377E-3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1.2211084457054377E-3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1.2211084457054377E-3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1.2211084457054377E-3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1.2211084457054377E-3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1.2211084457054377E-3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1.2211084457054377E-3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1.2211084457054377E-3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1.2211084457054377E-3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1.2211084457054377E-3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1.2211084457054377E-3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1.2211084457054377E-3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1.2211084457054377E-3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1.2211084457054377E-3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1.2211084457054377E-3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1.2211084457054377E-3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1.2211084457054377E-3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1.2211084457054377E-3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1.2211084457054377E-3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1.2211084457054377E-3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1.8656589932165473E-3</v>
      </c>
      <c r="C8" s="7">
        <f>$B8 * IFERROR(VLOOKUP("LULUCF|SO2|Asthma symptoms wheeze", US_national_yearly!$D:$AM, 11, FALSE) / VLOOKUP("LULUCF|SO2|Asthma symptoms wheeze", US_national_yearly!$D:$AM, 10, FALSE), 1)</f>
        <v>1.8656589932165473E-3</v>
      </c>
      <c r="D8" s="7">
        <f>$B8 * IFERROR(VLOOKUP("LULUCF|SO2|Asthma symptoms wheeze", US_national_yearly!$D:$AM, 12, FALSE) / VLOOKUP("LULUCF|SO2|Asthma symptoms wheeze", US_national_yearly!$D:$AM, 10, FALSE), 1)</f>
        <v>1.8656589932165473E-3</v>
      </c>
      <c r="E8" s="7">
        <f>$B8 * IFERROR(VLOOKUP("LULUCF|SO2|Asthma symptoms wheeze", US_national_yearly!$D:$AM, 13, FALSE) / VLOOKUP("LULUCF|SO2|Asthma symptoms wheeze", US_national_yearly!$D:$AM, 10, FALSE), 1)</f>
        <v>1.8656589932165473E-3</v>
      </c>
      <c r="F8" s="7">
        <f>$B8 * IFERROR(VLOOKUP("LULUCF|SO2|Asthma symptoms wheeze", US_national_yearly!$D:$AM, 14, FALSE) / VLOOKUP("LULUCF|SO2|Asthma symptoms wheeze", US_national_yearly!$D:$AM, 10, FALSE), 1)</f>
        <v>1.8656589932165473E-3</v>
      </c>
      <c r="G8" s="7">
        <f>$B8 * IFERROR(VLOOKUP("LULUCF|SO2|Asthma symptoms wheeze", US_national_yearly!$D:$AM, 15, FALSE) / VLOOKUP("LULUCF|SO2|Asthma symptoms wheeze", US_national_yearly!$D:$AM, 10, FALSE), 1)</f>
        <v>1.8656589932165473E-3</v>
      </c>
      <c r="H8" s="7">
        <f>$B8 * IFERROR(VLOOKUP("LULUCF|SO2|Asthma symptoms wheeze", US_national_yearly!$D:$AM, 16, FALSE) / VLOOKUP("LULUCF|SO2|Asthma symptoms wheeze", US_national_yearly!$D:$AM, 10, FALSE), 1)</f>
        <v>1.8656589932165473E-3</v>
      </c>
      <c r="I8" s="7">
        <f>$B8 * IFERROR(VLOOKUP("LULUCF|SO2|Asthma symptoms wheeze", US_national_yearly!$D:$AM, 17, FALSE) / VLOOKUP("LULUCF|SO2|Asthma symptoms wheeze", US_national_yearly!$D:$AM, 10, FALSE), 1)</f>
        <v>1.8656589932165473E-3</v>
      </c>
      <c r="J8" s="7">
        <f>$B8 * IFERROR(VLOOKUP("LULUCF|SO2|Asthma symptoms wheeze", US_national_yearly!$D:$AM, 18, FALSE) / VLOOKUP("LULUCF|SO2|Asthma symptoms wheeze", US_national_yearly!$D:$AM, 10, FALSE), 1)</f>
        <v>1.8656589932165473E-3</v>
      </c>
      <c r="K8" s="7">
        <f>$B8 * IFERROR(VLOOKUP("LULUCF|SO2|Asthma symptoms wheeze", US_national_yearly!$D:$AM, 19, FALSE) / VLOOKUP("LULUCF|SO2|Asthma symptoms wheeze", US_national_yearly!$D:$AM, 10, FALSE), 1)</f>
        <v>1.8656589932165473E-3</v>
      </c>
      <c r="L8" s="7">
        <f>$B8 * IFERROR(VLOOKUP("LULUCF|SO2|Asthma symptoms wheeze", US_national_yearly!$D:$AM, 20, FALSE) / VLOOKUP("LULUCF|SO2|Asthma symptoms wheeze", US_national_yearly!$D:$AM, 10, FALSE), 1)</f>
        <v>1.8656589932165473E-3</v>
      </c>
      <c r="M8" s="7">
        <f>$B8 * IFERROR(VLOOKUP("LULUCF|SO2|Asthma symptoms wheeze", US_national_yearly!$D:$AM, 21, FALSE) / VLOOKUP("LULUCF|SO2|Asthma symptoms wheeze", US_national_yearly!$D:$AM, 10, FALSE), 1)</f>
        <v>1.8656589932165473E-3</v>
      </c>
      <c r="N8" s="7">
        <f>$B8 * IFERROR(VLOOKUP("LULUCF|SO2|Asthma symptoms wheeze", US_national_yearly!$D:$AM, 22, FALSE) / VLOOKUP("LULUCF|SO2|Asthma symptoms wheeze", US_national_yearly!$D:$AM, 10, FALSE), 1)</f>
        <v>1.8656589932165473E-3</v>
      </c>
      <c r="O8" s="7">
        <f>$B8 * IFERROR(VLOOKUP("LULUCF|SO2|Asthma symptoms wheeze", US_national_yearly!$D:$AM, 23, FALSE) / VLOOKUP("LULUCF|SO2|Asthma symptoms wheeze", US_national_yearly!$D:$AM, 10, FALSE), 1)</f>
        <v>1.8656589932165473E-3</v>
      </c>
      <c r="P8" s="7">
        <f>$B8 * IFERROR(VLOOKUP("LULUCF|SO2|Asthma symptoms wheeze", US_national_yearly!$D:$AM, 24, FALSE) / VLOOKUP("LULUCF|SO2|Asthma symptoms wheeze", US_national_yearly!$D:$AM, 10, FALSE), 1)</f>
        <v>1.8656589932165473E-3</v>
      </c>
      <c r="Q8" s="7">
        <f>$B8 * IFERROR(VLOOKUP("LULUCF|SO2|Asthma symptoms wheeze", US_national_yearly!$D:$AM, 25, FALSE) / VLOOKUP("LULUCF|SO2|Asthma symptoms wheeze", US_national_yearly!$D:$AM, 10, FALSE), 1)</f>
        <v>1.8656589932165473E-3</v>
      </c>
      <c r="R8" s="7">
        <f>$B8 * IFERROR(VLOOKUP("LULUCF|SO2|Asthma symptoms wheeze", US_national_yearly!$D:$AM, 26, FALSE) / VLOOKUP("LULUCF|SO2|Asthma symptoms wheeze", US_national_yearly!$D:$AM, 10, FALSE), 1)</f>
        <v>1.8656589932165473E-3</v>
      </c>
      <c r="S8" s="7">
        <f>$B8 * IFERROR(VLOOKUP("LULUCF|SO2|Asthma symptoms wheeze", US_national_yearly!$D:$AM, 27, FALSE) / VLOOKUP("LULUCF|SO2|Asthma symptoms wheeze", US_national_yearly!$D:$AM, 10, FALSE), 1)</f>
        <v>1.8656589932165473E-3</v>
      </c>
      <c r="T8" s="7">
        <f>$B8 * IFERROR(VLOOKUP("LULUCF|SO2|Asthma symptoms wheeze", US_national_yearly!$D:$AM, 28, FALSE) / VLOOKUP("LULUCF|SO2|Asthma symptoms wheeze", US_national_yearly!$D:$AM, 10, FALSE), 1)</f>
        <v>1.8656589932165473E-3</v>
      </c>
      <c r="U8" s="7">
        <f>$B8 * IFERROR(VLOOKUP("LULUCF|SO2|Asthma symptoms wheeze", US_national_yearly!$D:$AM, 29, FALSE) / VLOOKUP("LULUCF|SO2|Asthma symptoms wheeze", US_national_yearly!$D:$AM, 10, FALSE), 1)</f>
        <v>1.8656589932165473E-3</v>
      </c>
      <c r="V8" s="7">
        <f>$B8 * IFERROR(VLOOKUP("LULUCF|SO2|Asthma symptoms wheeze", US_national_yearly!$D:$AM, 30, FALSE) / VLOOKUP("LULUCF|SO2|Asthma symptoms wheeze", US_national_yearly!$D:$AM, 10, FALSE), 1)</f>
        <v>1.8656589932165473E-3</v>
      </c>
      <c r="W8" s="7">
        <f>$B8 * IFERROR(VLOOKUP("LULUCF|SO2|Asthma symptoms wheeze", US_national_yearly!$D:$AM, 31, FALSE) / VLOOKUP("LULUCF|SO2|Asthma symptoms wheeze", US_national_yearly!$D:$AM, 10, FALSE), 1)</f>
        <v>1.8656589932165473E-3</v>
      </c>
      <c r="X8" s="7">
        <f>$B8 * IFERROR(VLOOKUP("LULUCF|SO2|Asthma symptoms wheeze", US_national_yearly!$D:$AM, 32, FALSE) / VLOOKUP("LULUCF|SO2|Asthma symptoms wheeze", US_national_yearly!$D:$AM, 10, FALSE), 1)</f>
        <v>1.8656589932165473E-3</v>
      </c>
      <c r="Y8" s="7">
        <f>$B8 * IFERROR(VLOOKUP("LULUCF|SO2|Asthma symptoms wheeze", US_national_yearly!$D:$AM, 33, FALSE) / VLOOKUP("LULUCF|SO2|Asthma symptoms wheeze", US_national_yearly!$D:$AM, 10, FALSE), 1)</f>
        <v>1.8656589932165473E-3</v>
      </c>
      <c r="Z8" s="7">
        <f>$B8 * IFERROR(VLOOKUP("LULUCF|SO2|Asthma symptoms wheeze", US_national_yearly!$D:$AM, 34, FALSE) / VLOOKUP("LULUCF|SO2|Asthma symptoms wheeze", US_national_yearly!$D:$AM, 10, FALSE), 1)</f>
        <v>1.8656589932165473E-3</v>
      </c>
      <c r="AA8" s="7">
        <f>$B8 * IFERROR(VLOOKUP("LULUCF|SO2|Asthma symptoms wheeze", US_national_yearly!$D:$AM, 35, FALSE) / VLOOKUP("LULUCF|SO2|Asthma symptoms wheeze", US_national_yearly!$D:$AM, 10, FALSE), 1)</f>
        <v>1.8656589932165473E-3</v>
      </c>
      <c r="AB8" s="7">
        <f>$B8 * IFERROR(VLOOKUP("LULUCF|SO2|Asthma symptoms wheeze", US_national_yearly!$D:$AM, 36, FALSE) / VLOOKUP("LULUCF|SO2|Asthma symptoms wheeze", US_national_yearly!$D:$AM, 10, FALSE), 1)</f>
        <v>1.8656589932165473E-3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2.4638328867175913E-5</v>
      </c>
      <c r="C12" s="7">
        <f>$B12 * IFERROR(VLOOKUP("LULUCF|SO2|Respiratory hospital admissions", US_national_yearly!$D:$AM, 11, FALSE) / VLOOKUP("LULUCF|SO2|Respiratory hospital admissions", US_national_yearly!$D:$AM, 10, FALSE), 1)</f>
        <v>2.4783646955233793E-5</v>
      </c>
      <c r="D12" s="7">
        <f>$B12 * IFERROR(VLOOKUP("LULUCF|SO2|Respiratory hospital admissions", US_national_yearly!$D:$AM, 12, FALSE) / VLOOKUP("LULUCF|SO2|Respiratory hospital admissions", US_national_yearly!$D:$AM, 10, FALSE), 1)</f>
        <v>2.4928965043291673E-5</v>
      </c>
      <c r="E12" s="7">
        <f>$B12 * IFERROR(VLOOKUP("LULUCF|SO2|Respiratory hospital admissions", US_national_yearly!$D:$AM, 13, FALSE) / VLOOKUP("LULUCF|SO2|Respiratory hospital admissions", US_national_yearly!$D:$AM, 10, FALSE), 1)</f>
        <v>2.5074283131349553E-5</v>
      </c>
      <c r="F12" s="7">
        <f>$B12 * IFERROR(VLOOKUP("LULUCF|SO2|Respiratory hospital admissions", US_national_yearly!$D:$AM, 14, FALSE) / VLOOKUP("LULUCF|SO2|Respiratory hospital admissions", US_national_yearly!$D:$AM, 10, FALSE), 1)</f>
        <v>2.5219601219407433E-5</v>
      </c>
      <c r="G12" s="7">
        <f>$B12 * IFERROR(VLOOKUP("LULUCF|SO2|Respiratory hospital admissions", US_national_yearly!$D:$AM, 15, FALSE) / VLOOKUP("LULUCF|SO2|Respiratory hospital admissions", US_national_yearly!$D:$AM, 10, FALSE), 1)</f>
        <v>2.5378022446336988E-5</v>
      </c>
      <c r="H12" s="7">
        <f>$B12 * IFERROR(VLOOKUP("LULUCF|SO2|Respiratory hospital admissions", US_national_yearly!$D:$AM, 16, FALSE) / VLOOKUP("LULUCF|SO2|Respiratory hospital admissions", US_national_yearly!$D:$AM, 10, FALSE), 1)</f>
        <v>2.5536443673266543E-5</v>
      </c>
      <c r="I12" s="7">
        <f>$B12 * IFERROR(VLOOKUP("LULUCF|SO2|Respiratory hospital admissions", US_national_yearly!$D:$AM, 17, FALSE) / VLOOKUP("LULUCF|SO2|Respiratory hospital admissions", US_national_yearly!$D:$AM, 10, FALSE), 1)</f>
        <v>2.5692665865304718E-5</v>
      </c>
      <c r="J12" s="7">
        <f>$B12 * IFERROR(VLOOKUP("LULUCF|SO2|Respiratory hospital admissions", US_national_yearly!$D:$AM, 18, FALSE) / VLOOKUP("LULUCF|SO2|Respiratory hospital admissions", US_national_yearly!$D:$AM, 10, FALSE), 1)</f>
        <v>2.5848888057342897E-5</v>
      </c>
      <c r="K12" s="7">
        <f>$B12 * IFERROR(VLOOKUP("LULUCF|SO2|Respiratory hospital admissions", US_national_yearly!$D:$AM, 19, FALSE) / VLOOKUP("LULUCF|SO2|Respiratory hospital admissions", US_national_yearly!$D:$AM, 10, FALSE), 1)</f>
        <v>2.6005110249381069E-5</v>
      </c>
      <c r="L12" s="7">
        <f>$B12 * IFERROR(VLOOKUP("LULUCF|SO2|Respiratory hospital admissions", US_national_yearly!$D:$AM, 20, FALSE) / VLOOKUP("LULUCF|SO2|Respiratory hospital admissions", US_national_yearly!$D:$AM, 10, FALSE), 1)</f>
        <v>2.6161332441419251E-5</v>
      </c>
      <c r="M12" s="7">
        <f>$B12 * IFERROR(VLOOKUP("LULUCF|SO2|Respiratory hospital admissions", US_national_yearly!$D:$AM, 21, FALSE) / VLOOKUP("LULUCF|SO2|Respiratory hospital admissions", US_national_yearly!$D:$AM, 10, FALSE), 1)</f>
        <v>2.6317554633457419E-5</v>
      </c>
      <c r="N12" s="7">
        <f>$B12 * IFERROR(VLOOKUP("LULUCF|SO2|Respiratory hospital admissions", US_national_yearly!$D:$AM, 22, FALSE) / VLOOKUP("LULUCF|SO2|Respiratory hospital admissions", US_national_yearly!$D:$AM, 10, FALSE), 1)</f>
        <v>2.6431592011285299E-5</v>
      </c>
      <c r="O12" s="7">
        <f>$B12 * IFERROR(VLOOKUP("LULUCF|SO2|Respiratory hospital admissions", US_national_yearly!$D:$AM, 23, FALSE) / VLOOKUP("LULUCF|SO2|Respiratory hospital admissions", US_national_yearly!$D:$AM, 10, FALSE), 1)</f>
        <v>2.6545629389113168E-5</v>
      </c>
      <c r="P12" s="7">
        <f>$B12 * IFERROR(VLOOKUP("LULUCF|SO2|Respiratory hospital admissions", US_national_yearly!$D:$AM, 24, FALSE) / VLOOKUP("LULUCF|SO2|Respiratory hospital admissions", US_national_yearly!$D:$AM, 10, FALSE), 1)</f>
        <v>2.6659666766941041E-5</v>
      </c>
      <c r="Q12" s="7">
        <f>$B12 * IFERROR(VLOOKUP("LULUCF|SO2|Respiratory hospital admissions", US_national_yearly!$D:$AM, 25, FALSE) / VLOOKUP("LULUCF|SO2|Respiratory hospital admissions", US_national_yearly!$D:$AM, 10, FALSE), 1)</f>
        <v>2.677370414476892E-5</v>
      </c>
      <c r="R12" s="7">
        <f>$B12 * IFERROR(VLOOKUP("LULUCF|SO2|Respiratory hospital admissions", US_national_yearly!$D:$AM, 26, FALSE) / VLOOKUP("LULUCF|SO2|Respiratory hospital admissions", US_national_yearly!$D:$AM, 10, FALSE), 1)</f>
        <v>2.6887741522596793E-5</v>
      </c>
      <c r="S12" s="7">
        <f>$B12 * IFERROR(VLOOKUP("LULUCF|SO2|Respiratory hospital admissions", US_national_yearly!$D:$AM, 27, FALSE) / VLOOKUP("LULUCF|SO2|Respiratory hospital admissions", US_national_yearly!$D:$AM, 10, FALSE), 1)</f>
        <v>2.6996524479747126E-5</v>
      </c>
      <c r="T12" s="7">
        <f>$B12 * IFERROR(VLOOKUP("LULUCF|SO2|Respiratory hospital admissions", US_national_yearly!$D:$AM, 28, FALSE) / VLOOKUP("LULUCF|SO2|Respiratory hospital admissions", US_national_yearly!$D:$AM, 10, FALSE), 1)</f>
        <v>2.7105307436897452E-5</v>
      </c>
      <c r="U12" s="7">
        <f>$B12 * IFERROR(VLOOKUP("LULUCF|SO2|Respiratory hospital admissions", US_national_yearly!$D:$AM, 29, FALSE) / VLOOKUP("LULUCF|SO2|Respiratory hospital admissions", US_national_yearly!$D:$AM, 10, FALSE), 1)</f>
        <v>2.7214090394047784E-5</v>
      </c>
      <c r="V12" s="7">
        <f>$B12 * IFERROR(VLOOKUP("LULUCF|SO2|Respiratory hospital admissions", US_national_yearly!$D:$AM, 30, FALSE) / VLOOKUP("LULUCF|SO2|Respiratory hospital admissions", US_national_yearly!$D:$AM, 10, FALSE), 1)</f>
        <v>2.7322873351198117E-5</v>
      </c>
      <c r="W12" s="7">
        <f>$B12 * IFERROR(VLOOKUP("LULUCF|SO2|Respiratory hospital admissions", US_national_yearly!$D:$AM, 31, FALSE) / VLOOKUP("LULUCF|SO2|Respiratory hospital admissions", US_national_yearly!$D:$AM, 10, FALSE), 1)</f>
        <v>2.743165630834845E-5</v>
      </c>
      <c r="X12" s="7">
        <f>$B12 * IFERROR(VLOOKUP("LULUCF|SO2|Respiratory hospital admissions", US_national_yearly!$D:$AM, 32, FALSE) / VLOOKUP("LULUCF|SO2|Respiratory hospital admissions", US_national_yearly!$D:$AM, 10, FALSE), 1)</f>
        <v>2.7534873474645028E-5</v>
      </c>
      <c r="Y12" s="7">
        <f>$B12 * IFERROR(VLOOKUP("LULUCF|SO2|Respiratory hospital admissions", US_national_yearly!$D:$AM, 33, FALSE) / VLOOKUP("LULUCF|SO2|Respiratory hospital admissions", US_national_yearly!$D:$AM, 10, FALSE), 1)</f>
        <v>2.7638090640941606E-5</v>
      </c>
      <c r="Z12" s="7">
        <f>$B12 * IFERROR(VLOOKUP("LULUCF|SO2|Respiratory hospital admissions", US_national_yearly!$D:$AM, 34, FALSE) / VLOOKUP("LULUCF|SO2|Respiratory hospital admissions", US_national_yearly!$D:$AM, 10, FALSE), 1)</f>
        <v>2.7741307807238188E-5</v>
      </c>
      <c r="AA12" s="7">
        <f>$B12 * IFERROR(VLOOKUP("LULUCF|SO2|Respiratory hospital admissions", US_national_yearly!$D:$AM, 35, FALSE) / VLOOKUP("LULUCF|SO2|Respiratory hospital admissions", US_national_yearly!$D:$AM, 10, FALSE), 1)</f>
        <v>2.7844524973534766E-5</v>
      </c>
      <c r="AB12" s="7">
        <f>$B12 * IFERROR(VLOOKUP("LULUCF|SO2|Respiratory hospital admissions", US_national_yearly!$D:$AM, 36, FALSE) / VLOOKUP("LULUCF|SO2|Respiratory hospital admissions", US_national_yearly!$D:$AM, 10, FALSE), 1)</f>
        <v>2.7947742139831348E-5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1.5846828466670166E-4</v>
      </c>
      <c r="C13" s="7">
        <f>$B13 * IFERROR(VLOOKUP("LULUCF|SO2|Non-fatal heart attacks", US_national_yearly!$D:$AM, 11, FALSE) / VLOOKUP("LULUCF|SO2|Non-fatal heart attacks", US_national_yearly!$D:$AM, 10, FALSE), 1)</f>
        <v>1.6312033791614615E-4</v>
      </c>
      <c r="D13" s="7">
        <f>$B13 * IFERROR(VLOOKUP("LULUCF|SO2|Non-fatal heart attacks", US_national_yearly!$D:$AM, 12, FALSE) / VLOOKUP("LULUCF|SO2|Non-fatal heart attacks", US_national_yearly!$D:$AM, 10, FALSE), 1)</f>
        <v>1.6777239116559065E-4</v>
      </c>
      <c r="E13" s="7">
        <f>$B13 * IFERROR(VLOOKUP("LULUCF|SO2|Non-fatal heart attacks", US_national_yearly!$D:$AM, 13, FALSE) / VLOOKUP("LULUCF|SO2|Non-fatal heart attacks", US_national_yearly!$D:$AM, 10, FALSE), 1)</f>
        <v>1.7242444441503514E-4</v>
      </c>
      <c r="F13" s="7">
        <f>$B13 * IFERROR(VLOOKUP("LULUCF|SO2|Non-fatal heart attacks", US_national_yearly!$D:$AM, 14, FALSE) / VLOOKUP("LULUCF|SO2|Non-fatal heart attacks", US_national_yearly!$D:$AM, 10, FALSE), 1)</f>
        <v>1.7707649766447961E-4</v>
      </c>
      <c r="G13" s="7">
        <f>$B13 * IFERROR(VLOOKUP("LULUCF|SO2|Non-fatal heart attacks", US_national_yearly!$D:$AM, 15, FALSE) / VLOOKUP("LULUCF|SO2|Non-fatal heart attacks", US_national_yearly!$D:$AM, 10, FALSE), 1)</f>
        <v>1.8146381538300518E-4</v>
      </c>
      <c r="H13" s="7">
        <f>$B13 * IFERROR(VLOOKUP("LULUCF|SO2|Non-fatal heart attacks", US_national_yearly!$D:$AM, 16, FALSE) / VLOOKUP("LULUCF|SO2|Non-fatal heart attacks", US_national_yearly!$D:$AM, 10, FALSE), 1)</f>
        <v>1.8585113310153078E-4</v>
      </c>
      <c r="I13" s="7">
        <f>$B13 * IFERROR(VLOOKUP("LULUCF|SO2|Non-fatal heart attacks", US_national_yearly!$D:$AM, 17, FALSE) / VLOOKUP("LULUCF|SO2|Non-fatal heart attacks", US_national_yearly!$D:$AM, 10, FALSE), 1)</f>
        <v>1.8938154850444821E-4</v>
      </c>
      <c r="J13" s="7">
        <f>$B13 * IFERROR(VLOOKUP("LULUCF|SO2|Non-fatal heart attacks", US_national_yearly!$D:$AM, 18, FALSE) / VLOOKUP("LULUCF|SO2|Non-fatal heart attacks", US_national_yearly!$D:$AM, 10, FALSE), 1)</f>
        <v>1.9291196390736567E-4</v>
      </c>
      <c r="K13" s="7">
        <f>$B13 * IFERROR(VLOOKUP("LULUCF|SO2|Non-fatal heart attacks", US_national_yearly!$D:$AM, 19, FALSE) / VLOOKUP("LULUCF|SO2|Non-fatal heart attacks", US_national_yearly!$D:$AM, 10, FALSE), 1)</f>
        <v>1.9644237931028309E-4</v>
      </c>
      <c r="L13" s="7">
        <f>$B13 * IFERROR(VLOOKUP("LULUCF|SO2|Non-fatal heart attacks", US_national_yearly!$D:$AM, 20, FALSE) / VLOOKUP("LULUCF|SO2|Non-fatal heart attacks", US_national_yearly!$D:$AM, 10, FALSE), 1)</f>
        <v>1.999727947132006E-4</v>
      </c>
      <c r="M13" s="7">
        <f>$B13 * IFERROR(VLOOKUP("LULUCF|SO2|Non-fatal heart attacks", US_national_yearly!$D:$AM, 21, FALSE) / VLOOKUP("LULUCF|SO2|Non-fatal heart attacks", US_national_yearly!$D:$AM, 10, FALSE), 1)</f>
        <v>2.0350321011611809E-4</v>
      </c>
      <c r="N13" s="7">
        <f>$B13 * IFERROR(VLOOKUP("LULUCF|SO2|Non-fatal heart attacks", US_national_yearly!$D:$AM, 22, FALSE) / VLOOKUP("LULUCF|SO2|Non-fatal heart attacks", US_national_yearly!$D:$AM, 10, FALSE), 1)</f>
        <v>2.0579555149030941E-4</v>
      </c>
      <c r="O13" s="7">
        <f>$B13 * IFERROR(VLOOKUP("LULUCF|SO2|Non-fatal heart attacks", US_national_yearly!$D:$AM, 23, FALSE) / VLOOKUP("LULUCF|SO2|Non-fatal heart attacks", US_national_yearly!$D:$AM, 10, FALSE), 1)</f>
        <v>2.0808789286450081E-4</v>
      </c>
      <c r="P13" s="7">
        <f>$B13 * IFERROR(VLOOKUP("LULUCF|SO2|Non-fatal heart attacks", US_national_yearly!$D:$AM, 24, FALSE) / VLOOKUP("LULUCF|SO2|Non-fatal heart attacks", US_national_yearly!$D:$AM, 10, FALSE), 1)</f>
        <v>2.1038023423869222E-4</v>
      </c>
      <c r="Q13" s="7">
        <f>$B13 * IFERROR(VLOOKUP("LULUCF|SO2|Non-fatal heart attacks", US_national_yearly!$D:$AM, 25, FALSE) / VLOOKUP("LULUCF|SO2|Non-fatal heart attacks", US_national_yearly!$D:$AM, 10, FALSE), 1)</f>
        <v>2.126725756128836E-4</v>
      </c>
      <c r="R13" s="7">
        <f>$B13 * IFERROR(VLOOKUP("LULUCF|SO2|Non-fatal heart attacks", US_national_yearly!$D:$AM, 26, FALSE) / VLOOKUP("LULUCF|SO2|Non-fatal heart attacks", US_national_yearly!$D:$AM, 10, FALSE), 1)</f>
        <v>2.1496491698707495E-4</v>
      </c>
      <c r="S13" s="7">
        <f>$B13 * IFERROR(VLOOKUP("LULUCF|SO2|Non-fatal heart attacks", US_national_yearly!$D:$AM, 27, FALSE) / VLOOKUP("LULUCF|SO2|Non-fatal heart attacks", US_national_yearly!$D:$AM, 10, FALSE), 1)</f>
        <v>2.1616173552460363E-4</v>
      </c>
      <c r="T13" s="7">
        <f>$B13 * IFERROR(VLOOKUP("LULUCF|SO2|Non-fatal heart attacks", US_national_yearly!$D:$AM, 28, FALSE) / VLOOKUP("LULUCF|SO2|Non-fatal heart attacks", US_national_yearly!$D:$AM, 10, FALSE), 1)</f>
        <v>2.1735855406213232E-4</v>
      </c>
      <c r="U13" s="7">
        <f>$B13 * IFERROR(VLOOKUP("LULUCF|SO2|Non-fatal heart attacks", US_national_yearly!$D:$AM, 29, FALSE) / VLOOKUP("LULUCF|SO2|Non-fatal heart attacks", US_national_yearly!$D:$AM, 10, FALSE), 1)</f>
        <v>2.1855537259966095E-4</v>
      </c>
      <c r="V13" s="7">
        <f>$B13 * IFERROR(VLOOKUP("LULUCF|SO2|Non-fatal heart attacks", US_national_yearly!$D:$AM, 30, FALSE) / VLOOKUP("LULUCF|SO2|Non-fatal heart attacks", US_national_yearly!$D:$AM, 10, FALSE), 1)</f>
        <v>2.1975219113718958E-4</v>
      </c>
      <c r="W13" s="7">
        <f>$B13 * IFERROR(VLOOKUP("LULUCF|SO2|Non-fatal heart attacks", US_national_yearly!$D:$AM, 31, FALSE) / VLOOKUP("LULUCF|SO2|Non-fatal heart attacks", US_national_yearly!$D:$AM, 10, FALSE), 1)</f>
        <v>2.2094900967471829E-4</v>
      </c>
      <c r="X13" s="7">
        <f>$B13 * IFERROR(VLOOKUP("LULUCF|SO2|Non-fatal heart attacks", US_national_yearly!$D:$AM, 32, FALSE) / VLOOKUP("LULUCF|SO2|Non-fatal heart attacks", US_national_yearly!$D:$AM, 10, FALSE), 1)</f>
        <v>2.2185250298022578E-4</v>
      </c>
      <c r="Y13" s="7">
        <f>$B13 * IFERROR(VLOOKUP("LULUCF|SO2|Non-fatal heart attacks", US_national_yearly!$D:$AM, 33, FALSE) / VLOOKUP("LULUCF|SO2|Non-fatal heart attacks", US_national_yearly!$D:$AM, 10, FALSE), 1)</f>
        <v>2.2275599628573329E-4</v>
      </c>
      <c r="Z13" s="7">
        <f>$B13 * IFERROR(VLOOKUP("LULUCF|SO2|Non-fatal heart attacks", US_national_yearly!$D:$AM, 34, FALSE) / VLOOKUP("LULUCF|SO2|Non-fatal heart attacks", US_national_yearly!$D:$AM, 10, FALSE), 1)</f>
        <v>2.2365948959124078E-4</v>
      </c>
      <c r="AA13" s="7">
        <f>$B13 * IFERROR(VLOOKUP("LULUCF|SO2|Non-fatal heart attacks", US_national_yearly!$D:$AM, 35, FALSE) / VLOOKUP("LULUCF|SO2|Non-fatal heart attacks", US_national_yearly!$D:$AM, 10, FALSE), 1)</f>
        <v>2.2456298289674827E-4</v>
      </c>
      <c r="AB13" s="7">
        <f>$B13 * IFERROR(VLOOKUP("LULUCF|SO2|Non-fatal heart attacks", US_national_yearly!$D:$AM, 36, FALSE) / VLOOKUP("LULUCF|SO2|Non-fatal heart attacks", US_national_yearly!$D:$AM, 10, FALSE), 1)</f>
        <v>2.2546647620225575E-4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0.11954372194790036</v>
      </c>
      <c r="C14" s="7">
        <f>$B14 * IFERROR(VLOOKUP("LULUCF|SO2|Minor restricted activity days", US_national_yearly!$D:$AM, 11, FALSE) / VLOOKUP("LULUCF|SO2|Minor restricted activity days", US_national_yearly!$D:$AM, 10, FALSE), 1)</f>
        <v>0.11984505183988067</v>
      </c>
      <c r="D14" s="7">
        <f>$B14 * IFERROR(VLOOKUP("LULUCF|SO2|Minor restricted activity days", US_national_yearly!$D:$AM, 12, FALSE) / VLOOKUP("LULUCF|SO2|Minor restricted activity days", US_national_yearly!$D:$AM, 10, FALSE), 1)</f>
        <v>0.12014638173186096</v>
      </c>
      <c r="E14" s="7">
        <f>$B14 * IFERROR(VLOOKUP("LULUCF|SO2|Minor restricted activity days", US_national_yearly!$D:$AM, 13, FALSE) / VLOOKUP("LULUCF|SO2|Minor restricted activity days", US_national_yearly!$D:$AM, 10, FALSE), 1)</f>
        <v>0.12044771162384127</v>
      </c>
      <c r="F14" s="7">
        <f>$B14 * IFERROR(VLOOKUP("LULUCF|SO2|Minor restricted activity days", US_national_yearly!$D:$AM, 14, FALSE) / VLOOKUP("LULUCF|SO2|Minor restricted activity days", US_national_yearly!$D:$AM, 10, FALSE), 1)</f>
        <v>0.12074904151582155</v>
      </c>
      <c r="G14" s="7">
        <f>$B14 * IFERROR(VLOOKUP("LULUCF|SO2|Minor restricted activity days", US_national_yearly!$D:$AM, 15, FALSE) / VLOOKUP("LULUCF|SO2|Minor restricted activity days", US_national_yearly!$D:$AM, 10, FALSE), 1)</f>
        <v>0.12119256951400267</v>
      </c>
      <c r="H14" s="7">
        <f>$B14 * IFERROR(VLOOKUP("LULUCF|SO2|Minor restricted activity days", US_national_yearly!$D:$AM, 16, FALSE) / VLOOKUP("LULUCF|SO2|Minor restricted activity days", US_national_yearly!$D:$AM, 10, FALSE), 1)</f>
        <v>0.12163609751218379</v>
      </c>
      <c r="I14" s="7">
        <f>$B14 * IFERROR(VLOOKUP("LULUCF|SO2|Minor restricted activity days", US_national_yearly!$D:$AM, 17, FALSE) / VLOOKUP("LULUCF|SO2|Minor restricted activity days", US_national_yearly!$D:$AM, 10, FALSE), 1)</f>
        <v>0.12239249317142853</v>
      </c>
      <c r="J14" s="7">
        <f>$B14 * IFERROR(VLOOKUP("LULUCF|SO2|Minor restricted activity days", US_national_yearly!$D:$AM, 18, FALSE) / VLOOKUP("LULUCF|SO2|Minor restricted activity days", US_national_yearly!$D:$AM, 10, FALSE), 1)</f>
        <v>0.12314888883067325</v>
      </c>
      <c r="K14" s="7">
        <f>$B14 * IFERROR(VLOOKUP("LULUCF|SO2|Minor restricted activity days", US_national_yearly!$D:$AM, 19, FALSE) / VLOOKUP("LULUCF|SO2|Minor restricted activity days", US_national_yearly!$D:$AM, 10, FALSE), 1)</f>
        <v>0.12390528448991801</v>
      </c>
      <c r="L14" s="7">
        <f>$B14 * IFERROR(VLOOKUP("LULUCF|SO2|Minor restricted activity days", US_national_yearly!$D:$AM, 20, FALSE) / VLOOKUP("LULUCF|SO2|Minor restricted activity days", US_national_yearly!$D:$AM, 10, FALSE), 1)</f>
        <v>0.12466168014916275</v>
      </c>
      <c r="M14" s="7">
        <f>$B14 * IFERROR(VLOOKUP("LULUCF|SO2|Minor restricted activity days", US_national_yearly!$D:$AM, 21, FALSE) / VLOOKUP("LULUCF|SO2|Minor restricted activity days", US_national_yearly!$D:$AM, 10, FALSE), 1)</f>
        <v>0.12541807580840747</v>
      </c>
      <c r="N14" s="7">
        <f>$B14 * IFERROR(VLOOKUP("LULUCF|SO2|Minor restricted activity days", US_national_yearly!$D:$AM, 22, FALSE) / VLOOKUP("LULUCF|SO2|Minor restricted activity days", US_national_yearly!$D:$AM, 10, FALSE), 1)</f>
        <v>0.12645270369977954</v>
      </c>
      <c r="O14" s="7">
        <f>$B14 * IFERROR(VLOOKUP("LULUCF|SO2|Minor restricted activity days", US_national_yearly!$D:$AM, 23, FALSE) / VLOOKUP("LULUCF|SO2|Minor restricted activity days", US_national_yearly!$D:$AM, 10, FALSE), 1)</f>
        <v>0.12748733159115158</v>
      </c>
      <c r="P14" s="7">
        <f>$B14 * IFERROR(VLOOKUP("LULUCF|SO2|Minor restricted activity days", US_national_yearly!$D:$AM, 24, FALSE) / VLOOKUP("LULUCF|SO2|Minor restricted activity days", US_national_yearly!$D:$AM, 10, FALSE), 1)</f>
        <v>0.12852195948252362</v>
      </c>
      <c r="Q14" s="7">
        <f>$B14 * IFERROR(VLOOKUP("LULUCF|SO2|Minor restricted activity days", US_national_yearly!$D:$AM, 25, FALSE) / VLOOKUP("LULUCF|SO2|Minor restricted activity days", US_national_yearly!$D:$AM, 10, FALSE), 1)</f>
        <v>0.12955658737389567</v>
      </c>
      <c r="R14" s="7">
        <f>$B14 * IFERROR(VLOOKUP("LULUCF|SO2|Minor restricted activity days", US_national_yearly!$D:$AM, 26, FALSE) / VLOOKUP("LULUCF|SO2|Minor restricted activity days", US_national_yearly!$D:$AM, 10, FALSE), 1)</f>
        <v>0.13059121526526773</v>
      </c>
      <c r="S14" s="7">
        <f>$B14 * IFERROR(VLOOKUP("LULUCF|SO2|Minor restricted activity days", US_national_yearly!$D:$AM, 27, FALSE) / VLOOKUP("LULUCF|SO2|Minor restricted activity days", US_national_yearly!$D:$AM, 10, FALSE), 1)</f>
        <v>0.13164611966361406</v>
      </c>
      <c r="T14" s="7">
        <f>$B14 * IFERROR(VLOOKUP("LULUCF|SO2|Minor restricted activity days", US_national_yearly!$D:$AM, 28, FALSE) / VLOOKUP("LULUCF|SO2|Minor restricted activity days", US_national_yearly!$D:$AM, 10, FALSE), 1)</f>
        <v>0.13270102406196038</v>
      </c>
      <c r="U14" s="7">
        <f>$B14 * IFERROR(VLOOKUP("LULUCF|SO2|Minor restricted activity days", US_national_yearly!$D:$AM, 29, FALSE) / VLOOKUP("LULUCF|SO2|Minor restricted activity days", US_national_yearly!$D:$AM, 10, FALSE), 1)</f>
        <v>0.13375592846030671</v>
      </c>
      <c r="V14" s="7">
        <f>$B14 * IFERROR(VLOOKUP("LULUCF|SO2|Minor restricted activity days", US_national_yearly!$D:$AM, 30, FALSE) / VLOOKUP("LULUCF|SO2|Minor restricted activity days", US_national_yearly!$D:$AM, 10, FALSE), 1)</f>
        <v>0.13481083285865303</v>
      </c>
      <c r="W14" s="7">
        <f>$B14 * IFERROR(VLOOKUP("LULUCF|SO2|Minor restricted activity days", US_national_yearly!$D:$AM, 31, FALSE) / VLOOKUP("LULUCF|SO2|Minor restricted activity days", US_national_yearly!$D:$AM, 10, FALSE), 1)</f>
        <v>0.13586573725699938</v>
      </c>
      <c r="X14" s="7">
        <f>$B14 * IFERROR(VLOOKUP("LULUCF|SO2|Minor restricted activity days", US_national_yearly!$D:$AM, 32, FALSE) / VLOOKUP("LULUCF|SO2|Minor restricted activity days", US_national_yearly!$D:$AM, 10, FALSE), 1)</f>
        <v>0.13679344161126203</v>
      </c>
      <c r="Y14" s="7">
        <f>$B14 * IFERROR(VLOOKUP("LULUCF|SO2|Minor restricted activity days", US_national_yearly!$D:$AM, 33, FALSE) / VLOOKUP("LULUCF|SO2|Minor restricted activity days", US_national_yearly!$D:$AM, 10, FALSE), 1)</f>
        <v>0.13772114596552471</v>
      </c>
      <c r="Z14" s="7">
        <f>$B14 * IFERROR(VLOOKUP("LULUCF|SO2|Minor restricted activity days", US_national_yearly!$D:$AM, 34, FALSE) / VLOOKUP("LULUCF|SO2|Minor restricted activity days", US_national_yearly!$D:$AM, 10, FALSE), 1)</f>
        <v>0.13864885031978738</v>
      </c>
      <c r="AA14" s="7">
        <f>$B14 * IFERROR(VLOOKUP("LULUCF|SO2|Minor restricted activity days", US_national_yearly!$D:$AM, 35, FALSE) / VLOOKUP("LULUCF|SO2|Minor restricted activity days", US_national_yearly!$D:$AM, 10, FALSE), 1)</f>
        <v>0.13957655467405003</v>
      </c>
      <c r="AB14" s="7">
        <f>$B14 * IFERROR(VLOOKUP("LULUCF|SO2|Minor restricted activity days", US_national_yearly!$D:$AM, 36, FALSE) / VLOOKUP("LULUCF|SO2|Minor restricted activity days", US_national_yearly!$D:$AM, 10, FALSE), 1)</f>
        <v>0.14050425902831273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2.0148292276430363E-2</v>
      </c>
      <c r="C15" s="7">
        <f>$B15 * IFERROR(VLOOKUP("LULUCF|SO2|Work loss days", US_national_yearly!$D:$AM, 11, FALSE) / VLOOKUP("LULUCF|SO2|Work loss days", US_national_yearly!$D:$AM, 10, FALSE), 1)</f>
        <v>2.0213569541118196E-2</v>
      </c>
      <c r="D15" s="7">
        <f>$B15 * IFERROR(VLOOKUP("LULUCF|SO2|Work loss days", US_national_yearly!$D:$AM, 12, FALSE) / VLOOKUP("LULUCF|SO2|Work loss days", US_national_yearly!$D:$AM, 10, FALSE), 1)</f>
        <v>2.0278846805806033E-2</v>
      </c>
      <c r="E15" s="7">
        <f>$B15 * IFERROR(VLOOKUP("LULUCF|SO2|Work loss days", US_national_yearly!$D:$AM, 13, FALSE) / VLOOKUP("LULUCF|SO2|Work loss days", US_national_yearly!$D:$AM, 10, FALSE), 1)</f>
        <v>2.0344124070493866E-2</v>
      </c>
      <c r="F15" s="7">
        <f>$B15 * IFERROR(VLOOKUP("LULUCF|SO2|Work loss days", US_national_yearly!$D:$AM, 14, FALSE) / VLOOKUP("LULUCF|SO2|Work loss days", US_national_yearly!$D:$AM, 10, FALSE), 1)</f>
        <v>2.0409401335181699E-2</v>
      </c>
      <c r="G15" s="7">
        <f>$B15 * IFERROR(VLOOKUP("LULUCF|SO2|Work loss days", US_national_yearly!$D:$AM, 15, FALSE) / VLOOKUP("LULUCF|SO2|Work loss days", US_national_yearly!$D:$AM, 10, FALSE), 1)</f>
        <v>2.0494694068680194E-2</v>
      </c>
      <c r="H15" s="7">
        <f>$B15 * IFERROR(VLOOKUP("LULUCF|SO2|Work loss days", US_national_yearly!$D:$AM, 16, FALSE) / VLOOKUP("LULUCF|SO2|Work loss days", US_national_yearly!$D:$AM, 10, FALSE), 1)</f>
        <v>2.057998680217869E-2</v>
      </c>
      <c r="I15" s="7">
        <f>$B15 * IFERROR(VLOOKUP("LULUCF|SO2|Work loss days", US_national_yearly!$D:$AM, 17, FALSE) / VLOOKUP("LULUCF|SO2|Work loss days", US_national_yearly!$D:$AM, 10, FALSE), 1)</f>
        <v>2.0704758621563547E-2</v>
      </c>
      <c r="J15" s="7">
        <f>$B15 * IFERROR(VLOOKUP("LULUCF|SO2|Work loss days", US_national_yearly!$D:$AM, 18, FALSE) / VLOOKUP("LULUCF|SO2|Work loss days", US_national_yearly!$D:$AM, 10, FALSE), 1)</f>
        <v>2.0829530440948405E-2</v>
      </c>
      <c r="K15" s="7">
        <f>$B15 * IFERROR(VLOOKUP("LULUCF|SO2|Work loss days", US_national_yearly!$D:$AM, 19, FALSE) / VLOOKUP("LULUCF|SO2|Work loss days", US_national_yearly!$D:$AM, 10, FALSE), 1)</f>
        <v>2.0954302260333263E-2</v>
      </c>
      <c r="L15" s="7">
        <f>$B15 * IFERROR(VLOOKUP("LULUCF|SO2|Work loss days", US_national_yearly!$D:$AM, 20, FALSE) / VLOOKUP("LULUCF|SO2|Work loss days", US_national_yearly!$D:$AM, 10, FALSE), 1)</f>
        <v>2.1079074079718124E-2</v>
      </c>
      <c r="M15" s="7">
        <f>$B15 * IFERROR(VLOOKUP("LULUCF|SO2|Work loss days", US_national_yearly!$D:$AM, 21, FALSE) / VLOOKUP("LULUCF|SO2|Work loss days", US_national_yearly!$D:$AM, 10, FALSE), 1)</f>
        <v>2.1203845899102982E-2</v>
      </c>
      <c r="N15" s="7">
        <f>$B15 * IFERROR(VLOOKUP("LULUCF|SO2|Work loss days", US_national_yearly!$D:$AM, 22, FALSE) / VLOOKUP("LULUCF|SO2|Work loss days", US_national_yearly!$D:$AM, 10, FALSE), 1)</f>
        <v>2.136028954126613E-2</v>
      </c>
      <c r="O15" s="7">
        <f>$B15 * IFERROR(VLOOKUP("LULUCF|SO2|Work loss days", US_national_yearly!$D:$AM, 23, FALSE) / VLOOKUP("LULUCF|SO2|Work loss days", US_national_yearly!$D:$AM, 10, FALSE), 1)</f>
        <v>2.1516733183429275E-2</v>
      </c>
      <c r="P15" s="7">
        <f>$B15 * IFERROR(VLOOKUP("LULUCF|SO2|Work loss days", US_national_yearly!$D:$AM, 24, FALSE) / VLOOKUP("LULUCF|SO2|Work loss days", US_national_yearly!$D:$AM, 10, FALSE), 1)</f>
        <v>2.1673176825592416E-2</v>
      </c>
      <c r="Q15" s="7">
        <f>$B15 * IFERROR(VLOOKUP("LULUCF|SO2|Work loss days", US_national_yearly!$D:$AM, 25, FALSE) / VLOOKUP("LULUCF|SO2|Work loss days", US_national_yearly!$D:$AM, 10, FALSE), 1)</f>
        <v>2.1829620467755561E-2</v>
      </c>
      <c r="R15" s="7">
        <f>$B15 * IFERROR(VLOOKUP("LULUCF|SO2|Work loss days", US_national_yearly!$D:$AM, 26, FALSE) / VLOOKUP("LULUCF|SO2|Work loss days", US_national_yearly!$D:$AM, 10, FALSE), 1)</f>
        <v>2.1986064109918706E-2</v>
      </c>
      <c r="S15" s="7">
        <f>$B15 * IFERROR(VLOOKUP("LULUCF|SO2|Work loss days", US_national_yearly!$D:$AM, 27, FALSE) / VLOOKUP("LULUCF|SO2|Work loss days", US_national_yearly!$D:$AM, 10, FALSE), 1)</f>
        <v>2.216088936424792E-2</v>
      </c>
      <c r="T15" s="7">
        <f>$B15 * IFERROR(VLOOKUP("LULUCF|SO2|Work loss days", US_national_yearly!$D:$AM, 28, FALSE) / VLOOKUP("LULUCF|SO2|Work loss days", US_national_yearly!$D:$AM, 10, FALSE), 1)</f>
        <v>2.233571461857714E-2</v>
      </c>
      <c r="U15" s="7">
        <f>$B15 * IFERROR(VLOOKUP("LULUCF|SO2|Work loss days", US_national_yearly!$D:$AM, 29, FALSE) / VLOOKUP("LULUCF|SO2|Work loss days", US_national_yearly!$D:$AM, 10, FALSE), 1)</f>
        <v>2.2510539872906354E-2</v>
      </c>
      <c r="V15" s="7">
        <f>$B15 * IFERROR(VLOOKUP("LULUCF|SO2|Work loss days", US_national_yearly!$D:$AM, 30, FALSE) / VLOOKUP("LULUCF|SO2|Work loss days", US_national_yearly!$D:$AM, 10, FALSE), 1)</f>
        <v>2.2685365127235568E-2</v>
      </c>
      <c r="W15" s="7">
        <f>$B15 * IFERROR(VLOOKUP("LULUCF|SO2|Work loss days", US_national_yearly!$D:$AM, 31, FALSE) / VLOOKUP("LULUCF|SO2|Work loss days", US_national_yearly!$D:$AM, 10, FALSE), 1)</f>
        <v>2.2860190381564786E-2</v>
      </c>
      <c r="X15" s="7">
        <f>$B15 * IFERROR(VLOOKUP("LULUCF|SO2|Work loss days", US_national_yearly!$D:$AM, 32, FALSE) / VLOOKUP("LULUCF|SO2|Work loss days", US_national_yearly!$D:$AM, 10, FALSE), 1)</f>
        <v>2.301715936263108E-2</v>
      </c>
      <c r="Y15" s="7">
        <f>$B15 * IFERROR(VLOOKUP("LULUCF|SO2|Work loss days", US_national_yearly!$D:$AM, 33, FALSE) / VLOOKUP("LULUCF|SO2|Work loss days", US_national_yearly!$D:$AM, 10, FALSE), 1)</f>
        <v>2.3174128343697378E-2</v>
      </c>
      <c r="Z15" s="7">
        <f>$B15 * IFERROR(VLOOKUP("LULUCF|SO2|Work loss days", US_national_yearly!$D:$AM, 34, FALSE) / VLOOKUP("LULUCF|SO2|Work loss days", US_national_yearly!$D:$AM, 10, FALSE), 1)</f>
        <v>2.333109732476368E-2</v>
      </c>
      <c r="AA15" s="7">
        <f>$B15 * IFERROR(VLOOKUP("LULUCF|SO2|Work loss days", US_national_yearly!$D:$AM, 35, FALSE) / VLOOKUP("LULUCF|SO2|Work loss days", US_national_yearly!$D:$AM, 10, FALSE), 1)</f>
        <v>2.3488066305829978E-2</v>
      </c>
      <c r="AB15" s="7">
        <f>$B15 * IFERROR(VLOOKUP("LULUCF|SO2|Work loss days", US_national_yearly!$D:$AM, 36, FALSE) / VLOOKUP("LULUCF|SO2|Work loss days", US_national_yearly!$D:$AM, 10, FALSE), 1)</f>
        <v>2.3645035286896279E-2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4.0777552323157695E-5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4.2010821659856628E-5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4.3244090996555568E-5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4.4477360333254501E-5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4.571062966995344E-5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4.6891984428926318E-5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4.8073339187899209E-5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4.9085529676970262E-5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5.0097720166041322E-5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5.1109910655112375E-5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5.2122101144183435E-5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5.3134291633254482E-5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5.3814253075269972E-5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5.4494214517285463E-5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5.5174175959300953E-5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5.5854137401316437E-5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5.6534098843331934E-5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5.6891710148532191E-5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5.7249321453732448E-5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5.7606932758932705E-5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5.7964544064132961E-5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5.8322155369333218E-5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5.8562231660240713E-5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5.8802307951148201E-5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5.9042384242055689E-5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5.9282460532963191E-5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5.9522536823870672E-5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2026-06-15T17:17:32Z</dcterms:modified>
</cp:coreProperties>
</file>