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VA\add-outputs\NoH\"/>
    </mc:Choice>
  </mc:AlternateContent>
  <xr:revisionPtr revIDLastSave="0" documentId="8_{F3AF9537-CD9A-4C00-8B7A-83631FB06D09}" xr6:coauthVersionLast="47" xr6:coauthVersionMax="47" xr10:uidLastSave="{00000000-0000-0000-0000-000000000000}"/>
  <bookViews>
    <workbookView xWindow="780" yWindow="780" windowWidth="21600" windowHeight="12510" firstSheet="2" activeTab="6" xr2:uid="{00000000-000D-0000-FFFF-FFFF00000000}"/>
  </bookViews>
  <sheets>
    <sheet name="About" sheetId="1" r:id="rId1"/>
    <sheet name="AEO 2023 Table 4" sheetId="4" r:id="rId2"/>
    <sheet name="AEO 2022 Table 4" sheetId="5" r:id="rId3"/>
    <sheet name="NST-EST2024-HU" sheetId="7" r:id="rId4"/>
    <sheet name="Total Pop" sheetId="10" r:id="rId5"/>
    <sheet name="state calcs" sheetId="9" r:id="rId6"/>
    <sheet name="NoH" sheetId="3" r:id="rId7"/>
  </sheets>
  <definedNames>
    <definedName name="_NST01">#REF!</definedName>
    <definedName name="nst_annhu">'NST-EST2024-HU'!$B$4:$H$60</definedName>
    <definedName name="_xlnm.Print_Area" localSheetId="3">'NST-EST2024-HU'!$B$2:$H$66</definedName>
    <definedName name="_xlnm.Print_Titles" localSheetId="3">'NST-EST2024-HU'!$B:$B,'NST-EST2024-HU'!$2:$4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54" i="9" l="1"/>
  <c r="D56" i="9"/>
  <c r="E56" i="9"/>
  <c r="F56" i="9"/>
  <c r="G56" i="9"/>
  <c r="H56" i="9"/>
  <c r="I56" i="9"/>
  <c r="J56" i="9"/>
  <c r="K56" i="9"/>
  <c r="L56" i="9"/>
  <c r="M56" i="9"/>
  <c r="N56" i="9"/>
  <c r="O56" i="9"/>
  <c r="P56" i="9"/>
  <c r="Q56" i="9"/>
  <c r="R56" i="9"/>
  <c r="S56" i="9"/>
  <c r="T56" i="9"/>
  <c r="U56" i="9"/>
  <c r="V56" i="9"/>
  <c r="W56" i="9"/>
  <c r="X56" i="9"/>
  <c r="Y56" i="9"/>
  <c r="Z56" i="9"/>
  <c r="AA56" i="9"/>
  <c r="AB56" i="9"/>
  <c r="AC56" i="9"/>
  <c r="AD56" i="9"/>
  <c r="AE56" i="9"/>
  <c r="C56" i="9"/>
  <c r="B56" i="9"/>
  <c r="B57" i="9" s="1"/>
  <c r="Q8" i="10"/>
  <c r="Q9" i="10"/>
  <c r="Q10" i="10"/>
  <c r="Q11" i="10"/>
  <c r="Q12" i="10"/>
  <c r="Q13" i="10"/>
  <c r="Q14" i="10"/>
  <c r="Q15" i="10"/>
  <c r="Q16" i="10"/>
  <c r="Q17" i="10"/>
  <c r="Q18" i="10"/>
  <c r="Q19" i="10"/>
  <c r="Q20" i="10"/>
  <c r="Q21" i="10"/>
  <c r="Q22" i="10"/>
  <c r="Q23" i="10"/>
  <c r="Q24" i="10"/>
  <c r="Q25" i="10"/>
  <c r="Q26" i="10"/>
  <c r="Q27" i="10"/>
  <c r="Q28" i="10"/>
  <c r="Q29" i="10"/>
  <c r="Q30" i="10"/>
  <c r="Q31" i="10"/>
  <c r="Q32" i="10"/>
  <c r="Q33" i="10"/>
  <c r="Q34" i="10"/>
  <c r="Q35" i="10"/>
  <c r="Q36" i="10"/>
  <c r="Q37" i="10"/>
  <c r="Q38" i="10"/>
  <c r="Q39" i="10"/>
  <c r="Q40" i="10"/>
  <c r="Q41" i="10"/>
  <c r="Q42" i="10"/>
  <c r="Q43" i="10"/>
  <c r="Q44" i="10"/>
  <c r="Q45" i="10"/>
  <c r="Q46" i="10"/>
  <c r="Q47" i="10"/>
  <c r="Q48" i="10"/>
  <c r="Q49" i="10"/>
  <c r="Q50" i="10"/>
  <c r="Q51" i="10"/>
  <c r="Q52" i="10"/>
  <c r="Q53" i="10"/>
  <c r="Q54" i="10"/>
  <c r="Q55" i="10"/>
  <c r="Q56" i="10"/>
  <c r="Q7" i="10"/>
  <c r="Q6" i="10"/>
  <c r="S6" i="10" s="1"/>
  <c r="R6" i="10" s="1"/>
  <c r="B2" i="9" a="1"/>
  <c r="B2" i="9" s="1"/>
  <c r="O6" i="10"/>
  <c r="M6" i="10"/>
  <c r="K6" i="10"/>
  <c r="J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6" i="10"/>
  <c r="S56" i="10" l="1"/>
  <c r="K56" i="10"/>
  <c r="S55" i="10"/>
  <c r="K55" i="10"/>
  <c r="K54" i="10"/>
  <c r="K53" i="10"/>
  <c r="S52" i="10"/>
  <c r="U52" i="10" s="1"/>
  <c r="K52" i="10"/>
  <c r="S51" i="10"/>
  <c r="K51" i="10"/>
  <c r="K50" i="10"/>
  <c r="K49" i="10"/>
  <c r="S48" i="10"/>
  <c r="U48" i="10" s="1"/>
  <c r="K48" i="10"/>
  <c r="K47" i="10"/>
  <c r="K46" i="10"/>
  <c r="K45" i="10"/>
  <c r="S44" i="10"/>
  <c r="K44" i="10"/>
  <c r="K43" i="10"/>
  <c r="K42" i="10"/>
  <c r="K41" i="10"/>
  <c r="S40" i="10"/>
  <c r="K40" i="10"/>
  <c r="S39" i="10"/>
  <c r="K39" i="10"/>
  <c r="S38" i="10"/>
  <c r="K37" i="10"/>
  <c r="S36" i="10"/>
  <c r="K36" i="10"/>
  <c r="S35" i="10"/>
  <c r="U35" i="10" s="1"/>
  <c r="K35" i="10"/>
  <c r="J35" i="10"/>
  <c r="B31" i="9" s="1" a="1"/>
  <c r="B31" i="9" s="1"/>
  <c r="S34" i="10"/>
  <c r="S33" i="10"/>
  <c r="U33" i="10" s="1"/>
  <c r="W33" i="10" s="1"/>
  <c r="K33" i="10"/>
  <c r="S32" i="10"/>
  <c r="U32" i="10" s="1"/>
  <c r="W32" i="10" s="1"/>
  <c r="K32" i="10"/>
  <c r="S31" i="10"/>
  <c r="U31" i="10" s="1"/>
  <c r="K31" i="10"/>
  <c r="S30" i="10"/>
  <c r="K29" i="10"/>
  <c r="S28" i="10"/>
  <c r="U28" i="10" s="1"/>
  <c r="W28" i="10" s="1"/>
  <c r="K28" i="10"/>
  <c r="S27" i="10"/>
  <c r="U27" i="10" s="1"/>
  <c r="K27" i="10"/>
  <c r="S26" i="10"/>
  <c r="S25" i="10"/>
  <c r="U25" i="10" s="1"/>
  <c r="W25" i="10" s="1"/>
  <c r="K25" i="10"/>
  <c r="S24" i="10"/>
  <c r="U24" i="10" s="1"/>
  <c r="K24" i="10"/>
  <c r="S23" i="10"/>
  <c r="U23" i="10" s="1"/>
  <c r="K23" i="10"/>
  <c r="S22" i="10"/>
  <c r="S21" i="10"/>
  <c r="U21" i="10" s="1"/>
  <c r="W21" i="10" s="1"/>
  <c r="K21" i="10"/>
  <c r="J21" i="10"/>
  <c r="C17" i="9" s="1" a="1"/>
  <c r="C17" i="9" s="1"/>
  <c r="S20" i="10"/>
  <c r="U20" i="10" s="1"/>
  <c r="K20" i="10"/>
  <c r="S19" i="10"/>
  <c r="U19" i="10" s="1"/>
  <c r="K19" i="10"/>
  <c r="S18" i="10"/>
  <c r="K17" i="10"/>
  <c r="S16" i="10"/>
  <c r="U16" i="10" s="1"/>
  <c r="W16" i="10" s="1"/>
  <c r="K16" i="10"/>
  <c r="S15" i="10"/>
  <c r="U15" i="10" s="1"/>
  <c r="K15" i="10"/>
  <c r="S14" i="10"/>
  <c r="S13" i="10"/>
  <c r="U13" i="10" s="1"/>
  <c r="W13" i="10" s="1"/>
  <c r="K13" i="10"/>
  <c r="S12" i="10"/>
  <c r="K12" i="10"/>
  <c r="S11" i="10"/>
  <c r="U11" i="10" s="1"/>
  <c r="T11" i="10" s="1"/>
  <c r="K11" i="10"/>
  <c r="S10" i="10"/>
  <c r="K9" i="10"/>
  <c r="S8" i="10"/>
  <c r="U8" i="10" s="1"/>
  <c r="W8" i="10" s="1"/>
  <c r="K8" i="10"/>
  <c r="S7" i="10"/>
  <c r="U7" i="10" s="1"/>
  <c r="K7" i="10"/>
  <c r="AE57" i="9"/>
  <c r="AD57" i="9"/>
  <c r="AC57" i="9"/>
  <c r="AB57" i="9"/>
  <c r="AA57" i="9"/>
  <c r="Z57" i="9"/>
  <c r="Y57" i="9"/>
  <c r="X57" i="9"/>
  <c r="W57" i="9"/>
  <c r="V57" i="9"/>
  <c r="U57" i="9"/>
  <c r="T57" i="9"/>
  <c r="S57" i="9"/>
  <c r="R57" i="9"/>
  <c r="Q57" i="9"/>
  <c r="P57" i="9"/>
  <c r="O57" i="9"/>
  <c r="N57" i="9"/>
  <c r="M57" i="9"/>
  <c r="L57" i="9"/>
  <c r="K57" i="9"/>
  <c r="J57" i="9"/>
  <c r="I57" i="9"/>
  <c r="H57" i="9"/>
  <c r="G57" i="9"/>
  <c r="F57" i="9"/>
  <c r="E57" i="9"/>
  <c r="D57" i="9"/>
  <c r="C57" i="9"/>
  <c r="B2" i="1"/>
  <c r="C2" i="3" l="1"/>
  <c r="Y2" i="3"/>
  <c r="X2" i="3"/>
  <c r="D2" i="3"/>
  <c r="Z2" i="3"/>
  <c r="V2" i="3"/>
  <c r="E2" i="3"/>
  <c r="AA2" i="3"/>
  <c r="T2" i="3"/>
  <c r="F2" i="3"/>
  <c r="AB2" i="3"/>
  <c r="AC2" i="3"/>
  <c r="G2" i="3"/>
  <c r="H2" i="3"/>
  <c r="AD2" i="3"/>
  <c r="U2" i="3"/>
  <c r="I2" i="3"/>
  <c r="AE2" i="3"/>
  <c r="J2" i="3"/>
  <c r="B2" i="3"/>
  <c r="K2" i="3"/>
  <c r="M2" i="3"/>
  <c r="L2" i="3"/>
  <c r="W2" i="3"/>
  <c r="N2" i="3"/>
  <c r="O2" i="3"/>
  <c r="R2" i="3"/>
  <c r="P2" i="3"/>
  <c r="Q2" i="3"/>
  <c r="S2" i="3"/>
  <c r="C31" i="9" a="1"/>
  <c r="C31" i="9" s="1"/>
  <c r="J23" i="10"/>
  <c r="M52" i="10"/>
  <c r="L52" i="10" s="1"/>
  <c r="T19" i="10"/>
  <c r="J11" i="10"/>
  <c r="M20" i="10"/>
  <c r="L20" i="10" s="1"/>
  <c r="K16" i="9" s="1" a="1"/>
  <c r="K16" i="9" s="1"/>
  <c r="M24" i="10"/>
  <c r="O24" i="10" s="1"/>
  <c r="N24" i="10" s="1"/>
  <c r="M36" i="10"/>
  <c r="M48" i="10"/>
  <c r="N49" i="9" a="1"/>
  <c r="N49" i="9" s="1"/>
  <c r="E31" i="9" a="1"/>
  <c r="E31" i="9" s="1"/>
  <c r="J15" i="10"/>
  <c r="M33" i="10"/>
  <c r="I17" i="9" a="1"/>
  <c r="I17" i="9" s="1"/>
  <c r="H17" i="9" a="1"/>
  <c r="H17" i="9" s="1"/>
  <c r="G17" i="9" a="1"/>
  <c r="G17" i="9" s="1"/>
  <c r="F17" i="9" a="1"/>
  <c r="F17" i="9" s="1"/>
  <c r="J17" i="9" a="1"/>
  <c r="J17" i="9" s="1"/>
  <c r="E17" i="9" a="1"/>
  <c r="E17" i="9" s="1"/>
  <c r="D17" i="9" a="1"/>
  <c r="D17" i="9" s="1"/>
  <c r="M29" i="10"/>
  <c r="M37" i="10"/>
  <c r="M17" i="10"/>
  <c r="N13" i="9" a="1"/>
  <c r="N13" i="9" s="1"/>
  <c r="M21" i="10"/>
  <c r="L21" i="10" s="1"/>
  <c r="M44" i="10"/>
  <c r="G31" i="9" a="1"/>
  <c r="G31" i="9" s="1"/>
  <c r="F31" i="9" a="1"/>
  <c r="F31" i="9" s="1"/>
  <c r="J31" i="9" a="1"/>
  <c r="J31" i="9" s="1"/>
  <c r="H31" i="9" a="1"/>
  <c r="H31" i="9" s="1"/>
  <c r="I31" i="9" a="1"/>
  <c r="I31" i="9" s="1"/>
  <c r="M40" i="10"/>
  <c r="L40" i="10" s="1"/>
  <c r="L36" i="9" s="1" a="1"/>
  <c r="L36" i="9" s="1"/>
  <c r="J7" i="10"/>
  <c r="M12" i="10"/>
  <c r="M25" i="10"/>
  <c r="M43" i="10"/>
  <c r="M39" i="9" a="1"/>
  <c r="M39" i="9" s="1"/>
  <c r="L39" i="9" a="1"/>
  <c r="L39" i="9" s="1"/>
  <c r="M8" i="10"/>
  <c r="M13" i="10"/>
  <c r="J31" i="10"/>
  <c r="J39" i="10"/>
  <c r="B17" i="9" a="1"/>
  <c r="B17" i="9" s="1"/>
  <c r="D31" i="9" a="1"/>
  <c r="D31" i="9" s="1"/>
  <c r="M28" i="10"/>
  <c r="V32" i="10"/>
  <c r="M16" i="10"/>
  <c r="U39" i="10"/>
  <c r="W39" i="10" s="1"/>
  <c r="V39" i="10" s="1"/>
  <c r="M9" i="10"/>
  <c r="J9" i="10"/>
  <c r="O17" i="10"/>
  <c r="N17" i="10" s="1"/>
  <c r="M41" i="10"/>
  <c r="J41" i="10"/>
  <c r="M45" i="10"/>
  <c r="L45" i="10" s="1"/>
  <c r="J45" i="10"/>
  <c r="M49" i="10"/>
  <c r="J49" i="10"/>
  <c r="M53" i="10"/>
  <c r="J53" i="10"/>
  <c r="M47" i="10"/>
  <c r="J47" i="10"/>
  <c r="M51" i="10"/>
  <c r="J51" i="10"/>
  <c r="J13" i="10"/>
  <c r="R21" i="10"/>
  <c r="R27" i="10"/>
  <c r="J29" i="10"/>
  <c r="R11" i="10"/>
  <c r="R13" i="10"/>
  <c r="J17" i="10"/>
  <c r="R18" i="10"/>
  <c r="R31" i="10"/>
  <c r="J33" i="10"/>
  <c r="J37" i="10"/>
  <c r="J43" i="10"/>
  <c r="R25" i="10"/>
  <c r="T7" i="10"/>
  <c r="S9" i="10"/>
  <c r="U9" i="10" s="1"/>
  <c r="W9" i="10" s="1"/>
  <c r="V9" i="10" s="1"/>
  <c r="J19" i="10"/>
  <c r="S45" i="10"/>
  <c r="U45" i="10" s="1"/>
  <c r="W45" i="10" s="1"/>
  <c r="S47" i="10"/>
  <c r="R47" i="10" s="1"/>
  <c r="S49" i="10"/>
  <c r="U49" i="10" s="1"/>
  <c r="R26" i="10"/>
  <c r="S29" i="10"/>
  <c r="U29" i="10" s="1"/>
  <c r="W29" i="10" s="1"/>
  <c r="V29" i="10" s="1"/>
  <c r="M32" i="10"/>
  <c r="R33" i="10"/>
  <c r="S37" i="10"/>
  <c r="U37" i="10" s="1"/>
  <c r="W37" i="10" s="1"/>
  <c r="S41" i="10"/>
  <c r="U41" i="10" s="1"/>
  <c r="W41" i="10" s="1"/>
  <c r="S43" i="10"/>
  <c r="R43" i="10" s="1"/>
  <c r="S53" i="10"/>
  <c r="U53" i="10" s="1"/>
  <c r="W53" i="10" s="1"/>
  <c r="R19" i="10"/>
  <c r="J25" i="10"/>
  <c r="R14" i="10"/>
  <c r="S17" i="10"/>
  <c r="U17" i="10" s="1"/>
  <c r="W17" i="10" s="1"/>
  <c r="V17" i="10" s="1"/>
  <c r="O12" i="10"/>
  <c r="N12" i="10" s="1"/>
  <c r="W24" i="10"/>
  <c r="V24" i="10" s="1"/>
  <c r="O36" i="10"/>
  <c r="N36" i="10" s="1"/>
  <c r="L36" i="10"/>
  <c r="M32" i="9" s="1" a="1"/>
  <c r="M32" i="9" s="1"/>
  <c r="W52" i="10"/>
  <c r="V52" i="10" s="1"/>
  <c r="W20" i="10"/>
  <c r="V20" i="10" s="1"/>
  <c r="U6" i="10"/>
  <c r="T6" i="10" s="1"/>
  <c r="L12" i="10"/>
  <c r="M8" i="9" s="1" a="1"/>
  <c r="M8" i="9" s="1"/>
  <c r="L8" i="10"/>
  <c r="O13" i="10"/>
  <c r="N13" i="10" s="1"/>
  <c r="T16" i="10"/>
  <c r="M19" i="10"/>
  <c r="V21" i="10"/>
  <c r="R23" i="10"/>
  <c r="W27" i="10"/>
  <c r="V27" i="10" s="1"/>
  <c r="K30" i="10"/>
  <c r="J30" i="10" s="1"/>
  <c r="T31" i="10"/>
  <c r="U34" i="10"/>
  <c r="R38" i="10"/>
  <c r="U43" i="10"/>
  <c r="T43" i="10" s="1"/>
  <c r="O47" i="10"/>
  <c r="N47" i="10" s="1"/>
  <c r="M54" i="10"/>
  <c r="I58" i="10"/>
  <c r="R10" i="10"/>
  <c r="T52" i="10"/>
  <c r="O9" i="10"/>
  <c r="N9" i="10" s="1"/>
  <c r="M15" i="10"/>
  <c r="L15" i="10"/>
  <c r="N11" i="9" s="1" a="1"/>
  <c r="N11" i="9" s="1"/>
  <c r="W23" i="10"/>
  <c r="V23" i="10" s="1"/>
  <c r="K26" i="10"/>
  <c r="T27" i="10"/>
  <c r="U30" i="10"/>
  <c r="T30" i="10" s="1"/>
  <c r="R34" i="10"/>
  <c r="O44" i="10"/>
  <c r="N44" i="10" s="1"/>
  <c r="U10" i="10"/>
  <c r="T10" i="10" s="1"/>
  <c r="U38" i="10"/>
  <c r="T38" i="10" s="1"/>
  <c r="T8" i="10"/>
  <c r="M11" i="10"/>
  <c r="U12" i="10"/>
  <c r="T12" i="10" s="1"/>
  <c r="V13" i="10"/>
  <c r="R15" i="10"/>
  <c r="V16" i="10"/>
  <c r="W19" i="10"/>
  <c r="V19" i="10" s="1"/>
  <c r="K22" i="10"/>
  <c r="T23" i="10"/>
  <c r="U26" i="10"/>
  <c r="T26" i="10" s="1"/>
  <c r="R30" i="10"/>
  <c r="U40" i="10"/>
  <c r="M42" i="10"/>
  <c r="L44" i="10"/>
  <c r="L40" i="9" s="1" a="1"/>
  <c r="L40" i="9" s="1"/>
  <c r="U47" i="10"/>
  <c r="M55" i="10"/>
  <c r="K38" i="10"/>
  <c r="O43" i="10"/>
  <c r="N43" i="10" s="1"/>
  <c r="W48" i="10"/>
  <c r="V48" i="10" s="1"/>
  <c r="S50" i="10"/>
  <c r="R50" i="10" s="1"/>
  <c r="M7" i="10"/>
  <c r="W15" i="10"/>
  <c r="V15" i="10" s="1"/>
  <c r="K18" i="10"/>
  <c r="U22" i="10"/>
  <c r="T22" i="10" s="1"/>
  <c r="M39" i="10"/>
  <c r="S42" i="10"/>
  <c r="O48" i="10"/>
  <c r="N48" i="10" s="1"/>
  <c r="R51" i="10"/>
  <c r="U55" i="10"/>
  <c r="O20" i="10"/>
  <c r="N20" i="10" s="1"/>
  <c r="M27" i="10"/>
  <c r="W35" i="10"/>
  <c r="V35" i="10"/>
  <c r="M50" i="10"/>
  <c r="K34" i="10"/>
  <c r="R7" i="10"/>
  <c r="V8" i="10"/>
  <c r="W11" i="10"/>
  <c r="V11" i="10" s="1"/>
  <c r="K14" i="10"/>
  <c r="T15" i="10"/>
  <c r="U18" i="10"/>
  <c r="T18" i="10" s="1"/>
  <c r="R22" i="10"/>
  <c r="T32" i="10"/>
  <c r="M35" i="10"/>
  <c r="U36" i="10"/>
  <c r="T36" i="10" s="1"/>
  <c r="V37" i="10"/>
  <c r="R39" i="10"/>
  <c r="U44" i="10"/>
  <c r="M46" i="10"/>
  <c r="L46" i="10" s="1"/>
  <c r="L48" i="10"/>
  <c r="U51" i="10"/>
  <c r="M56" i="10"/>
  <c r="T24" i="10"/>
  <c r="T20" i="10"/>
  <c r="M23" i="10"/>
  <c r="L23" i="10" s="1"/>
  <c r="V25" i="10"/>
  <c r="V28" i="10"/>
  <c r="W31" i="10"/>
  <c r="V31" i="10" s="1"/>
  <c r="T35" i="10"/>
  <c r="W7" i="10"/>
  <c r="V7" i="10" s="1"/>
  <c r="K10" i="10"/>
  <c r="U14" i="10"/>
  <c r="T14" i="10" s="1"/>
  <c r="J27" i="10"/>
  <c r="T28" i="10"/>
  <c r="M31" i="10"/>
  <c r="V33" i="10"/>
  <c r="R35" i="10"/>
  <c r="S46" i="10"/>
  <c r="R46" i="10" s="1"/>
  <c r="T48" i="10"/>
  <c r="U56" i="10"/>
  <c r="T56" i="10"/>
  <c r="J42" i="10"/>
  <c r="L43" i="10"/>
  <c r="N39" i="9" s="1" a="1"/>
  <c r="N39" i="9" s="1"/>
  <c r="J46" i="10"/>
  <c r="J50" i="10"/>
  <c r="J54" i="10"/>
  <c r="S54" i="10"/>
  <c r="R8" i="10"/>
  <c r="T9" i="10"/>
  <c r="R12" i="10"/>
  <c r="T13" i="10"/>
  <c r="R16" i="10"/>
  <c r="R20" i="10"/>
  <c r="T21" i="10"/>
  <c r="R24" i="10"/>
  <c r="T25" i="10"/>
  <c r="R28" i="10"/>
  <c r="R32" i="10"/>
  <c r="T33" i="10"/>
  <c r="R36" i="10"/>
  <c r="T37" i="10"/>
  <c r="R40" i="10"/>
  <c r="R44" i="10"/>
  <c r="R48" i="10"/>
  <c r="R52" i="10"/>
  <c r="R56" i="10"/>
  <c r="J8" i="10"/>
  <c r="J12" i="10"/>
  <c r="L13" i="10"/>
  <c r="J16" i="10"/>
  <c r="L17" i="10"/>
  <c r="J20" i="10"/>
  <c r="J24" i="10"/>
  <c r="J28" i="10"/>
  <c r="L29" i="10"/>
  <c r="N25" i="9" s="1" a="1"/>
  <c r="N25" i="9" s="1"/>
  <c r="J32" i="10"/>
  <c r="J36" i="10"/>
  <c r="L37" i="10"/>
  <c r="M33" i="9" s="1" a="1"/>
  <c r="M33" i="9" s="1"/>
  <c r="J40" i="10"/>
  <c r="J44" i="10"/>
  <c r="J48" i="10"/>
  <c r="L49" i="10"/>
  <c r="K45" i="9" s="1" a="1"/>
  <c r="K45" i="9" s="1"/>
  <c r="J52" i="10"/>
  <c r="L53" i="10"/>
  <c r="M49" i="9" s="1" a="1"/>
  <c r="M49" i="9" s="1"/>
  <c r="J56" i="10"/>
  <c r="R55" i="10"/>
  <c r="J55" i="10"/>
  <c r="T41" i="10" l="1"/>
  <c r="M19" i="9" a="1"/>
  <c r="M19" i="9" s="1"/>
  <c r="L19" i="9" a="1"/>
  <c r="L19" i="9" s="1"/>
  <c r="K19" i="9" a="1"/>
  <c r="K19" i="9" s="1"/>
  <c r="N17" i="9" a="1"/>
  <c r="N17" i="9" s="1"/>
  <c r="O17" i="9" a="1"/>
  <c r="O17" i="9" s="1"/>
  <c r="O40" i="10"/>
  <c r="N40" i="10" s="1"/>
  <c r="L45" i="9" a="1"/>
  <c r="L45" i="9" s="1"/>
  <c r="O49" i="9" a="1"/>
  <c r="O49" i="9" s="1"/>
  <c r="O45" i="9" a="1"/>
  <c r="O45" i="9" s="1"/>
  <c r="P48" i="9" a="1"/>
  <c r="P48" i="9" s="1"/>
  <c r="T48" i="9" a="1"/>
  <c r="T48" i="9" s="1"/>
  <c r="S48" i="9" a="1"/>
  <c r="S48" i="9" s="1"/>
  <c r="R48" i="9" a="1"/>
  <c r="R48" i="9" s="1"/>
  <c r="Q48" i="9" a="1"/>
  <c r="Q48" i="9" s="1"/>
  <c r="N48" i="9" a="1"/>
  <c r="N48" i="9" s="1"/>
  <c r="M48" i="9" a="1"/>
  <c r="M48" i="9" s="1"/>
  <c r="L48" i="9" a="1"/>
  <c r="L48" i="9" s="1"/>
  <c r="K48" i="9" a="1"/>
  <c r="K48" i="9" s="1"/>
  <c r="O48" i="9" a="1"/>
  <c r="O48" i="9" s="1"/>
  <c r="T42" i="9" a="1"/>
  <c r="T42" i="9" s="1"/>
  <c r="S42" i="9" a="1"/>
  <c r="S42" i="9" s="1"/>
  <c r="R42" i="9" a="1"/>
  <c r="R42" i="9" s="1"/>
  <c r="Q42" i="9" a="1"/>
  <c r="Q42" i="9" s="1"/>
  <c r="P42" i="9" a="1"/>
  <c r="P42" i="9" s="1"/>
  <c r="M42" i="9" a="1"/>
  <c r="M42" i="9" s="1"/>
  <c r="N42" i="9" a="1"/>
  <c r="N42" i="9" s="1"/>
  <c r="L42" i="9" a="1"/>
  <c r="L42" i="9" s="1"/>
  <c r="K42" i="9" a="1"/>
  <c r="K42" i="9" s="1"/>
  <c r="O42" i="9" a="1"/>
  <c r="O42" i="9" s="1"/>
  <c r="AE8" i="9" a="1"/>
  <c r="AE8" i="9" s="1"/>
  <c r="AD8" i="9" a="1"/>
  <c r="AD8" i="9" s="1"/>
  <c r="AC8" i="9" a="1"/>
  <c r="AC8" i="9" s="1"/>
  <c r="AB8" i="9" a="1"/>
  <c r="AB8" i="9" s="1"/>
  <c r="Z8" i="9" a="1"/>
  <c r="Z8" i="9" s="1"/>
  <c r="AA8" i="9" a="1"/>
  <c r="AA8" i="9" s="1"/>
  <c r="Z20" i="9" a="1"/>
  <c r="Z20" i="9" s="1"/>
  <c r="AE20" i="9" a="1"/>
  <c r="AE20" i="9" s="1"/>
  <c r="AD20" i="9" a="1"/>
  <c r="AD20" i="9" s="1"/>
  <c r="AC20" i="9" a="1"/>
  <c r="AC20" i="9" s="1"/>
  <c r="AA20" i="9" a="1"/>
  <c r="AA20" i="9" s="1"/>
  <c r="AB20" i="9" a="1"/>
  <c r="AB20" i="9" s="1"/>
  <c r="Q9" i="9" a="1"/>
  <c r="Q9" i="9" s="1"/>
  <c r="T9" i="9" a="1"/>
  <c r="T9" i="9" s="1"/>
  <c r="P9" i="9" a="1"/>
  <c r="P9" i="9" s="1"/>
  <c r="S9" i="9" a="1"/>
  <c r="S9" i="9" s="1"/>
  <c r="R9" i="9" a="1"/>
  <c r="R9" i="9" s="1"/>
  <c r="Q4" i="9" a="1"/>
  <c r="Q4" i="9" s="1"/>
  <c r="T4" i="9" a="1"/>
  <c r="T4" i="9" s="1"/>
  <c r="S4" i="9" a="1"/>
  <c r="S4" i="9" s="1"/>
  <c r="R4" i="9" a="1"/>
  <c r="R4" i="9" s="1"/>
  <c r="P4" i="9" a="1"/>
  <c r="P4" i="9" s="1"/>
  <c r="O29" i="10"/>
  <c r="W25" i="9" a="1"/>
  <c r="W25" i="9" s="1"/>
  <c r="T41" i="9" a="1"/>
  <c r="T41" i="9" s="1"/>
  <c r="S41" i="9" a="1"/>
  <c r="S41" i="9" s="1"/>
  <c r="R41" i="9" a="1"/>
  <c r="R41" i="9" s="1"/>
  <c r="Q41" i="9" a="1"/>
  <c r="Q41" i="9" s="1"/>
  <c r="P41" i="9" a="1"/>
  <c r="P41" i="9" s="1"/>
  <c r="L39" i="10"/>
  <c r="L42" i="10"/>
  <c r="V38" i="9" a="1"/>
  <c r="V38" i="9" s="1"/>
  <c r="U38" i="9" a="1"/>
  <c r="U38" i="9" s="1"/>
  <c r="O16" i="10"/>
  <c r="N16" i="10" s="1"/>
  <c r="U12" i="9" s="1" a="1"/>
  <c r="U12" i="9" s="1"/>
  <c r="T33" i="9" a="1"/>
  <c r="T33" i="9" s="1"/>
  <c r="S33" i="9" a="1"/>
  <c r="S33" i="9" s="1"/>
  <c r="R33" i="9" a="1"/>
  <c r="R33" i="9" s="1"/>
  <c r="P33" i="9" a="1"/>
  <c r="P33" i="9" s="1"/>
  <c r="Q33" i="9" a="1"/>
  <c r="Q33" i="9" s="1"/>
  <c r="T44" i="9" a="1"/>
  <c r="T44" i="9" s="1"/>
  <c r="S44" i="9" a="1"/>
  <c r="S44" i="9" s="1"/>
  <c r="R44" i="9" a="1"/>
  <c r="R44" i="9" s="1"/>
  <c r="Q44" i="9" a="1"/>
  <c r="Q44" i="9" s="1"/>
  <c r="P44" i="9" a="1"/>
  <c r="P44" i="9" s="1"/>
  <c r="AE16" i="9" a="1"/>
  <c r="AE16" i="9" s="1"/>
  <c r="AD16" i="9" a="1"/>
  <c r="AD16" i="9" s="1"/>
  <c r="AC16" i="9" a="1"/>
  <c r="AC16" i="9" s="1"/>
  <c r="AB16" i="9" a="1"/>
  <c r="AB16" i="9" s="1"/>
  <c r="AA16" i="9" a="1"/>
  <c r="AA16" i="9" s="1"/>
  <c r="Z16" i="9" a="1"/>
  <c r="Z16" i="9" s="1"/>
  <c r="Q36" i="9" a="1"/>
  <c r="Q36" i="9" s="1"/>
  <c r="P36" i="9" a="1"/>
  <c r="P36" i="9" s="1"/>
  <c r="S36" i="9" a="1"/>
  <c r="S36" i="9" s="1"/>
  <c r="R36" i="9" a="1"/>
  <c r="R36" i="9" s="1"/>
  <c r="T36" i="9" a="1"/>
  <c r="T36" i="9" s="1"/>
  <c r="I49" i="9" a="1"/>
  <c r="I49" i="9" s="1"/>
  <c r="H49" i="9" a="1"/>
  <c r="H49" i="9" s="1"/>
  <c r="G49" i="9" a="1"/>
  <c r="G49" i="9" s="1"/>
  <c r="F49" i="9" a="1"/>
  <c r="F49" i="9" s="1"/>
  <c r="J49" i="9" a="1"/>
  <c r="J49" i="9" s="1"/>
  <c r="C49" i="9" a="1"/>
  <c r="C49" i="9" s="1"/>
  <c r="B49" i="9" a="1"/>
  <c r="B49" i="9" s="1"/>
  <c r="D49" i="9" a="1"/>
  <c r="D49" i="9" s="1"/>
  <c r="E49" i="9" a="1"/>
  <c r="E49" i="9" s="1"/>
  <c r="P13" i="9" a="1"/>
  <c r="P13" i="9" s="1"/>
  <c r="T13" i="9" a="1"/>
  <c r="T13" i="9" s="1"/>
  <c r="S13" i="9" a="1"/>
  <c r="S13" i="9" s="1"/>
  <c r="R13" i="9" a="1"/>
  <c r="R13" i="9" s="1"/>
  <c r="Q13" i="9" a="1"/>
  <c r="Q13" i="9" s="1"/>
  <c r="T45" i="9" a="1"/>
  <c r="T45" i="9" s="1"/>
  <c r="S45" i="9" a="1"/>
  <c r="S45" i="9" s="1"/>
  <c r="R45" i="9" a="1"/>
  <c r="R45" i="9" s="1"/>
  <c r="Q45" i="9" a="1"/>
  <c r="Q45" i="9" s="1"/>
  <c r="P45" i="9" a="1"/>
  <c r="P45" i="9" s="1"/>
  <c r="J28" i="9" a="1"/>
  <c r="J28" i="9" s="1"/>
  <c r="I28" i="9" a="1"/>
  <c r="I28" i="9" s="1"/>
  <c r="H28" i="9" a="1"/>
  <c r="H28" i="9" s="1"/>
  <c r="G28" i="9" a="1"/>
  <c r="G28" i="9" s="1"/>
  <c r="F28" i="9" a="1"/>
  <c r="F28" i="9" s="1"/>
  <c r="E28" i="9" a="1"/>
  <c r="E28" i="9" s="1"/>
  <c r="D28" i="9" a="1"/>
  <c r="D28" i="9" s="1"/>
  <c r="C28" i="9" a="1"/>
  <c r="C28" i="9" s="1"/>
  <c r="B28" i="9" a="1"/>
  <c r="B28" i="9" s="1"/>
  <c r="J12" i="9" a="1"/>
  <c r="J12" i="9" s="1"/>
  <c r="I12" i="9" a="1"/>
  <c r="I12" i="9" s="1"/>
  <c r="H12" i="9" a="1"/>
  <c r="H12" i="9" s="1"/>
  <c r="G12" i="9" a="1"/>
  <c r="G12" i="9" s="1"/>
  <c r="F12" i="9" a="1"/>
  <c r="F12" i="9" s="1"/>
  <c r="B12" i="9" a="1"/>
  <c r="B12" i="9" s="1"/>
  <c r="D12" i="9" a="1"/>
  <c r="D12" i="9" s="1"/>
  <c r="C12" i="9" a="1"/>
  <c r="C12" i="9" s="1"/>
  <c r="E12" i="9" a="1"/>
  <c r="E12" i="9" s="1"/>
  <c r="H38" i="9" a="1"/>
  <c r="H38" i="9" s="1"/>
  <c r="G38" i="9" a="1"/>
  <c r="G38" i="9" s="1"/>
  <c r="F38" i="9" a="1"/>
  <c r="F38" i="9" s="1"/>
  <c r="I38" i="9" a="1"/>
  <c r="I38" i="9" s="1"/>
  <c r="J38" i="9" a="1"/>
  <c r="J38" i="9" s="1"/>
  <c r="E38" i="9" a="1"/>
  <c r="E38" i="9" s="1"/>
  <c r="B38" i="9" a="1"/>
  <c r="B38" i="9" s="1"/>
  <c r="C38" i="9" a="1"/>
  <c r="C38" i="9" s="1"/>
  <c r="D38" i="9" a="1"/>
  <c r="D38" i="9" s="1"/>
  <c r="J10" i="10"/>
  <c r="AC44" i="9" a="1"/>
  <c r="AC44" i="9" s="1"/>
  <c r="AB44" i="9" a="1"/>
  <c r="AB44" i="9" s="1"/>
  <c r="AA44" i="9" a="1"/>
  <c r="AA44" i="9" s="1"/>
  <c r="Z44" i="9" a="1"/>
  <c r="Z44" i="9" s="1"/>
  <c r="AD44" i="9" a="1"/>
  <c r="AD44" i="9" s="1"/>
  <c r="AE44" i="9" a="1"/>
  <c r="AE44" i="9" s="1"/>
  <c r="V45" i="10"/>
  <c r="L54" i="10"/>
  <c r="AA9" i="9" a="1"/>
  <c r="AA9" i="9" s="1"/>
  <c r="AE9" i="9" a="1"/>
  <c r="AE9" i="9" s="1"/>
  <c r="AD9" i="9" a="1"/>
  <c r="AD9" i="9" s="1"/>
  <c r="AC9" i="9" a="1"/>
  <c r="AC9" i="9" s="1"/>
  <c r="AB9" i="9" a="1"/>
  <c r="AB9" i="9" s="1"/>
  <c r="Z9" i="9" a="1"/>
  <c r="Z9" i="9" s="1"/>
  <c r="O32" i="10"/>
  <c r="N32" i="10" s="1"/>
  <c r="H47" i="9" a="1"/>
  <c r="H47" i="9" s="1"/>
  <c r="G47" i="9" a="1"/>
  <c r="G47" i="9" s="1"/>
  <c r="F47" i="9" a="1"/>
  <c r="F47" i="9" s="1"/>
  <c r="J47" i="9" a="1"/>
  <c r="J47" i="9" s="1"/>
  <c r="I47" i="9" a="1"/>
  <c r="I47" i="9" s="1"/>
  <c r="D47" i="9" a="1"/>
  <c r="D47" i="9" s="1"/>
  <c r="E47" i="9" a="1"/>
  <c r="E47" i="9" s="1"/>
  <c r="B47" i="9" a="1"/>
  <c r="B47" i="9" s="1"/>
  <c r="C47" i="9" a="1"/>
  <c r="C47" i="9" s="1"/>
  <c r="O49" i="10"/>
  <c r="N49" i="10" s="1"/>
  <c r="W45" i="9" s="1" a="1"/>
  <c r="W45" i="9" s="1"/>
  <c r="T39" i="10"/>
  <c r="K9" i="9" a="1"/>
  <c r="K9" i="9" s="1"/>
  <c r="O4" i="9" a="1"/>
  <c r="O4" i="9" s="1"/>
  <c r="K39" i="9" a="1"/>
  <c r="K39" i="9" s="1"/>
  <c r="W8" i="9" a="1"/>
  <c r="W8" i="9" s="1"/>
  <c r="Y8" i="9" a="1"/>
  <c r="Y8" i="9" s="1"/>
  <c r="V8" i="9" a="1"/>
  <c r="V8" i="9" s="1"/>
  <c r="U8" i="9" a="1"/>
  <c r="U8" i="9" s="1"/>
  <c r="X8" i="9" a="1"/>
  <c r="X8" i="9" s="1"/>
  <c r="K36" i="9" a="1"/>
  <c r="K36" i="9" s="1"/>
  <c r="M40" i="9" a="1"/>
  <c r="M40" i="9" s="1"/>
  <c r="Y13" i="9" a="1"/>
  <c r="Y13" i="9" s="1"/>
  <c r="X13" i="9" a="1"/>
  <c r="X13" i="9" s="1"/>
  <c r="W13" i="9" a="1"/>
  <c r="W13" i="9" s="1"/>
  <c r="U13" i="9" a="1"/>
  <c r="U13" i="9" s="1"/>
  <c r="V13" i="9" a="1"/>
  <c r="V13" i="9" s="1"/>
  <c r="L33" i="9" a="1"/>
  <c r="L33" i="9" s="1"/>
  <c r="V44" i="9" a="1"/>
  <c r="V44" i="9" s="1"/>
  <c r="U44" i="9" a="1"/>
  <c r="U44" i="9" s="1"/>
  <c r="Y44" i="9" a="1"/>
  <c r="Y44" i="9" s="1"/>
  <c r="W44" i="9" a="1"/>
  <c r="W44" i="9" s="1"/>
  <c r="X44" i="9" a="1"/>
  <c r="X44" i="9" s="1"/>
  <c r="O19" i="9" a="1"/>
  <c r="O19" i="9" s="1"/>
  <c r="R25" i="9" a="1"/>
  <c r="R25" i="9" s="1"/>
  <c r="Q25" i="9" a="1"/>
  <c r="Q25" i="9" s="1"/>
  <c r="P25" i="9" a="1"/>
  <c r="P25" i="9" s="1"/>
  <c r="S25" i="9" a="1"/>
  <c r="S25" i="9" s="1"/>
  <c r="T25" i="9" a="1"/>
  <c r="T25" i="9" s="1"/>
  <c r="G26" i="9" a="1"/>
  <c r="G26" i="9" s="1"/>
  <c r="F26" i="9" a="1"/>
  <c r="F26" i="9" s="1"/>
  <c r="J26" i="9" a="1"/>
  <c r="J26" i="9" s="1"/>
  <c r="I26" i="9" a="1"/>
  <c r="I26" i="9" s="1"/>
  <c r="H26" i="9" a="1"/>
  <c r="H26" i="9" s="1"/>
  <c r="E26" i="9" a="1"/>
  <c r="E26" i="9" s="1"/>
  <c r="D26" i="9" a="1"/>
  <c r="D26" i="9" s="1"/>
  <c r="B26" i="9" a="1"/>
  <c r="B26" i="9" s="1"/>
  <c r="C26" i="9" a="1"/>
  <c r="C26" i="9" s="1"/>
  <c r="T32" i="9" a="1"/>
  <c r="T32" i="9" s="1"/>
  <c r="S32" i="9" a="1"/>
  <c r="S32" i="9" s="1"/>
  <c r="Q32" i="9" a="1"/>
  <c r="Q32" i="9" s="1"/>
  <c r="P32" i="9" a="1"/>
  <c r="P32" i="9" s="1"/>
  <c r="R32" i="9" a="1"/>
  <c r="R32" i="9" s="1"/>
  <c r="I21" i="9" a="1"/>
  <c r="I21" i="9" s="1"/>
  <c r="H21" i="9" a="1"/>
  <c r="H21" i="9" s="1"/>
  <c r="G21" i="9" a="1"/>
  <c r="G21" i="9" s="1"/>
  <c r="D21" i="9" a="1"/>
  <c r="D21" i="9" s="1"/>
  <c r="J21" i="9" a="1"/>
  <c r="J21" i="9" s="1"/>
  <c r="F21" i="9" a="1"/>
  <c r="F21" i="9" s="1"/>
  <c r="C21" i="9" a="1"/>
  <c r="C21" i="9" s="1"/>
  <c r="B21" i="9" a="1"/>
  <c r="B21" i="9" s="1"/>
  <c r="E21" i="9" a="1"/>
  <c r="E21" i="9" s="1"/>
  <c r="I41" i="9" a="1"/>
  <c r="I41" i="9" s="1"/>
  <c r="H41" i="9" a="1"/>
  <c r="H41" i="9" s="1"/>
  <c r="G41" i="9" a="1"/>
  <c r="G41" i="9" s="1"/>
  <c r="F41" i="9" a="1"/>
  <c r="F41" i="9" s="1"/>
  <c r="J41" i="9" a="1"/>
  <c r="J41" i="9" s="1"/>
  <c r="E41" i="9" a="1"/>
  <c r="E41" i="9" s="1"/>
  <c r="B41" i="9" a="1"/>
  <c r="B41" i="9" s="1"/>
  <c r="C41" i="9" a="1"/>
  <c r="C41" i="9" s="1"/>
  <c r="D41" i="9" a="1"/>
  <c r="D41" i="9" s="1"/>
  <c r="J38" i="10"/>
  <c r="F39" i="9" a="1"/>
  <c r="F39" i="9" s="1"/>
  <c r="J39" i="9" a="1"/>
  <c r="J39" i="9" s="1"/>
  <c r="G39" i="9" a="1"/>
  <c r="G39" i="9" s="1"/>
  <c r="H39" i="9" a="1"/>
  <c r="H39" i="9" s="1"/>
  <c r="I39" i="9" a="1"/>
  <c r="I39" i="9" s="1"/>
  <c r="E39" i="9" a="1"/>
  <c r="E39" i="9" s="1"/>
  <c r="D39" i="9" a="1"/>
  <c r="D39" i="9" s="1"/>
  <c r="C39" i="9" a="1"/>
  <c r="C39" i="9" s="1"/>
  <c r="B39" i="9" a="1"/>
  <c r="B39" i="9" s="1"/>
  <c r="O45" i="10"/>
  <c r="N45" i="10" s="1"/>
  <c r="U41" i="9" s="1" a="1"/>
  <c r="U41" i="9" s="1"/>
  <c r="O9" i="9" a="1"/>
  <c r="O9" i="9" s="1"/>
  <c r="O25" i="10"/>
  <c r="N36" i="9" a="1"/>
  <c r="N36" i="9" s="1"/>
  <c r="K40" i="9" a="1"/>
  <c r="K40" i="9" s="1"/>
  <c r="N33" i="9" a="1"/>
  <c r="N33" i="9" s="1"/>
  <c r="O32" i="9" a="1"/>
  <c r="O32" i="9" s="1"/>
  <c r="I51" i="9" a="1"/>
  <c r="I51" i="9" s="1"/>
  <c r="H51" i="9" a="1"/>
  <c r="H51" i="9" s="1"/>
  <c r="G51" i="9" a="1"/>
  <c r="G51" i="9" s="1"/>
  <c r="F51" i="9" a="1"/>
  <c r="F51" i="9" s="1"/>
  <c r="J51" i="9" a="1"/>
  <c r="J51" i="9" s="1"/>
  <c r="E51" i="9" a="1"/>
  <c r="E51" i="9" s="1"/>
  <c r="D51" i="9" a="1"/>
  <c r="D51" i="9" s="1"/>
  <c r="C51" i="9" a="1"/>
  <c r="C51" i="9" s="1"/>
  <c r="B51" i="9" a="1"/>
  <c r="B51" i="9" s="1"/>
  <c r="F40" i="9" a="1"/>
  <c r="F40" i="9" s="1"/>
  <c r="J40" i="9" a="1"/>
  <c r="J40" i="9" s="1"/>
  <c r="I40" i="9" a="1"/>
  <c r="I40" i="9" s="1"/>
  <c r="H40" i="9" a="1"/>
  <c r="H40" i="9" s="1"/>
  <c r="G40" i="9" a="1"/>
  <c r="G40" i="9" s="1"/>
  <c r="E40" i="9" a="1"/>
  <c r="E40" i="9" s="1"/>
  <c r="D40" i="9" a="1"/>
  <c r="D40" i="9" s="1"/>
  <c r="C40" i="9" a="1"/>
  <c r="C40" i="9" s="1"/>
  <c r="B40" i="9" a="1"/>
  <c r="B40" i="9" s="1"/>
  <c r="L25" i="10"/>
  <c r="G4" i="9" a="1"/>
  <c r="G4" i="9" s="1"/>
  <c r="J4" i="9" a="1"/>
  <c r="J4" i="9" s="1"/>
  <c r="F4" i="9" a="1"/>
  <c r="F4" i="9" s="1"/>
  <c r="I4" i="9" a="1"/>
  <c r="I4" i="9" s="1"/>
  <c r="H4" i="9" a="1"/>
  <c r="H4" i="9" s="1"/>
  <c r="E4" i="9" a="1"/>
  <c r="E4" i="9" s="1"/>
  <c r="B4" i="9" a="1"/>
  <c r="B4" i="9" s="1"/>
  <c r="C4" i="9" a="1"/>
  <c r="C4" i="9" s="1"/>
  <c r="D4" i="9" a="1"/>
  <c r="D4" i="9" s="1"/>
  <c r="H50" i="9" a="1"/>
  <c r="H50" i="9" s="1"/>
  <c r="G50" i="9" a="1"/>
  <c r="G50" i="9" s="1"/>
  <c r="F50" i="9" a="1"/>
  <c r="F50" i="9" s="1"/>
  <c r="J50" i="9" a="1"/>
  <c r="J50" i="9" s="1"/>
  <c r="I50" i="9" a="1"/>
  <c r="I50" i="9" s="1"/>
  <c r="D50" i="9" a="1"/>
  <c r="D50" i="9" s="1"/>
  <c r="C50" i="9" a="1"/>
  <c r="C50" i="9" s="1"/>
  <c r="B50" i="9" a="1"/>
  <c r="B50" i="9" s="1"/>
  <c r="E50" i="9" a="1"/>
  <c r="E50" i="9" s="1"/>
  <c r="O52" i="10"/>
  <c r="N52" i="10" s="1"/>
  <c r="X48" i="9" s="1" a="1"/>
  <c r="X48" i="9" s="1"/>
  <c r="I23" i="9" a="1"/>
  <c r="I23" i="9" s="1"/>
  <c r="H23" i="9" a="1"/>
  <c r="H23" i="9" s="1"/>
  <c r="G23" i="9" a="1"/>
  <c r="G23" i="9" s="1"/>
  <c r="F23" i="9" a="1"/>
  <c r="F23" i="9" s="1"/>
  <c r="J23" i="9" a="1"/>
  <c r="J23" i="9" s="1"/>
  <c r="E23" i="9" a="1"/>
  <c r="E23" i="9" s="1"/>
  <c r="D23" i="9" a="1"/>
  <c r="D23" i="9" s="1"/>
  <c r="C23" i="9" a="1"/>
  <c r="C23" i="9" s="1"/>
  <c r="B23" i="9" a="1"/>
  <c r="B23" i="9" s="1"/>
  <c r="L56" i="10"/>
  <c r="J14" i="10"/>
  <c r="AA5" i="9" a="1"/>
  <c r="AA5" i="9" s="1"/>
  <c r="AE5" i="9" a="1"/>
  <c r="AE5" i="9" s="1"/>
  <c r="AD5" i="9" a="1"/>
  <c r="AD5" i="9" s="1"/>
  <c r="AC5" i="9" a="1"/>
  <c r="AC5" i="9" s="1"/>
  <c r="AB5" i="9" a="1"/>
  <c r="AB5" i="9" s="1"/>
  <c r="Z5" i="9" a="1"/>
  <c r="Z5" i="9" s="1"/>
  <c r="T8" i="9" a="1"/>
  <c r="T8" i="9" s="1"/>
  <c r="Q8" i="9" a="1"/>
  <c r="Q8" i="9" s="1"/>
  <c r="S8" i="9" a="1"/>
  <c r="S8" i="9" s="1"/>
  <c r="R8" i="9" a="1"/>
  <c r="R8" i="9" s="1"/>
  <c r="P8" i="9" a="1"/>
  <c r="P8" i="9" s="1"/>
  <c r="G33" i="9" a="1"/>
  <c r="G33" i="9" s="1"/>
  <c r="F33" i="9" a="1"/>
  <c r="F33" i="9" s="1"/>
  <c r="J33" i="9" a="1"/>
  <c r="J33" i="9" s="1"/>
  <c r="H33" i="9" a="1"/>
  <c r="H33" i="9" s="1"/>
  <c r="I33" i="9" a="1"/>
  <c r="I33" i="9" s="1"/>
  <c r="E33" i="9" a="1"/>
  <c r="E33" i="9" s="1"/>
  <c r="D33" i="9" a="1"/>
  <c r="D33" i="9" s="1"/>
  <c r="B33" i="9" a="1"/>
  <c r="B33" i="9" s="1"/>
  <c r="C33" i="9" a="1"/>
  <c r="C33" i="9" s="1"/>
  <c r="L47" i="10"/>
  <c r="U43" i="9" a="1"/>
  <c r="U43" i="9" s="1"/>
  <c r="Y43" i="9" a="1"/>
  <c r="Y43" i="9" s="1"/>
  <c r="V43" i="9" a="1"/>
  <c r="V43" i="9" s="1"/>
  <c r="X43" i="9" a="1"/>
  <c r="X43" i="9" s="1"/>
  <c r="W43" i="9" a="1"/>
  <c r="W43" i="9" s="1"/>
  <c r="I37" i="9" a="1"/>
  <c r="I37" i="9" s="1"/>
  <c r="H37" i="9" a="1"/>
  <c r="H37" i="9" s="1"/>
  <c r="G37" i="9" a="1"/>
  <c r="G37" i="9" s="1"/>
  <c r="F37" i="9" a="1"/>
  <c r="F37" i="9" s="1"/>
  <c r="J37" i="9" a="1"/>
  <c r="J37" i="9" s="1"/>
  <c r="D37" i="9" a="1"/>
  <c r="D37" i="9" s="1"/>
  <c r="C37" i="9" a="1"/>
  <c r="C37" i="9" s="1"/>
  <c r="B37" i="9" a="1"/>
  <c r="B37" i="9" s="1"/>
  <c r="E37" i="9" a="1"/>
  <c r="E37" i="9" s="1"/>
  <c r="Y9" i="9" a="1"/>
  <c r="Y9" i="9" s="1"/>
  <c r="X9" i="9" a="1"/>
  <c r="X9" i="9" s="1"/>
  <c r="W9" i="9" a="1"/>
  <c r="W9" i="9" s="1"/>
  <c r="V9" i="9" a="1"/>
  <c r="V9" i="9" s="1"/>
  <c r="U9" i="9" a="1"/>
  <c r="U9" i="9" s="1"/>
  <c r="K8" i="9" a="1"/>
  <c r="K8" i="9" s="1"/>
  <c r="O36" i="9" a="1"/>
  <c r="O36" i="9" s="1"/>
  <c r="M13" i="9" a="1"/>
  <c r="M13" i="9" s="1"/>
  <c r="M45" i="9" a="1"/>
  <c r="M45" i="9" s="1"/>
  <c r="O37" i="10"/>
  <c r="N37" i="10" s="1"/>
  <c r="V33" i="9" s="1" a="1"/>
  <c r="V33" i="9" s="1"/>
  <c r="Y33" i="9" a="1"/>
  <c r="Y33" i="9" s="1"/>
  <c r="O44" i="9" a="1"/>
  <c r="O44" i="9" s="1"/>
  <c r="V32" i="9" a="1"/>
  <c r="V32" i="9" s="1"/>
  <c r="U32" i="9" a="1"/>
  <c r="U32" i="9" s="1"/>
  <c r="Y32" i="9" a="1"/>
  <c r="Y32" i="9" s="1"/>
  <c r="X32" i="9" a="1"/>
  <c r="X32" i="9" s="1"/>
  <c r="W32" i="9" a="1"/>
  <c r="W32" i="9" s="1"/>
  <c r="L16" i="9" a="1"/>
  <c r="L16" i="9" s="1"/>
  <c r="K41" i="9" a="1"/>
  <c r="K41" i="9" s="1"/>
  <c r="F44" i="9" a="1"/>
  <c r="F44" i="9" s="1"/>
  <c r="J44" i="9" a="1"/>
  <c r="J44" i="9" s="1"/>
  <c r="H44" i="9" a="1"/>
  <c r="H44" i="9" s="1"/>
  <c r="G44" i="9" a="1"/>
  <c r="G44" i="9" s="1"/>
  <c r="I44" i="9" a="1"/>
  <c r="I44" i="9" s="1"/>
  <c r="D44" i="9" a="1"/>
  <c r="D44" i="9" s="1"/>
  <c r="B44" i="9" a="1"/>
  <c r="B44" i="9" s="1"/>
  <c r="C44" i="9" a="1"/>
  <c r="C44" i="9" s="1"/>
  <c r="E44" i="9" a="1"/>
  <c r="E44" i="9" s="1"/>
  <c r="L50" i="10"/>
  <c r="T40" i="9" a="1"/>
  <c r="T40" i="9" s="1"/>
  <c r="S40" i="9" a="1"/>
  <c r="S40" i="9" s="1"/>
  <c r="R40" i="9" a="1"/>
  <c r="R40" i="9" s="1"/>
  <c r="Q40" i="9" a="1"/>
  <c r="Q40" i="9" s="1"/>
  <c r="P40" i="9" a="1"/>
  <c r="P40" i="9" s="1"/>
  <c r="P11" i="9" a="1"/>
  <c r="P11" i="9" s="1"/>
  <c r="T11" i="9" a="1"/>
  <c r="T11" i="9" s="1"/>
  <c r="R11" i="9" a="1"/>
  <c r="R11" i="9" s="1"/>
  <c r="Q11" i="9" a="1"/>
  <c r="Q11" i="9" s="1"/>
  <c r="S11" i="9" a="1"/>
  <c r="S11" i="9" s="1"/>
  <c r="L9" i="9" a="1"/>
  <c r="L9" i="9" s="1"/>
  <c r="H24" i="9" a="1"/>
  <c r="H24" i="9" s="1"/>
  <c r="F24" i="9" a="1"/>
  <c r="F24" i="9" s="1"/>
  <c r="I24" i="9" a="1"/>
  <c r="I24" i="9" s="1"/>
  <c r="J24" i="9" a="1"/>
  <c r="J24" i="9" s="1"/>
  <c r="G24" i="9" a="1"/>
  <c r="G24" i="9" s="1"/>
  <c r="E24" i="9" a="1"/>
  <c r="E24" i="9" s="1"/>
  <c r="D24" i="9" a="1"/>
  <c r="D24" i="9" s="1"/>
  <c r="B24" i="9" a="1"/>
  <c r="B24" i="9" s="1"/>
  <c r="C24" i="9" a="1"/>
  <c r="C24" i="9" s="1"/>
  <c r="AC32" i="9" a="1"/>
  <c r="AC32" i="9" s="1"/>
  <c r="AB32" i="9" a="1"/>
  <c r="AB32" i="9" s="1"/>
  <c r="AA32" i="9" a="1"/>
  <c r="AA32" i="9" s="1"/>
  <c r="Z32" i="9" a="1"/>
  <c r="Z32" i="9" s="1"/>
  <c r="AE32" i="9" a="1"/>
  <c r="AE32" i="9" s="1"/>
  <c r="AD32" i="9" a="1"/>
  <c r="AD32" i="9" s="1"/>
  <c r="F43" i="9" a="1"/>
  <c r="F43" i="9" s="1"/>
  <c r="J43" i="9" a="1"/>
  <c r="J43" i="9" s="1"/>
  <c r="I43" i="9" a="1"/>
  <c r="I43" i="9" s="1"/>
  <c r="H43" i="9" a="1"/>
  <c r="H43" i="9" s="1"/>
  <c r="G43" i="9" a="1"/>
  <c r="G43" i="9" s="1"/>
  <c r="B43" i="9" a="1"/>
  <c r="B43" i="9" s="1"/>
  <c r="C43" i="9" a="1"/>
  <c r="C43" i="9" s="1"/>
  <c r="E43" i="9" a="1"/>
  <c r="E43" i="9" s="1"/>
  <c r="D43" i="9" a="1"/>
  <c r="D43" i="9" s="1"/>
  <c r="O21" i="10"/>
  <c r="N21" i="10" s="1"/>
  <c r="V17" i="9" s="1" a="1"/>
  <c r="V17" i="9" s="1"/>
  <c r="V29" i="9" a="1"/>
  <c r="V29" i="9" s="1"/>
  <c r="U29" i="9" a="1"/>
  <c r="U29" i="9" s="1"/>
  <c r="H11" i="9" a="1"/>
  <c r="H11" i="9" s="1"/>
  <c r="G11" i="9" a="1"/>
  <c r="G11" i="9" s="1"/>
  <c r="F11" i="9" a="1"/>
  <c r="F11" i="9" s="1"/>
  <c r="J11" i="9" a="1"/>
  <c r="J11" i="9" s="1"/>
  <c r="I11" i="9" a="1"/>
  <c r="I11" i="9" s="1"/>
  <c r="E11" i="9" a="1"/>
  <c r="E11" i="9" s="1"/>
  <c r="D11" i="9" a="1"/>
  <c r="D11" i="9" s="1"/>
  <c r="B11" i="9" a="1"/>
  <c r="B11" i="9" s="1"/>
  <c r="C11" i="9" a="1"/>
  <c r="C11" i="9" s="1"/>
  <c r="N16" i="9" a="1"/>
  <c r="N16" i="9" s="1"/>
  <c r="J36" i="9" a="1"/>
  <c r="J36" i="9" s="1"/>
  <c r="I36" i="9" a="1"/>
  <c r="I36" i="9" s="1"/>
  <c r="H36" i="9" a="1"/>
  <c r="H36" i="9" s="1"/>
  <c r="G36" i="9" a="1"/>
  <c r="G36" i="9" s="1"/>
  <c r="F36" i="9" a="1"/>
  <c r="F36" i="9" s="1"/>
  <c r="D36" i="9" a="1"/>
  <c r="D36" i="9" s="1"/>
  <c r="B36" i="9" a="1"/>
  <c r="B36" i="9" s="1"/>
  <c r="C36" i="9" a="1"/>
  <c r="C36" i="9" s="1"/>
  <c r="E36" i="9" a="1"/>
  <c r="E36" i="9" s="1"/>
  <c r="J20" i="9" a="1"/>
  <c r="J20" i="9" s="1"/>
  <c r="I20" i="9" a="1"/>
  <c r="I20" i="9" s="1"/>
  <c r="G20" i="9" a="1"/>
  <c r="G20" i="9" s="1"/>
  <c r="F20" i="9" a="1"/>
  <c r="F20" i="9" s="1"/>
  <c r="H20" i="9" a="1"/>
  <c r="H20" i="9" s="1"/>
  <c r="E20" i="9" a="1"/>
  <c r="E20" i="9" s="1"/>
  <c r="D20" i="9" a="1"/>
  <c r="D20" i="9" s="1"/>
  <c r="C20" i="9" a="1"/>
  <c r="C20" i="9" s="1"/>
  <c r="B20" i="9" a="1"/>
  <c r="B20" i="9" s="1"/>
  <c r="L51" i="10"/>
  <c r="L27" i="10"/>
  <c r="U23" i="9" a="1"/>
  <c r="U23" i="9" s="1"/>
  <c r="J18" i="10"/>
  <c r="V41" i="10"/>
  <c r="J29" i="9" a="1"/>
  <c r="J29" i="9" s="1"/>
  <c r="I29" i="9" a="1"/>
  <c r="I29" i="9" s="1"/>
  <c r="G29" i="9" a="1"/>
  <c r="G29" i="9" s="1"/>
  <c r="F29" i="9" a="1"/>
  <c r="F29" i="9" s="1"/>
  <c r="H29" i="9" a="1"/>
  <c r="H29" i="9" s="1"/>
  <c r="D29" i="9" a="1"/>
  <c r="D29" i="9" s="1"/>
  <c r="E29" i="9" a="1"/>
  <c r="E29" i="9" s="1"/>
  <c r="C29" i="9" a="1"/>
  <c r="C29" i="9" s="1"/>
  <c r="B29" i="9" a="1"/>
  <c r="B29" i="9" s="1"/>
  <c r="G25" i="9" a="1"/>
  <c r="G25" i="9" s="1"/>
  <c r="J25" i="9" a="1"/>
  <c r="J25" i="9" s="1"/>
  <c r="H25" i="9" a="1"/>
  <c r="H25" i="9" s="1"/>
  <c r="I25" i="9" a="1"/>
  <c r="I25" i="9" s="1"/>
  <c r="D25" i="9" a="1"/>
  <c r="D25" i="9" s="1"/>
  <c r="F25" i="9" a="1"/>
  <c r="F25" i="9" s="1"/>
  <c r="B25" i="9" a="1"/>
  <c r="B25" i="9" s="1"/>
  <c r="C25" i="9" a="1"/>
  <c r="C25" i="9" s="1"/>
  <c r="E25" i="9" a="1"/>
  <c r="E25" i="9" s="1"/>
  <c r="O33" i="10"/>
  <c r="N33" i="10" s="1"/>
  <c r="Y29" i="9" s="1" a="1"/>
  <c r="Y29" i="9" s="1"/>
  <c r="L41" i="10"/>
  <c r="X37" i="9" a="1"/>
  <c r="X37" i="9" s="1"/>
  <c r="K4" i="9" a="1"/>
  <c r="K4" i="9" s="1"/>
  <c r="V39" i="9" a="1"/>
  <c r="V39" i="9" s="1"/>
  <c r="U39" i="9" a="1"/>
  <c r="U39" i="9" s="1"/>
  <c r="Y39" i="9" a="1"/>
  <c r="Y39" i="9" s="1"/>
  <c r="X39" i="9" a="1"/>
  <c r="X39" i="9" s="1"/>
  <c r="W39" i="9" a="1"/>
  <c r="W39" i="9" s="1"/>
  <c r="L8" i="9" a="1"/>
  <c r="L8" i="9" s="1"/>
  <c r="Y36" i="9" a="1"/>
  <c r="Y36" i="9" s="1"/>
  <c r="X36" i="9" a="1"/>
  <c r="X36" i="9" s="1"/>
  <c r="W36" i="9" a="1"/>
  <c r="W36" i="9" s="1"/>
  <c r="V36" i="9" a="1"/>
  <c r="V36" i="9" s="1"/>
  <c r="U36" i="9" a="1"/>
  <c r="U36" i="9" s="1"/>
  <c r="Y40" i="9" a="1"/>
  <c r="Y40" i="9" s="1"/>
  <c r="X40" i="9" a="1"/>
  <c r="X40" i="9" s="1"/>
  <c r="W40" i="9" a="1"/>
  <c r="W40" i="9" s="1"/>
  <c r="V40" i="9" a="1"/>
  <c r="V40" i="9" s="1"/>
  <c r="U40" i="9" a="1"/>
  <c r="U40" i="9" s="1"/>
  <c r="L13" i="9" a="1"/>
  <c r="L13" i="9" s="1"/>
  <c r="N45" i="9" a="1"/>
  <c r="N45" i="9" s="1"/>
  <c r="L25" i="9" a="1"/>
  <c r="L25" i="9" s="1"/>
  <c r="K44" i="9" a="1"/>
  <c r="K44" i="9" s="1"/>
  <c r="M16" i="9" a="1"/>
  <c r="M16" i="9" s="1"/>
  <c r="G19" i="9" a="1"/>
  <c r="G19" i="9" s="1"/>
  <c r="F19" i="9" a="1"/>
  <c r="F19" i="9" s="1"/>
  <c r="J19" i="9" a="1"/>
  <c r="J19" i="9" s="1"/>
  <c r="H19" i="9" a="1"/>
  <c r="H19" i="9" s="1"/>
  <c r="I19" i="9" a="1"/>
  <c r="I19" i="9" s="1"/>
  <c r="C19" i="9" a="1"/>
  <c r="C19" i="9" s="1"/>
  <c r="D19" i="9" a="1"/>
  <c r="D19" i="9" s="1"/>
  <c r="E19" i="9" a="1"/>
  <c r="E19" i="9" s="1"/>
  <c r="B19" i="9" a="1"/>
  <c r="B19" i="9" s="1"/>
  <c r="L41" i="9" a="1"/>
  <c r="L41" i="9" s="1"/>
  <c r="N40" i="9" a="1"/>
  <c r="N40" i="9" s="1"/>
  <c r="O11" i="9" a="1"/>
  <c r="O11" i="9" s="1"/>
  <c r="N32" i="9" a="1"/>
  <c r="N32" i="9" s="1"/>
  <c r="Y20" i="9" a="1"/>
  <c r="Y20" i="9" s="1"/>
  <c r="X20" i="9" a="1"/>
  <c r="X20" i="9" s="1"/>
  <c r="W20" i="9" a="1"/>
  <c r="W20" i="9" s="1"/>
  <c r="V20" i="9" a="1"/>
  <c r="V20" i="9" s="1"/>
  <c r="U20" i="9" a="1"/>
  <c r="U20" i="9" s="1"/>
  <c r="G8" i="9" a="1"/>
  <c r="G8" i="9" s="1"/>
  <c r="J8" i="9" a="1"/>
  <c r="J8" i="9" s="1"/>
  <c r="F8" i="9" a="1"/>
  <c r="F8" i="9" s="1"/>
  <c r="I8" i="9" a="1"/>
  <c r="I8" i="9" s="1"/>
  <c r="H8" i="9" a="1"/>
  <c r="H8" i="9" s="1"/>
  <c r="E8" i="9" a="1"/>
  <c r="E8" i="9" s="1"/>
  <c r="B8" i="9" a="1"/>
  <c r="B8" i="9" s="1"/>
  <c r="C8" i="9" a="1"/>
  <c r="C8" i="9" s="1"/>
  <c r="D8" i="9" a="1"/>
  <c r="D8" i="9" s="1"/>
  <c r="Z40" i="9" a="1"/>
  <c r="Z40" i="9" s="1"/>
  <c r="AE40" i="9" a="1"/>
  <c r="AE40" i="9" s="1"/>
  <c r="AD40" i="9" a="1"/>
  <c r="AD40" i="9" s="1"/>
  <c r="AC40" i="9" a="1"/>
  <c r="AC40" i="9" s="1"/>
  <c r="AA40" i="9" a="1"/>
  <c r="AA40" i="9" s="1"/>
  <c r="AB40" i="9" a="1"/>
  <c r="AB40" i="9" s="1"/>
  <c r="P17" i="9" a="1"/>
  <c r="P17" i="9" s="1"/>
  <c r="T17" i="9" a="1"/>
  <c r="T17" i="9" s="1"/>
  <c r="S17" i="9" a="1"/>
  <c r="S17" i="9" s="1"/>
  <c r="R17" i="9" a="1"/>
  <c r="R17" i="9" s="1"/>
  <c r="Q17" i="9" a="1"/>
  <c r="Q17" i="9" s="1"/>
  <c r="G46" i="9" a="1"/>
  <c r="G46" i="9" s="1"/>
  <c r="F46" i="9" a="1"/>
  <c r="F46" i="9" s="1"/>
  <c r="I46" i="9" a="1"/>
  <c r="I46" i="9" s="1"/>
  <c r="H46" i="9" a="1"/>
  <c r="H46" i="9" s="1"/>
  <c r="J46" i="9" a="1"/>
  <c r="J46" i="9" s="1"/>
  <c r="B46" i="9" a="1"/>
  <c r="B46" i="9" s="1"/>
  <c r="E46" i="9" a="1"/>
  <c r="E46" i="9" s="1"/>
  <c r="C46" i="9" a="1"/>
  <c r="C46" i="9" s="1"/>
  <c r="D46" i="9" a="1"/>
  <c r="D46" i="9" s="1"/>
  <c r="O51" i="10"/>
  <c r="N51" i="10" s="1"/>
  <c r="AD13" i="9" a="1"/>
  <c r="AD13" i="9" s="1"/>
  <c r="AC13" i="9" a="1"/>
  <c r="AC13" i="9" s="1"/>
  <c r="AB13" i="9" a="1"/>
  <c r="AB13" i="9" s="1"/>
  <c r="AE13" i="9" a="1"/>
  <c r="AE13" i="9" s="1"/>
  <c r="Z13" i="9" a="1"/>
  <c r="Z13" i="9" s="1"/>
  <c r="AA13" i="9" a="1"/>
  <c r="AA13" i="9" s="1"/>
  <c r="L28" i="10"/>
  <c r="F27" i="9" a="1"/>
  <c r="F27" i="9" s="1"/>
  <c r="I27" i="9" a="1"/>
  <c r="I27" i="9" s="1"/>
  <c r="G27" i="9" a="1"/>
  <c r="G27" i="9" s="1"/>
  <c r="J27" i="9" a="1"/>
  <c r="J27" i="9" s="1"/>
  <c r="H27" i="9" a="1"/>
  <c r="H27" i="9" s="1"/>
  <c r="B27" i="9" a="1"/>
  <c r="B27" i="9" s="1"/>
  <c r="D27" i="9" a="1"/>
  <c r="D27" i="9" s="1"/>
  <c r="E27" i="9" a="1"/>
  <c r="E27" i="9" s="1"/>
  <c r="C27" i="9" a="1"/>
  <c r="C27" i="9" s="1"/>
  <c r="K17" i="9" a="1"/>
  <c r="K17" i="9" s="1"/>
  <c r="J7" i="9" a="1"/>
  <c r="J7" i="9" s="1"/>
  <c r="G7" i="9" a="1"/>
  <c r="G7" i="9" s="1"/>
  <c r="I7" i="9" a="1"/>
  <c r="I7" i="9" s="1"/>
  <c r="H7" i="9" a="1"/>
  <c r="H7" i="9" s="1"/>
  <c r="F7" i="9" a="1"/>
  <c r="F7" i="9" s="1"/>
  <c r="E7" i="9" a="1"/>
  <c r="E7" i="9" s="1"/>
  <c r="D7" i="9" a="1"/>
  <c r="D7" i="9" s="1"/>
  <c r="C7" i="9" a="1"/>
  <c r="C7" i="9" s="1"/>
  <c r="B7" i="9" a="1"/>
  <c r="B7" i="9" s="1"/>
  <c r="M41" i="9" a="1"/>
  <c r="M41" i="9" s="1"/>
  <c r="Q49" i="9" a="1"/>
  <c r="Q49" i="9" s="1"/>
  <c r="P49" i="9" a="1"/>
  <c r="P49" i="9" s="1"/>
  <c r="T49" i="9" a="1"/>
  <c r="T49" i="9" s="1"/>
  <c r="S49" i="9" a="1"/>
  <c r="S49" i="9" s="1"/>
  <c r="R49" i="9" a="1"/>
  <c r="R49" i="9" s="1"/>
  <c r="H32" i="9" a="1"/>
  <c r="H32" i="9" s="1"/>
  <c r="F32" i="9" a="1"/>
  <c r="F32" i="9" s="1"/>
  <c r="I32" i="9" a="1"/>
  <c r="I32" i="9" s="1"/>
  <c r="J32" i="9" a="1"/>
  <c r="J32" i="9" s="1"/>
  <c r="G32" i="9" a="1"/>
  <c r="G32" i="9" s="1"/>
  <c r="E32" i="9" a="1"/>
  <c r="E32" i="9" s="1"/>
  <c r="B32" i="9" a="1"/>
  <c r="B32" i="9" s="1"/>
  <c r="D32" i="9" a="1"/>
  <c r="D32" i="9" s="1"/>
  <c r="C32" i="9" a="1"/>
  <c r="C32" i="9" s="1"/>
  <c r="J16" i="9" a="1"/>
  <c r="J16" i="9" s="1"/>
  <c r="I16" i="9" a="1"/>
  <c r="I16" i="9" s="1"/>
  <c r="H16" i="9" a="1"/>
  <c r="H16" i="9" s="1"/>
  <c r="G16" i="9" a="1"/>
  <c r="G16" i="9" s="1"/>
  <c r="F16" i="9" a="1"/>
  <c r="F16" i="9" s="1"/>
  <c r="E16" i="9" a="1"/>
  <c r="E16" i="9" s="1"/>
  <c r="C16" i="9" a="1"/>
  <c r="C16" i="9" s="1"/>
  <c r="B16" i="9" a="1"/>
  <c r="B16" i="9" s="1"/>
  <c r="D16" i="9" a="1"/>
  <c r="D16" i="9" s="1"/>
  <c r="G42" i="9" a="1"/>
  <c r="G42" i="9" s="1"/>
  <c r="F42" i="9" a="1"/>
  <c r="F42" i="9" s="1"/>
  <c r="I42" i="9" a="1"/>
  <c r="I42" i="9" s="1"/>
  <c r="H42" i="9" a="1"/>
  <c r="H42" i="9" s="1"/>
  <c r="J42" i="9" a="1"/>
  <c r="J42" i="9" s="1"/>
  <c r="D42" i="9" a="1"/>
  <c r="D42" i="9" s="1"/>
  <c r="C42" i="9" a="1"/>
  <c r="C42" i="9" s="1"/>
  <c r="B42" i="9" a="1"/>
  <c r="B42" i="9" s="1"/>
  <c r="E42" i="9" a="1"/>
  <c r="E42" i="9" s="1"/>
  <c r="L7" i="10"/>
  <c r="L11" i="10"/>
  <c r="N25" i="10"/>
  <c r="Y21" i="9" s="1" a="1"/>
  <c r="Y21" i="9" s="1"/>
  <c r="J15" i="9" a="1"/>
  <c r="J15" i="9" s="1"/>
  <c r="I15" i="9" a="1"/>
  <c r="I15" i="9" s="1"/>
  <c r="F15" i="9" a="1"/>
  <c r="F15" i="9" s="1"/>
  <c r="H15" i="9" a="1"/>
  <c r="H15" i="9" s="1"/>
  <c r="G15" i="9" a="1"/>
  <c r="G15" i="9" s="1"/>
  <c r="D15" i="9" a="1"/>
  <c r="D15" i="9" s="1"/>
  <c r="E15" i="9" a="1"/>
  <c r="E15" i="9" s="1"/>
  <c r="C15" i="9" a="1"/>
  <c r="C15" i="9" s="1"/>
  <c r="B15" i="9" a="1"/>
  <c r="B15" i="9" s="1"/>
  <c r="N29" i="10"/>
  <c r="X25" i="9" s="1" a="1"/>
  <c r="X25" i="9" s="1"/>
  <c r="I5" i="9" a="1"/>
  <c r="I5" i="9" s="1"/>
  <c r="H5" i="9" a="1"/>
  <c r="H5" i="9" s="1"/>
  <c r="D5" i="9" a="1"/>
  <c r="D5" i="9" s="1"/>
  <c r="G5" i="9" a="1"/>
  <c r="G5" i="9" s="1"/>
  <c r="F5" i="9" a="1"/>
  <c r="F5" i="9" s="1"/>
  <c r="C5" i="9" a="1"/>
  <c r="C5" i="9" s="1"/>
  <c r="B5" i="9" a="1"/>
  <c r="B5" i="9" s="1"/>
  <c r="J5" i="9" a="1"/>
  <c r="J5" i="9" s="1"/>
  <c r="E5" i="9" a="1"/>
  <c r="E5" i="9" s="1"/>
  <c r="M9" i="9" a="1"/>
  <c r="M9" i="9" s="1"/>
  <c r="M4" i="9" a="1"/>
  <c r="M4" i="9" s="1"/>
  <c r="N8" i="9" a="1"/>
  <c r="N8" i="9" s="1"/>
  <c r="G3" i="9" a="1"/>
  <c r="G3" i="9" s="1"/>
  <c r="J3" i="9" a="1"/>
  <c r="J3" i="9" s="1"/>
  <c r="I3" i="9" a="1"/>
  <c r="I3" i="9" s="1"/>
  <c r="H3" i="9" a="1"/>
  <c r="H3" i="9" s="1"/>
  <c r="F3" i="9" a="1"/>
  <c r="F3" i="9" s="1"/>
  <c r="E3" i="9" a="1"/>
  <c r="E3" i="9" s="1"/>
  <c r="D3" i="9" a="1"/>
  <c r="D3" i="9" s="1"/>
  <c r="C3" i="9" a="1"/>
  <c r="C3" i="9" s="1"/>
  <c r="B3" i="9" a="1"/>
  <c r="B3" i="9" s="1"/>
  <c r="L17" i="9" a="1"/>
  <c r="L17" i="9" s="1"/>
  <c r="O13" i="9" a="1"/>
  <c r="O13" i="9" s="1"/>
  <c r="O33" i="9" a="1"/>
  <c r="O33" i="9" s="1"/>
  <c r="K25" i="9" a="1"/>
  <c r="K25" i="9" s="1"/>
  <c r="L11" i="9" a="1"/>
  <c r="L11" i="9" s="1"/>
  <c r="K49" i="9" a="1"/>
  <c r="K49" i="9" s="1"/>
  <c r="M44" i="9" a="1"/>
  <c r="M44" i="9" s="1"/>
  <c r="L32" i="9" a="1"/>
  <c r="L32" i="9" s="1"/>
  <c r="N41" i="9" a="1"/>
  <c r="N41" i="9" s="1"/>
  <c r="AC39" i="9" a="1"/>
  <c r="AC39" i="9" s="1"/>
  <c r="AB39" i="9" a="1"/>
  <c r="AB39" i="9" s="1"/>
  <c r="AA39" i="9" a="1"/>
  <c r="AA39" i="9" s="1"/>
  <c r="Z39" i="9" a="1"/>
  <c r="Z39" i="9" s="1"/>
  <c r="AD39" i="9" a="1"/>
  <c r="AD39" i="9" s="1"/>
  <c r="AE39" i="9" a="1"/>
  <c r="AE39" i="9" s="1"/>
  <c r="AB43" i="9" a="1"/>
  <c r="AB43" i="9" s="1"/>
  <c r="AA43" i="9" a="1"/>
  <c r="AA43" i="9" s="1"/>
  <c r="Z43" i="9" a="1"/>
  <c r="Z43" i="9" s="1"/>
  <c r="AD43" i="9" a="1"/>
  <c r="AD43" i="9" s="1"/>
  <c r="AC43" i="9" a="1"/>
  <c r="AC43" i="9" s="1"/>
  <c r="AE43" i="9" a="1"/>
  <c r="AE43" i="9" s="1"/>
  <c r="G13" i="9" a="1"/>
  <c r="G13" i="9" s="1"/>
  <c r="F13" i="9" a="1"/>
  <c r="F13" i="9" s="1"/>
  <c r="J13" i="9" a="1"/>
  <c r="J13" i="9" s="1"/>
  <c r="I13" i="9" a="1"/>
  <c r="I13" i="9" s="1"/>
  <c r="H13" i="9" a="1"/>
  <c r="H13" i="9" s="1"/>
  <c r="C13" i="9" a="1"/>
  <c r="C13" i="9" s="1"/>
  <c r="E13" i="9" a="1"/>
  <c r="E13" i="9" s="1"/>
  <c r="D13" i="9" a="1"/>
  <c r="D13" i="9" s="1"/>
  <c r="B13" i="9" a="1"/>
  <c r="B13" i="9" s="1"/>
  <c r="AE36" i="9" a="1"/>
  <c r="AE36" i="9" s="1"/>
  <c r="AD36" i="9" a="1"/>
  <c r="AD36" i="9" s="1"/>
  <c r="AC36" i="9" a="1"/>
  <c r="AC36" i="9" s="1"/>
  <c r="AB36" i="9" a="1"/>
  <c r="AB36" i="9" s="1"/>
  <c r="AA36" i="9" a="1"/>
  <c r="AA36" i="9" s="1"/>
  <c r="Z36" i="9" a="1"/>
  <c r="Z36" i="9" s="1"/>
  <c r="I52" i="9" a="1"/>
  <c r="I52" i="9" s="1"/>
  <c r="H52" i="9" a="1"/>
  <c r="H52" i="9" s="1"/>
  <c r="G52" i="9" a="1"/>
  <c r="G52" i="9" s="1"/>
  <c r="F52" i="9" a="1"/>
  <c r="F52" i="9" s="1"/>
  <c r="J52" i="9" a="1"/>
  <c r="J52" i="9" s="1"/>
  <c r="B52" i="9" a="1"/>
  <c r="B52" i="9" s="1"/>
  <c r="D52" i="9" a="1"/>
  <c r="D52" i="9" s="1"/>
  <c r="C52" i="9" a="1"/>
  <c r="C52" i="9" s="1"/>
  <c r="E52" i="9" a="1"/>
  <c r="E52" i="9" s="1"/>
  <c r="R16" i="9" a="1"/>
  <c r="R16" i="9" s="1"/>
  <c r="Q16" i="9" a="1"/>
  <c r="Q16" i="9" s="1"/>
  <c r="P16" i="9" a="1"/>
  <c r="P16" i="9" s="1"/>
  <c r="S16" i="9" a="1"/>
  <c r="S16" i="9" s="1"/>
  <c r="T16" i="9" a="1"/>
  <c r="T16" i="9" s="1"/>
  <c r="L4" i="9" a="1"/>
  <c r="L4" i="9" s="1"/>
  <c r="O25" i="9" a="1"/>
  <c r="O25" i="9" s="1"/>
  <c r="K11" i="9" a="1"/>
  <c r="K11" i="9" s="1"/>
  <c r="L44" i="9" a="1"/>
  <c r="L44" i="9" s="1"/>
  <c r="O16" i="9" a="1"/>
  <c r="O16" i="9" s="1"/>
  <c r="H48" i="9" a="1"/>
  <c r="H48" i="9" s="1"/>
  <c r="G48" i="9" a="1"/>
  <c r="G48" i="9" s="1"/>
  <c r="F48" i="9" a="1"/>
  <c r="F48" i="9" s="1"/>
  <c r="J48" i="9" a="1"/>
  <c r="J48" i="9" s="1"/>
  <c r="I48" i="9" a="1"/>
  <c r="I48" i="9" s="1"/>
  <c r="D48" i="9" a="1"/>
  <c r="D48" i="9" s="1"/>
  <c r="E48" i="9" a="1"/>
  <c r="E48" i="9" s="1"/>
  <c r="C48" i="9" a="1"/>
  <c r="C48" i="9" s="1"/>
  <c r="B48" i="9" a="1"/>
  <c r="B48" i="9" s="1"/>
  <c r="L33" i="10"/>
  <c r="T45" i="10"/>
  <c r="T29" i="10"/>
  <c r="T39" i="9" a="1"/>
  <c r="T39" i="9" s="1"/>
  <c r="S39" i="9" a="1"/>
  <c r="S39" i="9" s="1"/>
  <c r="R39" i="9" a="1"/>
  <c r="R39" i="9" s="1"/>
  <c r="Q39" i="9" a="1"/>
  <c r="Q39" i="9" s="1"/>
  <c r="P39" i="9" a="1"/>
  <c r="P39" i="9" s="1"/>
  <c r="T19" i="9" a="1"/>
  <c r="T19" i="9" s="1"/>
  <c r="S19" i="9" a="1"/>
  <c r="S19" i="9" s="1"/>
  <c r="R19" i="9" a="1"/>
  <c r="R19" i="9" s="1"/>
  <c r="Q19" i="9" a="1"/>
  <c r="Q19" i="9" s="1"/>
  <c r="P19" i="9" a="1"/>
  <c r="P19" i="9" s="1"/>
  <c r="O28" i="10"/>
  <c r="N28" i="10" s="1"/>
  <c r="O8" i="10"/>
  <c r="N8" i="10" s="1"/>
  <c r="L24" i="10"/>
  <c r="I9" i="9" a="1"/>
  <c r="I9" i="9" s="1"/>
  <c r="H9" i="9" a="1"/>
  <c r="H9" i="9" s="1"/>
  <c r="D9" i="9" a="1"/>
  <c r="D9" i="9" s="1"/>
  <c r="G9" i="9" a="1"/>
  <c r="G9" i="9" s="1"/>
  <c r="F9" i="9" a="1"/>
  <c r="F9" i="9" s="1"/>
  <c r="C9" i="9" a="1"/>
  <c r="C9" i="9" s="1"/>
  <c r="J9" i="9" a="1"/>
  <c r="J9" i="9" s="1"/>
  <c r="B9" i="9" a="1"/>
  <c r="B9" i="9" s="1"/>
  <c r="E9" i="9" a="1"/>
  <c r="E9" i="9" s="1"/>
  <c r="G45" i="9" a="1"/>
  <c r="G45" i="9" s="1"/>
  <c r="F45" i="9" a="1"/>
  <c r="F45" i="9" s="1"/>
  <c r="J45" i="9" a="1"/>
  <c r="J45" i="9" s="1"/>
  <c r="I45" i="9" a="1"/>
  <c r="I45" i="9" s="1"/>
  <c r="H45" i="9" a="1"/>
  <c r="H45" i="9" s="1"/>
  <c r="B45" i="9" a="1"/>
  <c r="B45" i="9" s="1"/>
  <c r="D45" i="9" a="1"/>
  <c r="D45" i="9" s="1"/>
  <c r="C45" i="9" a="1"/>
  <c r="C45" i="9" s="1"/>
  <c r="E45" i="9" a="1"/>
  <c r="E45" i="9" s="1"/>
  <c r="L9" i="10"/>
  <c r="Y5" i="9" a="1"/>
  <c r="Y5" i="9" s="1"/>
  <c r="X5" i="9" a="1"/>
  <c r="X5" i="9" s="1"/>
  <c r="W5" i="9" a="1"/>
  <c r="W5" i="9" s="1"/>
  <c r="V5" i="9" a="1"/>
  <c r="V5" i="9" s="1"/>
  <c r="U5" i="9" a="1"/>
  <c r="U5" i="9" s="1"/>
  <c r="J35" i="9" a="1"/>
  <c r="J35" i="9" s="1"/>
  <c r="I35" i="9" a="1"/>
  <c r="I35" i="9" s="1"/>
  <c r="H35" i="9" a="1"/>
  <c r="H35" i="9" s="1"/>
  <c r="G35" i="9" a="1"/>
  <c r="G35" i="9" s="1"/>
  <c r="F35" i="9" a="1"/>
  <c r="F35" i="9" s="1"/>
  <c r="E35" i="9" a="1"/>
  <c r="E35" i="9" s="1"/>
  <c r="D35" i="9" a="1"/>
  <c r="D35" i="9" s="1"/>
  <c r="C35" i="9" a="1"/>
  <c r="C35" i="9" s="1"/>
  <c r="B35" i="9" a="1"/>
  <c r="B35" i="9" s="1"/>
  <c r="N9" i="9" a="1"/>
  <c r="N9" i="9" s="1"/>
  <c r="N4" i="9" a="1"/>
  <c r="N4" i="9" s="1"/>
  <c r="O39" i="9" a="1"/>
  <c r="O39" i="9" s="1"/>
  <c r="O8" i="9" a="1"/>
  <c r="O8" i="9" s="1"/>
  <c r="M36" i="9" a="1"/>
  <c r="M36" i="9" s="1"/>
  <c r="O40" i="9" a="1"/>
  <c r="O40" i="9" s="1"/>
  <c r="M17" i="9" a="1"/>
  <c r="M17" i="9" s="1"/>
  <c r="K13" i="9" a="1"/>
  <c r="K13" i="9" s="1"/>
  <c r="K33" i="9" a="1"/>
  <c r="K33" i="9" s="1"/>
  <c r="M25" i="9" a="1"/>
  <c r="M25" i="9" s="1"/>
  <c r="M11" i="9" a="1"/>
  <c r="M11" i="9" s="1"/>
  <c r="L49" i="9" a="1"/>
  <c r="L49" i="9" s="1"/>
  <c r="N44" i="9" a="1"/>
  <c r="N44" i="9" s="1"/>
  <c r="K32" i="9" a="1"/>
  <c r="K32" i="9" s="1"/>
  <c r="Y16" i="9" a="1"/>
  <c r="Y16" i="9" s="1"/>
  <c r="X16" i="9" a="1"/>
  <c r="X16" i="9" s="1"/>
  <c r="W16" i="9" a="1"/>
  <c r="W16" i="9" s="1"/>
  <c r="V16" i="9" a="1"/>
  <c r="V16" i="9" s="1"/>
  <c r="U16" i="9" a="1"/>
  <c r="U16" i="9" s="1"/>
  <c r="N19" i="9" a="1"/>
  <c r="N19" i="9" s="1"/>
  <c r="O41" i="9" a="1"/>
  <c r="O41" i="9" s="1"/>
  <c r="L16" i="10"/>
  <c r="T53" i="10"/>
  <c r="R49" i="10"/>
  <c r="T49" i="10"/>
  <c r="V53" i="10"/>
  <c r="R41" i="10"/>
  <c r="R45" i="10"/>
  <c r="R37" i="10"/>
  <c r="R17" i="10"/>
  <c r="L32" i="10"/>
  <c r="O53" i="10"/>
  <c r="N53" i="10" s="1"/>
  <c r="R53" i="10"/>
  <c r="R29" i="10"/>
  <c r="R9" i="10"/>
  <c r="W49" i="10"/>
  <c r="V49" i="10" s="1"/>
  <c r="O41" i="10"/>
  <c r="N41" i="10"/>
  <c r="U37" i="9" s="1" a="1"/>
  <c r="U37" i="9" s="1"/>
  <c r="T17" i="10"/>
  <c r="W55" i="10"/>
  <c r="V55" i="10" s="1"/>
  <c r="O19" i="10"/>
  <c r="N19" i="10" s="1"/>
  <c r="V15" i="9" s="1" a="1"/>
  <c r="V15" i="9" s="1"/>
  <c r="O46" i="10"/>
  <c r="N46" i="10" s="1"/>
  <c r="U42" i="9" s="1" a="1"/>
  <c r="U42" i="9" s="1"/>
  <c r="T55" i="10"/>
  <c r="O31" i="10"/>
  <c r="N31" i="10" s="1"/>
  <c r="V27" i="9" s="1" a="1"/>
  <c r="V27" i="9" s="1"/>
  <c r="O35" i="10"/>
  <c r="N35" i="10" s="1"/>
  <c r="Y31" i="9" s="1" a="1"/>
  <c r="Y31" i="9" s="1"/>
  <c r="M34" i="10"/>
  <c r="U42" i="10"/>
  <c r="T42" i="10" s="1"/>
  <c r="O55" i="10"/>
  <c r="N55" i="10"/>
  <c r="M22" i="10"/>
  <c r="M26" i="10"/>
  <c r="W34" i="10"/>
  <c r="V34" i="10" s="1"/>
  <c r="L19" i="10"/>
  <c r="W44" i="10"/>
  <c r="V44" i="10" s="1"/>
  <c r="K58" i="10"/>
  <c r="M30" i="10"/>
  <c r="M10" i="10"/>
  <c r="L10" i="10" s="1"/>
  <c r="O42" i="10"/>
  <c r="N42" i="10" s="1"/>
  <c r="W38" i="9" s="1" a="1"/>
  <c r="W38" i="9" s="1"/>
  <c r="U54" i="10"/>
  <c r="T54" i="10" s="1"/>
  <c r="W47" i="10"/>
  <c r="V47" i="10" s="1"/>
  <c r="W38" i="10"/>
  <c r="V38" i="10" s="1"/>
  <c r="M14" i="10"/>
  <c r="M18" i="10"/>
  <c r="L18" i="10"/>
  <c r="W6" i="10"/>
  <c r="V6" i="10" s="1"/>
  <c r="O50" i="10"/>
  <c r="N50" i="10" s="1"/>
  <c r="V46" i="9" s="1" a="1"/>
  <c r="V46" i="9" s="1"/>
  <c r="O39" i="10"/>
  <c r="N39" i="10" s="1"/>
  <c r="U35" i="9" s="1" a="1"/>
  <c r="U35" i="9" s="1"/>
  <c r="W56" i="10"/>
  <c r="V56" i="10" s="1"/>
  <c r="O23" i="10"/>
  <c r="N23" i="10" s="1"/>
  <c r="U19" i="9" s="1" a="1"/>
  <c r="U19" i="9" s="1"/>
  <c r="O56" i="10"/>
  <c r="N56" i="10"/>
  <c r="W52" i="9" s="1" a="1"/>
  <c r="W52" i="9" s="1"/>
  <c r="T47" i="10"/>
  <c r="W26" i="10"/>
  <c r="V26" i="10" s="1"/>
  <c r="W30" i="10"/>
  <c r="V30" i="10" s="1"/>
  <c r="O15" i="10"/>
  <c r="N15" i="10" s="1"/>
  <c r="V11" i="9" s="1" a="1"/>
  <c r="V11" i="9" s="1"/>
  <c r="W51" i="10"/>
  <c r="V51" i="10" s="1"/>
  <c r="W36" i="10"/>
  <c r="V36" i="10" s="1"/>
  <c r="W18" i="10"/>
  <c r="V18" i="10" s="1"/>
  <c r="O27" i="10"/>
  <c r="N27" i="10" s="1"/>
  <c r="V23" i="9" s="1" a="1"/>
  <c r="V23" i="9" s="1"/>
  <c r="T44" i="10"/>
  <c r="O7" i="10"/>
  <c r="N7" i="10" s="1"/>
  <c r="M38" i="10"/>
  <c r="L38" i="10" s="1"/>
  <c r="N34" i="9" s="1" a="1"/>
  <c r="N34" i="9" s="1"/>
  <c r="W10" i="10"/>
  <c r="V10" i="10" s="1"/>
  <c r="O54" i="10"/>
  <c r="N54" i="10" s="1"/>
  <c r="Y50" i="9" s="1" a="1"/>
  <c r="Y50" i="9" s="1"/>
  <c r="U46" i="10"/>
  <c r="T46" i="10" s="1"/>
  <c r="O11" i="10"/>
  <c r="N11" i="10" s="1"/>
  <c r="W40" i="10"/>
  <c r="V40" i="10" s="1"/>
  <c r="T40" i="10"/>
  <c r="W43" i="10"/>
  <c r="V43" i="10" s="1"/>
  <c r="L31" i="10"/>
  <c r="W14" i="10"/>
  <c r="V14" i="10" s="1"/>
  <c r="T51" i="10"/>
  <c r="L35" i="10"/>
  <c r="J34" i="10"/>
  <c r="R42" i="10"/>
  <c r="W22" i="10"/>
  <c r="V22" i="10" s="1"/>
  <c r="U50" i="10"/>
  <c r="T50" i="10" s="1"/>
  <c r="L55" i="10"/>
  <c r="J22" i="10"/>
  <c r="W12" i="10"/>
  <c r="V12" i="10" s="1"/>
  <c r="R54" i="10"/>
  <c r="J26" i="10"/>
  <c r="T34" i="10"/>
  <c r="X4" i="9" l="1" a="1"/>
  <c r="X4" i="9" s="1"/>
  <c r="W4" i="9" a="1"/>
  <c r="W4" i="9" s="1"/>
  <c r="Y4" i="9" a="1"/>
  <c r="Y4" i="9" s="1"/>
  <c r="W7" i="9" a="1"/>
  <c r="W7" i="9" s="1"/>
  <c r="U7" i="9" a="1"/>
  <c r="U7" i="9" s="1"/>
  <c r="U31" i="9" a="1"/>
  <c r="U31" i="9" s="1"/>
  <c r="X17" i="9" a="1"/>
  <c r="X17" i="9" s="1"/>
  <c r="Y46" i="9" a="1"/>
  <c r="Y46" i="9" s="1"/>
  <c r="U50" i="9" a="1"/>
  <c r="U50" i="9" s="1"/>
  <c r="V12" i="9" a="1"/>
  <c r="V12" i="9" s="1"/>
  <c r="Y48" i="9" a="1"/>
  <c r="Y48" i="9" s="1"/>
  <c r="Y17" i="9" a="1"/>
  <c r="Y17" i="9" s="1"/>
  <c r="X46" i="9" a="1"/>
  <c r="X46" i="9" s="1"/>
  <c r="X21" i="9" a="1"/>
  <c r="X21" i="9" s="1"/>
  <c r="X50" i="9" a="1"/>
  <c r="X50" i="9" s="1"/>
  <c r="W12" i="9" a="1"/>
  <c r="W12" i="9" s="1"/>
  <c r="Y27" i="9" a="1"/>
  <c r="Y27" i="9" s="1"/>
  <c r="U48" i="9" a="1"/>
  <c r="U48" i="9" s="1"/>
  <c r="U17" i="9" a="1"/>
  <c r="U17" i="9" s="1"/>
  <c r="W46" i="9" a="1"/>
  <c r="W46" i="9" s="1"/>
  <c r="W19" i="9" a="1"/>
  <c r="W19" i="9" s="1"/>
  <c r="W27" i="9" a="1"/>
  <c r="W27" i="9" s="1"/>
  <c r="V48" i="9" a="1"/>
  <c r="V48" i="9" s="1"/>
  <c r="V19" i="9" a="1"/>
  <c r="V19" i="9" s="1"/>
  <c r="Y11" i="9" a="1"/>
  <c r="Y11" i="9" s="1"/>
  <c r="W48" i="9" a="1"/>
  <c r="W48" i="9" s="1"/>
  <c r="V41" i="9" a="1"/>
  <c r="V41" i="9" s="1"/>
  <c r="U45" i="9" a="1"/>
  <c r="U45" i="9" s="1"/>
  <c r="U11" i="9" a="1"/>
  <c r="U11" i="9" s="1"/>
  <c r="X23" i="9" a="1"/>
  <c r="X23" i="9" s="1"/>
  <c r="X33" i="9" a="1"/>
  <c r="X33" i="9" s="1"/>
  <c r="V45" i="9" a="1"/>
  <c r="V45" i="9" s="1"/>
  <c r="X11" i="9" a="1"/>
  <c r="X11" i="9" s="1"/>
  <c r="S6" i="9" a="1"/>
  <c r="S6" i="9" s="1"/>
  <c r="R6" i="9" a="1"/>
  <c r="R6" i="9" s="1"/>
  <c r="Q6" i="9" a="1"/>
  <c r="Q6" i="9" s="1"/>
  <c r="P6" i="9" a="1"/>
  <c r="P6" i="9" s="1"/>
  <c r="T6" i="9" a="1"/>
  <c r="T6" i="9" s="1"/>
  <c r="O6" i="9" a="1"/>
  <c r="O6" i="9" s="1"/>
  <c r="L6" i="9" a="1"/>
  <c r="L6" i="9" s="1"/>
  <c r="K6" i="9" a="1"/>
  <c r="K6" i="9" s="1"/>
  <c r="M6" i="9" a="1"/>
  <c r="M6" i="9" s="1"/>
  <c r="N6" i="9" a="1"/>
  <c r="N6" i="9" s="1"/>
  <c r="AE49" i="9" a="1"/>
  <c r="AE49" i="9" s="1"/>
  <c r="AD49" i="9" a="1"/>
  <c r="AD49" i="9" s="1"/>
  <c r="AC49" i="9" a="1"/>
  <c r="AC49" i="9" s="1"/>
  <c r="AB49" i="9" a="1"/>
  <c r="AB49" i="9" s="1"/>
  <c r="Z49" i="9" a="1"/>
  <c r="Z49" i="9" s="1"/>
  <c r="AA49" i="9" a="1"/>
  <c r="AA49" i="9" s="1"/>
  <c r="Y49" i="9" a="1"/>
  <c r="Y49" i="9" s="1"/>
  <c r="X49" i="9" a="1"/>
  <c r="X49" i="9" s="1"/>
  <c r="W49" i="9" a="1"/>
  <c r="W49" i="9" s="1"/>
  <c r="V49" i="9" a="1"/>
  <c r="V49" i="9" s="1"/>
  <c r="U49" i="9" a="1"/>
  <c r="U49" i="9" s="1"/>
  <c r="AB28" i="9" a="1"/>
  <c r="AB28" i="9" s="1"/>
  <c r="AA28" i="9" a="1"/>
  <c r="AA28" i="9" s="1"/>
  <c r="AE28" i="9" a="1"/>
  <c r="AE28" i="9" s="1"/>
  <c r="AC28" i="9" a="1"/>
  <c r="AC28" i="9" s="1"/>
  <c r="AD28" i="9" a="1"/>
  <c r="AD28" i="9" s="1"/>
  <c r="Z28" i="9" a="1"/>
  <c r="Z28" i="9" s="1"/>
  <c r="W28" i="9" a="1"/>
  <c r="W28" i="9" s="1"/>
  <c r="V28" i="9" a="1"/>
  <c r="V28" i="9" s="1"/>
  <c r="U28" i="9" a="1"/>
  <c r="U28" i="9" s="1"/>
  <c r="X28" i="9" a="1"/>
  <c r="X28" i="9" s="1"/>
  <c r="Y28" i="9" a="1"/>
  <c r="Y28" i="9" s="1"/>
  <c r="AE24" i="9" a="1"/>
  <c r="AE24" i="9" s="1"/>
  <c r="AC24" i="9" a="1"/>
  <c r="AC24" i="9" s="1"/>
  <c r="AB24" i="9" a="1"/>
  <c r="AB24" i="9" s="1"/>
  <c r="Z24" i="9" a="1"/>
  <c r="Z24" i="9" s="1"/>
  <c r="AD24" i="9" a="1"/>
  <c r="AD24" i="9" s="1"/>
  <c r="AA24" i="9" a="1"/>
  <c r="AA24" i="9" s="1"/>
  <c r="U24" i="9" a="1"/>
  <c r="U24" i="9" s="1"/>
  <c r="V24" i="9" a="1"/>
  <c r="V24" i="9" s="1"/>
  <c r="Y24" i="9" a="1"/>
  <c r="Y24" i="9" s="1"/>
  <c r="X24" i="9" a="1"/>
  <c r="X24" i="9" s="1"/>
  <c r="W24" i="9" a="1"/>
  <c r="W24" i="9" s="1"/>
  <c r="AE47" i="9" a="1"/>
  <c r="AE47" i="9" s="1"/>
  <c r="AD47" i="9" a="1"/>
  <c r="AD47" i="9" s="1"/>
  <c r="AC47" i="9" a="1"/>
  <c r="AC47" i="9" s="1"/>
  <c r="AB47" i="9" a="1"/>
  <c r="AB47" i="9" s="1"/>
  <c r="AA47" i="9" a="1"/>
  <c r="AA47" i="9" s="1"/>
  <c r="Z47" i="9" a="1"/>
  <c r="Z47" i="9" s="1"/>
  <c r="W47" i="9" a="1"/>
  <c r="W47" i="9" s="1"/>
  <c r="V47" i="9" a="1"/>
  <c r="V47" i="9" s="1"/>
  <c r="U47" i="9" a="1"/>
  <c r="U47" i="9" s="1"/>
  <c r="Y47" i="9" a="1"/>
  <c r="Y47" i="9" s="1"/>
  <c r="X47" i="9" a="1"/>
  <c r="X47" i="9" s="1"/>
  <c r="AC3" i="9" a="1"/>
  <c r="AC3" i="9" s="1"/>
  <c r="AB3" i="9" a="1"/>
  <c r="AB3" i="9" s="1"/>
  <c r="AA3" i="9" a="1"/>
  <c r="AA3" i="9" s="1"/>
  <c r="Z3" i="9" a="1"/>
  <c r="Z3" i="9" s="1"/>
  <c r="AE3" i="9" a="1"/>
  <c r="AE3" i="9" s="1"/>
  <c r="AD3" i="9" a="1"/>
  <c r="AD3" i="9" s="1"/>
  <c r="U3" i="9" a="1"/>
  <c r="U3" i="9" s="1"/>
  <c r="X3" i="9" a="1"/>
  <c r="X3" i="9" s="1"/>
  <c r="Y3" i="9" a="1"/>
  <c r="Y3" i="9" s="1"/>
  <c r="W3" i="9" a="1"/>
  <c r="W3" i="9" s="1"/>
  <c r="V3" i="9" a="1"/>
  <c r="V3" i="9" s="1"/>
  <c r="T14" i="9" a="1"/>
  <c r="T14" i="9" s="1"/>
  <c r="S14" i="9" a="1"/>
  <c r="S14" i="9" s="1"/>
  <c r="R14" i="9" a="1"/>
  <c r="R14" i="9" s="1"/>
  <c r="Q14" i="9" a="1"/>
  <c r="Q14" i="9" s="1"/>
  <c r="P14" i="9" a="1"/>
  <c r="P14" i="9" s="1"/>
  <c r="H30" i="9" a="1"/>
  <c r="H30" i="9" s="1"/>
  <c r="F30" i="9" a="1"/>
  <c r="F30" i="9" s="1"/>
  <c r="I30" i="9" a="1"/>
  <c r="I30" i="9" s="1"/>
  <c r="G30" i="9" a="1"/>
  <c r="G30" i="9" s="1"/>
  <c r="J30" i="9" a="1"/>
  <c r="J30" i="9" s="1"/>
  <c r="E30" i="9" a="1"/>
  <c r="E30" i="9" s="1"/>
  <c r="B30" i="9" a="1"/>
  <c r="B30" i="9" s="1"/>
  <c r="D30" i="9" a="1"/>
  <c r="D30" i="9" s="1"/>
  <c r="C30" i="9" a="1"/>
  <c r="C30" i="9" s="1"/>
  <c r="L34" i="10"/>
  <c r="W15" i="9" a="1"/>
  <c r="W15" i="9" s="1"/>
  <c r="I14" i="9" a="1"/>
  <c r="I14" i="9" s="1"/>
  <c r="H14" i="9" a="1"/>
  <c r="H14" i="9" s="1"/>
  <c r="G14" i="9" a="1"/>
  <c r="G14" i="9" s="1"/>
  <c r="F14" i="9" a="1"/>
  <c r="F14" i="9" s="1"/>
  <c r="J14" i="9" a="1"/>
  <c r="J14" i="9" s="1"/>
  <c r="E14" i="9" a="1"/>
  <c r="E14" i="9" s="1"/>
  <c r="D14" i="9" a="1"/>
  <c r="D14" i="9" s="1"/>
  <c r="C14" i="9" a="1"/>
  <c r="C14" i="9" s="1"/>
  <c r="B14" i="9" a="1"/>
  <c r="B14" i="9" s="1"/>
  <c r="M34" i="9" a="1"/>
  <c r="M34" i="9" s="1"/>
  <c r="V35" i="9" a="1"/>
  <c r="V35" i="9" s="1"/>
  <c r="S15" i="9" a="1"/>
  <c r="S15" i="9" s="1"/>
  <c r="R15" i="9" a="1"/>
  <c r="R15" i="9" s="1"/>
  <c r="Q15" i="9" a="1"/>
  <c r="Q15" i="9" s="1"/>
  <c r="P15" i="9" a="1"/>
  <c r="P15" i="9" s="1"/>
  <c r="T15" i="9" a="1"/>
  <c r="T15" i="9" s="1"/>
  <c r="N15" i="9" a="1"/>
  <c r="N15" i="9" s="1"/>
  <c r="M15" i="9" a="1"/>
  <c r="M15" i="9" s="1"/>
  <c r="L15" i="9" a="1"/>
  <c r="L15" i="9" s="1"/>
  <c r="K15" i="9" a="1"/>
  <c r="K15" i="9" s="1"/>
  <c r="O15" i="9" a="1"/>
  <c r="O15" i="9" s="1"/>
  <c r="P51" i="9" a="1"/>
  <c r="P51" i="9" s="1"/>
  <c r="T51" i="9" a="1"/>
  <c r="T51" i="9" s="1"/>
  <c r="S51" i="9" a="1"/>
  <c r="S51" i="9" s="1"/>
  <c r="R51" i="9" a="1"/>
  <c r="R51" i="9" s="1"/>
  <c r="Q51" i="9" a="1"/>
  <c r="Q51" i="9" s="1"/>
  <c r="O51" i="9" a="1"/>
  <c r="O51" i="9" s="1"/>
  <c r="N51" i="9" a="1"/>
  <c r="N51" i="9" s="1"/>
  <c r="M51" i="9" a="1"/>
  <c r="M51" i="9" s="1"/>
  <c r="L51" i="9" a="1"/>
  <c r="L51" i="9" s="1"/>
  <c r="K51" i="9" a="1"/>
  <c r="K51" i="9" s="1"/>
  <c r="AE50" i="9" a="1"/>
  <c r="AE50" i="9" s="1"/>
  <c r="AD50" i="9" a="1"/>
  <c r="AD50" i="9" s="1"/>
  <c r="AC50" i="9" a="1"/>
  <c r="AC50" i="9" s="1"/>
  <c r="AB50" i="9" a="1"/>
  <c r="AB50" i="9" s="1"/>
  <c r="AA50" i="9" a="1"/>
  <c r="AA50" i="9" s="1"/>
  <c r="Z50" i="9" a="1"/>
  <c r="Z50" i="9" s="1"/>
  <c r="L26" i="10"/>
  <c r="V4" i="9" a="1"/>
  <c r="V4" i="9" s="1"/>
  <c r="X27" i="9" a="1"/>
  <c r="X27" i="9" s="1"/>
  <c r="AD25" i="9" a="1"/>
  <c r="AD25" i="9" s="1"/>
  <c r="AB25" i="9" a="1"/>
  <c r="AB25" i="9" s="1"/>
  <c r="AE25" i="9" a="1"/>
  <c r="AE25" i="9" s="1"/>
  <c r="Z25" i="9" a="1"/>
  <c r="Z25" i="9" s="1"/>
  <c r="AC25" i="9" a="1"/>
  <c r="AC25" i="9" s="1"/>
  <c r="AA25" i="9" a="1"/>
  <c r="AA25" i="9" s="1"/>
  <c r="X7" i="9" a="1"/>
  <c r="X7" i="9" s="1"/>
  <c r="T3" i="9" a="1"/>
  <c r="T3" i="9" s="1"/>
  <c r="S3" i="9" a="1"/>
  <c r="S3" i="9" s="1"/>
  <c r="R3" i="9" a="1"/>
  <c r="R3" i="9" s="1"/>
  <c r="P3" i="9" a="1"/>
  <c r="P3" i="9" s="1"/>
  <c r="Q3" i="9" a="1"/>
  <c r="Q3" i="9" s="1"/>
  <c r="M3" i="9" a="1"/>
  <c r="M3" i="9" s="1"/>
  <c r="O3" i="9" a="1"/>
  <c r="O3" i="9" s="1"/>
  <c r="K3" i="9" a="1"/>
  <c r="K3" i="9" s="1"/>
  <c r="N3" i="9" a="1"/>
  <c r="N3" i="9" s="1"/>
  <c r="L3" i="9" a="1"/>
  <c r="L3" i="9" s="1"/>
  <c r="W37" i="9" a="1"/>
  <c r="W37" i="9" s="1"/>
  <c r="O14" i="9" a="1"/>
  <c r="O14" i="9" s="1"/>
  <c r="Y23" i="9" a="1"/>
  <c r="Y23" i="9" s="1"/>
  <c r="X31" i="9" a="1"/>
  <c r="X31" i="9" s="1"/>
  <c r="AE17" i="9" a="1"/>
  <c r="AE17" i="9" s="1"/>
  <c r="AD17" i="9" a="1"/>
  <c r="AD17" i="9" s="1"/>
  <c r="AC17" i="9" a="1"/>
  <c r="AC17" i="9" s="1"/>
  <c r="AB17" i="9" a="1"/>
  <c r="AB17" i="9" s="1"/>
  <c r="AA17" i="9" a="1"/>
  <c r="AA17" i="9" s="1"/>
  <c r="Z17" i="9" a="1"/>
  <c r="Z17" i="9" s="1"/>
  <c r="W33" i="9" a="1"/>
  <c r="W33" i="9" s="1"/>
  <c r="W21" i="9" a="1"/>
  <c r="W21" i="9" s="1"/>
  <c r="L34" i="9" a="1"/>
  <c r="L34" i="9" s="1"/>
  <c r="Y38" i="9" a="1"/>
  <c r="Y38" i="9" s="1"/>
  <c r="Y35" i="9" a="1"/>
  <c r="Y35" i="9" s="1"/>
  <c r="V25" i="9" a="1"/>
  <c r="V25" i="9" s="1"/>
  <c r="S35" i="9" a="1"/>
  <c r="S35" i="9" s="1"/>
  <c r="R35" i="9" a="1"/>
  <c r="R35" i="9" s="1"/>
  <c r="Q35" i="9" a="1"/>
  <c r="Q35" i="9" s="1"/>
  <c r="P35" i="9" a="1"/>
  <c r="P35" i="9" s="1"/>
  <c r="T35" i="9" a="1"/>
  <c r="T35" i="9" s="1"/>
  <c r="L35" i="9" a="1"/>
  <c r="L35" i="9" s="1"/>
  <c r="O35" i="9" a="1"/>
  <c r="O35" i="9" s="1"/>
  <c r="M35" i="9" a="1"/>
  <c r="M35" i="9" s="1"/>
  <c r="N35" i="9" a="1"/>
  <c r="N35" i="9" s="1"/>
  <c r="K35" i="9" a="1"/>
  <c r="K35" i="9" s="1"/>
  <c r="AE51" i="9" a="1"/>
  <c r="AE51" i="9" s="1"/>
  <c r="AD51" i="9" a="1"/>
  <c r="AD51" i="9" s="1"/>
  <c r="AC51" i="9" a="1"/>
  <c r="AC51" i="9" s="1"/>
  <c r="AB51" i="9" a="1"/>
  <c r="AB51" i="9" s="1"/>
  <c r="AA51" i="9" a="1"/>
  <c r="AA51" i="9" s="1"/>
  <c r="Z51" i="9" a="1"/>
  <c r="Z51" i="9" s="1"/>
  <c r="W42" i="9" a="1"/>
  <c r="W42" i="9" s="1"/>
  <c r="Y51" i="9" a="1"/>
  <c r="Y51" i="9" s="1"/>
  <c r="P52" i="9" a="1"/>
  <c r="P52" i="9" s="1"/>
  <c r="T52" i="9" a="1"/>
  <c r="T52" i="9" s="1"/>
  <c r="S52" i="9" a="1"/>
  <c r="S52" i="9" s="1"/>
  <c r="R52" i="9" a="1"/>
  <c r="R52" i="9" s="1"/>
  <c r="Q52" i="9" a="1"/>
  <c r="Q52" i="9" s="1"/>
  <c r="M52" i="9" a="1"/>
  <c r="M52" i="9" s="1"/>
  <c r="K52" i="9" a="1"/>
  <c r="K52" i="9" s="1"/>
  <c r="O52" i="9" a="1"/>
  <c r="O52" i="9" s="1"/>
  <c r="N52" i="9" a="1"/>
  <c r="N52" i="9" s="1"/>
  <c r="L52" i="9" a="1"/>
  <c r="L52" i="9" s="1"/>
  <c r="E6" i="9" a="1"/>
  <c r="E6" i="9" s="1"/>
  <c r="J6" i="9" a="1"/>
  <c r="J6" i="9" s="1"/>
  <c r="I6" i="9" a="1"/>
  <c r="I6" i="9" s="1"/>
  <c r="H6" i="9" a="1"/>
  <c r="H6" i="9" s="1"/>
  <c r="F6" i="9" a="1"/>
  <c r="F6" i="9" s="1"/>
  <c r="G6" i="9" a="1"/>
  <c r="G6" i="9" s="1"/>
  <c r="D6" i="9" a="1"/>
  <c r="D6" i="9" s="1"/>
  <c r="B6" i="9" a="1"/>
  <c r="B6" i="9" s="1"/>
  <c r="C6" i="9" a="1"/>
  <c r="C6" i="9" s="1"/>
  <c r="AA19" i="9" a="1"/>
  <c r="AA19" i="9" s="1"/>
  <c r="Z19" i="9" a="1"/>
  <c r="Z19" i="9" s="1"/>
  <c r="AE19" i="9" a="1"/>
  <c r="AE19" i="9" s="1"/>
  <c r="AD19" i="9" a="1"/>
  <c r="AD19" i="9" s="1"/>
  <c r="AC19" i="9" a="1"/>
  <c r="AC19" i="9" s="1"/>
  <c r="AB19" i="9" a="1"/>
  <c r="AB19" i="9" s="1"/>
  <c r="L14" i="10"/>
  <c r="V42" i="9" a="1"/>
  <c r="V42" i="9" s="1"/>
  <c r="S29" i="9" a="1"/>
  <c r="S29" i="9" s="1"/>
  <c r="R29" i="9" a="1"/>
  <c r="R29" i="9" s="1"/>
  <c r="P29" i="9" a="1"/>
  <c r="P29" i="9" s="1"/>
  <c r="T29" i="9" a="1"/>
  <c r="T29" i="9" s="1"/>
  <c r="Q29" i="9" a="1"/>
  <c r="Q29" i="9" s="1"/>
  <c r="K29" i="9" a="1"/>
  <c r="K29" i="9" s="1"/>
  <c r="N29" i="9" a="1"/>
  <c r="N29" i="9" s="1"/>
  <c r="L29" i="9" a="1"/>
  <c r="L29" i="9" s="1"/>
  <c r="M29" i="9" a="1"/>
  <c r="M29" i="9" s="1"/>
  <c r="O29" i="9" a="1"/>
  <c r="O29" i="9" s="1"/>
  <c r="U27" i="9" a="1"/>
  <c r="U27" i="9" s="1"/>
  <c r="U15" i="9" a="1"/>
  <c r="U15" i="9" s="1"/>
  <c r="T24" i="9" a="1"/>
  <c r="T24" i="9" s="1"/>
  <c r="S24" i="9" a="1"/>
  <c r="S24" i="9" s="1"/>
  <c r="Q24" i="9" a="1"/>
  <c r="Q24" i="9" s="1"/>
  <c r="R24" i="9" a="1"/>
  <c r="R24" i="9" s="1"/>
  <c r="P24" i="9" a="1"/>
  <c r="P24" i="9" s="1"/>
  <c r="M24" i="9" a="1"/>
  <c r="M24" i="9" s="1"/>
  <c r="K24" i="9" a="1"/>
  <c r="K24" i="9" s="1"/>
  <c r="N24" i="9" a="1"/>
  <c r="N24" i="9" s="1"/>
  <c r="O24" i="9" a="1"/>
  <c r="O24" i="9" s="1"/>
  <c r="L24" i="9" a="1"/>
  <c r="L24" i="9" s="1"/>
  <c r="Z29" i="9" a="1"/>
  <c r="Z29" i="9" s="1"/>
  <c r="AE29" i="9" a="1"/>
  <c r="AE29" i="9" s="1"/>
  <c r="AD29" i="9" a="1"/>
  <c r="AD29" i="9" s="1"/>
  <c r="AA29" i="9" a="1"/>
  <c r="AA29" i="9" s="1"/>
  <c r="AC29" i="9" a="1"/>
  <c r="AC29" i="9" s="1"/>
  <c r="AB29" i="9" a="1"/>
  <c r="AB29" i="9" s="1"/>
  <c r="M14" i="9" a="1"/>
  <c r="M14" i="9" s="1"/>
  <c r="T23" i="9" a="1"/>
  <c r="T23" i="9" s="1"/>
  <c r="Q23" i="9" a="1"/>
  <c r="Q23" i="9" s="1"/>
  <c r="P23" i="9" a="1"/>
  <c r="P23" i="9" s="1"/>
  <c r="S23" i="9" a="1"/>
  <c r="S23" i="9" s="1"/>
  <c r="R23" i="9" a="1"/>
  <c r="R23" i="9" s="1"/>
  <c r="O23" i="9" a="1"/>
  <c r="O23" i="9" s="1"/>
  <c r="L23" i="9" a="1"/>
  <c r="L23" i="9" s="1"/>
  <c r="M23" i="9" a="1"/>
  <c r="M23" i="9" s="1"/>
  <c r="N23" i="9" a="1"/>
  <c r="N23" i="9" s="1"/>
  <c r="K23" i="9" a="1"/>
  <c r="K23" i="9" s="1"/>
  <c r="U46" i="9" a="1"/>
  <c r="U46" i="9" s="1"/>
  <c r="U33" i="9" a="1"/>
  <c r="U33" i="9" s="1"/>
  <c r="U51" i="9" a="1"/>
  <c r="U51" i="9" s="1"/>
  <c r="AD45" i="9" a="1"/>
  <c r="AD45" i="9" s="1"/>
  <c r="AC45" i="9" a="1"/>
  <c r="AC45" i="9" s="1"/>
  <c r="AB45" i="9" a="1"/>
  <c r="AB45" i="9" s="1"/>
  <c r="AA45" i="9" a="1"/>
  <c r="AA45" i="9" s="1"/>
  <c r="Z45" i="9" a="1"/>
  <c r="Z45" i="9" s="1"/>
  <c r="AE45" i="9" a="1"/>
  <c r="AE45" i="9" s="1"/>
  <c r="V50" i="9" a="1"/>
  <c r="V50" i="9" s="1"/>
  <c r="X19" i="9" a="1"/>
  <c r="X19" i="9" s="1"/>
  <c r="AB12" i="9" a="1"/>
  <c r="AB12" i="9" s="1"/>
  <c r="AA12" i="9" a="1"/>
  <c r="AA12" i="9" s="1"/>
  <c r="AE12" i="9" a="1"/>
  <c r="AE12" i="9" s="1"/>
  <c r="Z12" i="9" a="1"/>
  <c r="Z12" i="9" s="1"/>
  <c r="AD12" i="9" a="1"/>
  <c r="AD12" i="9" s="1"/>
  <c r="AC12" i="9" a="1"/>
  <c r="AC12" i="9" s="1"/>
  <c r="T38" i="9" a="1"/>
  <c r="T38" i="9" s="1"/>
  <c r="S38" i="9" a="1"/>
  <c r="S38" i="9" s="1"/>
  <c r="Q38" i="9" a="1"/>
  <c r="Q38" i="9" s="1"/>
  <c r="P38" i="9" a="1"/>
  <c r="P38" i="9" s="1"/>
  <c r="R38" i="9" a="1"/>
  <c r="R38" i="9" s="1"/>
  <c r="O38" i="9" a="1"/>
  <c r="O38" i="9" s="1"/>
  <c r="L38" i="9" a="1"/>
  <c r="L38" i="9" s="1"/>
  <c r="N38" i="9" a="1"/>
  <c r="N38" i="9" s="1"/>
  <c r="M38" i="9" a="1"/>
  <c r="M38" i="9" s="1"/>
  <c r="K38" i="9" a="1"/>
  <c r="K38" i="9" s="1"/>
  <c r="Y25" i="9" a="1"/>
  <c r="Y25" i="9" s="1"/>
  <c r="AE52" i="9" a="1"/>
  <c r="AE52" i="9" s="1"/>
  <c r="AD52" i="9" a="1"/>
  <c r="AD52" i="9" s="1"/>
  <c r="AC52" i="9" a="1"/>
  <c r="AC52" i="9" s="1"/>
  <c r="AB52" i="9" a="1"/>
  <c r="AB52" i="9" s="1"/>
  <c r="AA52" i="9" a="1"/>
  <c r="AA52" i="9" s="1"/>
  <c r="Z52" i="9" a="1"/>
  <c r="Z52" i="9" s="1"/>
  <c r="L22" i="10"/>
  <c r="X52" i="9" a="1"/>
  <c r="X52" i="9" s="1"/>
  <c r="L30" i="10"/>
  <c r="Q37" i="9" a="1"/>
  <c r="Q37" i="9" s="1"/>
  <c r="P37" i="9" a="1"/>
  <c r="P37" i="9" s="1"/>
  <c r="T37" i="9" a="1"/>
  <c r="T37" i="9" s="1"/>
  <c r="S37" i="9" a="1"/>
  <c r="S37" i="9" s="1"/>
  <c r="R37" i="9" a="1"/>
  <c r="R37" i="9" s="1"/>
  <c r="O37" i="9" a="1"/>
  <c r="O37" i="9" s="1"/>
  <c r="N37" i="9" a="1"/>
  <c r="N37" i="9" s="1"/>
  <c r="K37" i="9" a="1"/>
  <c r="K37" i="9" s="1"/>
  <c r="M37" i="9" a="1"/>
  <c r="M37" i="9" s="1"/>
  <c r="L37" i="9" a="1"/>
  <c r="L37" i="9" s="1"/>
  <c r="L14" i="9" a="1"/>
  <c r="L14" i="9" s="1"/>
  <c r="AC41" i="9" a="1"/>
  <c r="AC41" i="9" s="1"/>
  <c r="AB41" i="9" a="1"/>
  <c r="AB41" i="9" s="1"/>
  <c r="AA41" i="9" a="1"/>
  <c r="AA41" i="9" s="1"/>
  <c r="Z41" i="9" a="1"/>
  <c r="Z41" i="9" s="1"/>
  <c r="AE41" i="9" a="1"/>
  <c r="AE41" i="9" s="1"/>
  <c r="AD41" i="9" a="1"/>
  <c r="AD41" i="9" s="1"/>
  <c r="J22" i="9" a="1"/>
  <c r="J22" i="9" s="1"/>
  <c r="I22" i="9" a="1"/>
  <c r="I22" i="9" s="1"/>
  <c r="H22" i="9" a="1"/>
  <c r="H22" i="9" s="1"/>
  <c r="G22" i="9" a="1"/>
  <c r="G22" i="9" s="1"/>
  <c r="D22" i="9" a="1"/>
  <c r="D22" i="9" s="1"/>
  <c r="F22" i="9" a="1"/>
  <c r="F22" i="9" s="1"/>
  <c r="E22" i="9" a="1"/>
  <c r="E22" i="9" s="1"/>
  <c r="C22" i="9" a="1"/>
  <c r="C22" i="9" s="1"/>
  <c r="B22" i="9" a="1"/>
  <c r="B22" i="9" s="1"/>
  <c r="AE11" i="9" a="1"/>
  <c r="AE11" i="9" s="1"/>
  <c r="AD11" i="9" a="1"/>
  <c r="AD11" i="9" s="1"/>
  <c r="AC11" i="9" a="1"/>
  <c r="AC11" i="9" s="1"/>
  <c r="AB11" i="9" a="1"/>
  <c r="AB11" i="9" s="1"/>
  <c r="Z11" i="9" a="1"/>
  <c r="Z11" i="9" s="1"/>
  <c r="AA11" i="9" a="1"/>
  <c r="AA11" i="9" s="1"/>
  <c r="Q5" i="9" a="1"/>
  <c r="Q5" i="9" s="1"/>
  <c r="T5" i="9" a="1"/>
  <c r="T5" i="9" s="1"/>
  <c r="P5" i="9" a="1"/>
  <c r="P5" i="9" s="1"/>
  <c r="S5" i="9" a="1"/>
  <c r="S5" i="9" s="1"/>
  <c r="R5" i="9" a="1"/>
  <c r="R5" i="9" s="1"/>
  <c r="N5" i="9" a="1"/>
  <c r="N5" i="9" s="1"/>
  <c r="K5" i="9" a="1"/>
  <c r="K5" i="9" s="1"/>
  <c r="O5" i="9" a="1"/>
  <c r="O5" i="9" s="1"/>
  <c r="L5" i="9" a="1"/>
  <c r="L5" i="9" s="1"/>
  <c r="M5" i="9" a="1"/>
  <c r="M5" i="9" s="1"/>
  <c r="X42" i="9" a="1"/>
  <c r="X42" i="9" s="1"/>
  <c r="N14" i="9" a="1"/>
  <c r="N14" i="9" s="1"/>
  <c r="W31" i="9" a="1"/>
  <c r="W31" i="9" s="1"/>
  <c r="V51" i="9" a="1"/>
  <c r="V51" i="9" s="1"/>
  <c r="J10" i="9" a="1"/>
  <c r="J10" i="9" s="1"/>
  <c r="I10" i="9" a="1"/>
  <c r="I10" i="9" s="1"/>
  <c r="H10" i="9" a="1"/>
  <c r="H10" i="9" s="1"/>
  <c r="F10" i="9" a="1"/>
  <c r="F10" i="9" s="1"/>
  <c r="E10" i="9" a="1"/>
  <c r="E10" i="9" s="1"/>
  <c r="G10" i="9" a="1"/>
  <c r="G10" i="9" s="1"/>
  <c r="D10" i="9" a="1"/>
  <c r="D10" i="9" s="1"/>
  <c r="B10" i="9" a="1"/>
  <c r="B10" i="9" s="1"/>
  <c r="C10" i="9" a="1"/>
  <c r="C10" i="9" s="1"/>
  <c r="AE48" i="9" a="1"/>
  <c r="AE48" i="9" s="1"/>
  <c r="AD48" i="9" a="1"/>
  <c r="AD48" i="9" s="1"/>
  <c r="AC48" i="9" a="1"/>
  <c r="AC48" i="9" s="1"/>
  <c r="AB48" i="9" a="1"/>
  <c r="AB48" i="9" s="1"/>
  <c r="AA48" i="9" a="1"/>
  <c r="AA48" i="9" s="1"/>
  <c r="Z48" i="9" a="1"/>
  <c r="Z48" i="9" s="1"/>
  <c r="O34" i="9" a="1"/>
  <c r="O34" i="9" s="1"/>
  <c r="W50" i="9" a="1"/>
  <c r="W50" i="9" s="1"/>
  <c r="Y19" i="9" a="1"/>
  <c r="Y19" i="9" s="1"/>
  <c r="W11" i="9" a="1"/>
  <c r="W11" i="9" s="1"/>
  <c r="AA15" i="9" a="1"/>
  <c r="AA15" i="9" s="1"/>
  <c r="Z15" i="9" a="1"/>
  <c r="Z15" i="9" s="1"/>
  <c r="AE15" i="9" a="1"/>
  <c r="AE15" i="9" s="1"/>
  <c r="AD15" i="9" a="1"/>
  <c r="AD15" i="9" s="1"/>
  <c r="AC15" i="9" a="1"/>
  <c r="AC15" i="9" s="1"/>
  <c r="AB15" i="9" a="1"/>
  <c r="AB15" i="9" s="1"/>
  <c r="Z21" i="9" a="1"/>
  <c r="Z21" i="9" s="1"/>
  <c r="AE21" i="9" a="1"/>
  <c r="AE21" i="9" s="1"/>
  <c r="AD21" i="9" a="1"/>
  <c r="AD21" i="9" s="1"/>
  <c r="AB21" i="9" a="1"/>
  <c r="AB21" i="9" s="1"/>
  <c r="AA21" i="9" a="1"/>
  <c r="AA21" i="9" s="1"/>
  <c r="AC21" i="9" a="1"/>
  <c r="AC21" i="9" s="1"/>
  <c r="Z35" i="9" a="1"/>
  <c r="Z35" i="9" s="1"/>
  <c r="AE35" i="9" a="1"/>
  <c r="AE35" i="9" s="1"/>
  <c r="AD35" i="9" a="1"/>
  <c r="AD35" i="9" s="1"/>
  <c r="AC35" i="9" a="1"/>
  <c r="AC35" i="9" s="1"/>
  <c r="AB35" i="9" a="1"/>
  <c r="AB35" i="9" s="1"/>
  <c r="AA35" i="9" a="1"/>
  <c r="AA35" i="9" s="1"/>
  <c r="Y42" i="9" a="1"/>
  <c r="Y42" i="9" s="1"/>
  <c r="V7" i="9" a="1"/>
  <c r="V7" i="9" s="1"/>
  <c r="Y37" i="9" a="1"/>
  <c r="Y37" i="9" s="1"/>
  <c r="AB33" i="9" a="1"/>
  <c r="AB33" i="9" s="1"/>
  <c r="AA33" i="9" a="1"/>
  <c r="AA33" i="9" s="1"/>
  <c r="Z33" i="9" a="1"/>
  <c r="Z33" i="9" s="1"/>
  <c r="AE33" i="9" a="1"/>
  <c r="AE33" i="9" s="1"/>
  <c r="AD33" i="9" a="1"/>
  <c r="AD33" i="9" s="1"/>
  <c r="AC33" i="9" a="1"/>
  <c r="AC33" i="9" s="1"/>
  <c r="W51" i="9" a="1"/>
  <c r="W51" i="9" s="1"/>
  <c r="Y52" i="9" a="1"/>
  <c r="Y52" i="9" s="1"/>
  <c r="S31" i="9" a="1"/>
  <c r="S31" i="9" s="1"/>
  <c r="Q31" i="9" a="1"/>
  <c r="Q31" i="9" s="1"/>
  <c r="T31" i="9" a="1"/>
  <c r="T31" i="9" s="1"/>
  <c r="R31" i="9" a="1"/>
  <c r="R31" i="9" s="1"/>
  <c r="P31" i="9" a="1"/>
  <c r="P31" i="9" s="1"/>
  <c r="L31" i="9" a="1"/>
  <c r="L31" i="9" s="1"/>
  <c r="M31" i="9" a="1"/>
  <c r="M31" i="9" s="1"/>
  <c r="K31" i="9" a="1"/>
  <c r="K31" i="9" s="1"/>
  <c r="O31" i="9" a="1"/>
  <c r="O31" i="9" s="1"/>
  <c r="N31" i="9" a="1"/>
  <c r="N31" i="9" s="1"/>
  <c r="X15" i="9" a="1"/>
  <c r="X15" i="9" s="1"/>
  <c r="W29" i="9" a="1"/>
  <c r="W29" i="9" s="1"/>
  <c r="T46" i="9" a="1"/>
  <c r="T46" i="9" s="1"/>
  <c r="S46" i="9" a="1"/>
  <c r="S46" i="9" s="1"/>
  <c r="R46" i="9" a="1"/>
  <c r="R46" i="9" s="1"/>
  <c r="Q46" i="9" a="1"/>
  <c r="Q46" i="9" s="1"/>
  <c r="P46" i="9" a="1"/>
  <c r="P46" i="9" s="1"/>
  <c r="O46" i="9" a="1"/>
  <c r="O46" i="9" s="1"/>
  <c r="M46" i="9" a="1"/>
  <c r="M46" i="9" s="1"/>
  <c r="K46" i="9" a="1"/>
  <c r="K46" i="9" s="1"/>
  <c r="L46" i="9" a="1"/>
  <c r="L46" i="9" s="1"/>
  <c r="N46" i="9" a="1"/>
  <c r="N46" i="9" s="1"/>
  <c r="X51" i="9" a="1"/>
  <c r="X51" i="9" s="1"/>
  <c r="U52" i="9" a="1"/>
  <c r="U52" i="9" s="1"/>
  <c r="U21" i="9" a="1"/>
  <c r="U21" i="9" s="1"/>
  <c r="X41" i="9" a="1"/>
  <c r="X41" i="9" s="1"/>
  <c r="X45" i="9" a="1"/>
  <c r="X45" i="9" s="1"/>
  <c r="P50" i="9" a="1"/>
  <c r="P50" i="9" s="1"/>
  <c r="T50" i="9" a="1"/>
  <c r="T50" i="9" s="1"/>
  <c r="S50" i="9" a="1"/>
  <c r="S50" i="9" s="1"/>
  <c r="R50" i="9" a="1"/>
  <c r="R50" i="9" s="1"/>
  <c r="Q50" i="9" a="1"/>
  <c r="Q50" i="9" s="1"/>
  <c r="O50" i="9" a="1"/>
  <c r="O50" i="9" s="1"/>
  <c r="M50" i="9" a="1"/>
  <c r="M50" i="9" s="1"/>
  <c r="N50" i="9" a="1"/>
  <c r="N50" i="9" s="1"/>
  <c r="L50" i="9" a="1"/>
  <c r="L50" i="9" s="1"/>
  <c r="K50" i="9" a="1"/>
  <c r="K50" i="9" s="1"/>
  <c r="X12" i="9" a="1"/>
  <c r="X12" i="9" s="1"/>
  <c r="W35" i="9" a="1"/>
  <c r="W35" i="9" s="1"/>
  <c r="R27" i="9" a="1"/>
  <c r="R27" i="9" s="1"/>
  <c r="Q27" i="9" a="1"/>
  <c r="Q27" i="9" s="1"/>
  <c r="T27" i="9" a="1"/>
  <c r="T27" i="9" s="1"/>
  <c r="S27" i="9" a="1"/>
  <c r="S27" i="9" s="1"/>
  <c r="P27" i="9" a="1"/>
  <c r="P27" i="9" s="1"/>
  <c r="K27" i="9" a="1"/>
  <c r="K27" i="9" s="1"/>
  <c r="N27" i="9" a="1"/>
  <c r="N27" i="9" s="1"/>
  <c r="O27" i="9" a="1"/>
  <c r="O27" i="9" s="1"/>
  <c r="L27" i="9" a="1"/>
  <c r="L27" i="9" s="1"/>
  <c r="M27" i="9" a="1"/>
  <c r="M27" i="9" s="1"/>
  <c r="AB42" i="9" a="1"/>
  <c r="AB42" i="9" s="1"/>
  <c r="AA42" i="9" a="1"/>
  <c r="AA42" i="9" s="1"/>
  <c r="Z42" i="9" a="1"/>
  <c r="Z42" i="9" s="1"/>
  <c r="AC42" i="9" a="1"/>
  <c r="AC42" i="9" s="1"/>
  <c r="AD42" i="9" a="1"/>
  <c r="AD42" i="9" s="1"/>
  <c r="AE42" i="9" a="1"/>
  <c r="AE42" i="9" s="1"/>
  <c r="K14" i="9" a="1"/>
  <c r="K14" i="9" s="1"/>
  <c r="P47" i="9" a="1"/>
  <c r="P47" i="9" s="1"/>
  <c r="T47" i="9" a="1"/>
  <c r="T47" i="9" s="1"/>
  <c r="S47" i="9" a="1"/>
  <c r="S47" i="9" s="1"/>
  <c r="R47" i="9" a="1"/>
  <c r="R47" i="9" s="1"/>
  <c r="Q47" i="9" a="1"/>
  <c r="Q47" i="9" s="1"/>
  <c r="M47" i="9" a="1"/>
  <c r="M47" i="9" s="1"/>
  <c r="K47" i="9" a="1"/>
  <c r="K47" i="9" s="1"/>
  <c r="O47" i="9" a="1"/>
  <c r="O47" i="9" s="1"/>
  <c r="L47" i="9" a="1"/>
  <c r="L47" i="9" s="1"/>
  <c r="N47" i="9" a="1"/>
  <c r="N47" i="9" s="1"/>
  <c r="J34" i="9" a="1"/>
  <c r="J34" i="9" s="1"/>
  <c r="I34" i="9" a="1"/>
  <c r="I34" i="9" s="1"/>
  <c r="F34" i="9" a="1"/>
  <c r="F34" i="9" s="1"/>
  <c r="H34" i="9" a="1"/>
  <c r="H34" i="9" s="1"/>
  <c r="G34" i="9" a="1"/>
  <c r="G34" i="9" s="1"/>
  <c r="E34" i="9" a="1"/>
  <c r="E34" i="9" s="1"/>
  <c r="C34" i="9" a="1"/>
  <c r="C34" i="9" s="1"/>
  <c r="D34" i="9" a="1"/>
  <c r="D34" i="9" s="1"/>
  <c r="B34" i="9" a="1"/>
  <c r="B34" i="9" s="1"/>
  <c r="T34" i="9" a="1"/>
  <c r="T34" i="9" s="1"/>
  <c r="S34" i="9" a="1"/>
  <c r="S34" i="9" s="1"/>
  <c r="R34" i="9" a="1"/>
  <c r="R34" i="9" s="1"/>
  <c r="Q34" i="9" a="1"/>
  <c r="Q34" i="9" s="1"/>
  <c r="P34" i="9" a="1"/>
  <c r="P34" i="9" s="1"/>
  <c r="T7" i="9" a="1"/>
  <c r="T7" i="9" s="1"/>
  <c r="S7" i="9" a="1"/>
  <c r="S7" i="9" s="1"/>
  <c r="R7" i="9" a="1"/>
  <c r="R7" i="9" s="1"/>
  <c r="P7" i="9" a="1"/>
  <c r="P7" i="9" s="1"/>
  <c r="Q7" i="9" a="1"/>
  <c r="Q7" i="9" s="1"/>
  <c r="K7" i="9" a="1"/>
  <c r="K7" i="9" s="1"/>
  <c r="M7" i="9" a="1"/>
  <c r="M7" i="9" s="1"/>
  <c r="O7" i="9" a="1"/>
  <c r="O7" i="9" s="1"/>
  <c r="L7" i="9" a="1"/>
  <c r="L7" i="9" s="1"/>
  <c r="N7" i="9" a="1"/>
  <c r="N7" i="9" s="1"/>
  <c r="AC7" i="9" a="1"/>
  <c r="AC7" i="9" s="1"/>
  <c r="AB7" i="9" a="1"/>
  <c r="AB7" i="9" s="1"/>
  <c r="AA7" i="9" a="1"/>
  <c r="AA7" i="9" s="1"/>
  <c r="AE7" i="9" a="1"/>
  <c r="AE7" i="9" s="1"/>
  <c r="Z7" i="9" a="1"/>
  <c r="Z7" i="9" s="1"/>
  <c r="AD7" i="9" a="1"/>
  <c r="AD7" i="9" s="1"/>
  <c r="AE37" i="9" a="1"/>
  <c r="AE37" i="9" s="1"/>
  <c r="AD37" i="9" a="1"/>
  <c r="AD37" i="9" s="1"/>
  <c r="AC37" i="9" a="1"/>
  <c r="AC37" i="9" s="1"/>
  <c r="AB37" i="9" a="1"/>
  <c r="AB37" i="9" s="1"/>
  <c r="AA37" i="9" a="1"/>
  <c r="AA37" i="9" s="1"/>
  <c r="Z37" i="9" a="1"/>
  <c r="Z37" i="9" s="1"/>
  <c r="T43" i="9" a="1"/>
  <c r="T43" i="9" s="1"/>
  <c r="S43" i="9" a="1"/>
  <c r="S43" i="9" s="1"/>
  <c r="R43" i="9" a="1"/>
  <c r="R43" i="9" s="1"/>
  <c r="Q43" i="9" a="1"/>
  <c r="Q43" i="9" s="1"/>
  <c r="P43" i="9" a="1"/>
  <c r="P43" i="9" s="1"/>
  <c r="N43" i="9" a="1"/>
  <c r="N43" i="9" s="1"/>
  <c r="L43" i="9" a="1"/>
  <c r="L43" i="9" s="1"/>
  <c r="M43" i="9" a="1"/>
  <c r="M43" i="9" s="1"/>
  <c r="K43" i="9" a="1"/>
  <c r="K43" i="9" s="1"/>
  <c r="O43" i="9" a="1"/>
  <c r="O43" i="9" s="1"/>
  <c r="W41" i="9" a="1"/>
  <c r="W41" i="9" s="1"/>
  <c r="AE4" i="9" a="1"/>
  <c r="AE4" i="9" s="1"/>
  <c r="AD4" i="9" a="1"/>
  <c r="AD4" i="9" s="1"/>
  <c r="AC4" i="9" a="1"/>
  <c r="AC4" i="9" s="1"/>
  <c r="AB4" i="9" a="1"/>
  <c r="AB4" i="9" s="1"/>
  <c r="Z4" i="9" a="1"/>
  <c r="Z4" i="9" s="1"/>
  <c r="AA4" i="9" a="1"/>
  <c r="AA4" i="9" s="1"/>
  <c r="AE31" i="9" a="1"/>
  <c r="AE31" i="9" s="1"/>
  <c r="AD31" i="9" a="1"/>
  <c r="AD31" i="9" s="1"/>
  <c r="AB31" i="9" a="1"/>
  <c r="AB31" i="9" s="1"/>
  <c r="AA31" i="9" a="1"/>
  <c r="AA31" i="9" s="1"/>
  <c r="AC31" i="9" a="1"/>
  <c r="AC31" i="9" s="1"/>
  <c r="Z31" i="9" a="1"/>
  <c r="Z31" i="9" s="1"/>
  <c r="P28" i="9" a="1"/>
  <c r="P28" i="9" s="1"/>
  <c r="T28" i="9" a="1"/>
  <c r="T28" i="9" s="1"/>
  <c r="Q28" i="9" a="1"/>
  <c r="Q28" i="9" s="1"/>
  <c r="S28" i="9" a="1"/>
  <c r="S28" i="9" s="1"/>
  <c r="R28" i="9" a="1"/>
  <c r="R28" i="9" s="1"/>
  <c r="N28" i="9" a="1"/>
  <c r="N28" i="9" s="1"/>
  <c r="M28" i="9" a="1"/>
  <c r="M28" i="9" s="1"/>
  <c r="O28" i="9" a="1"/>
  <c r="O28" i="9" s="1"/>
  <c r="L28" i="9" a="1"/>
  <c r="L28" i="9" s="1"/>
  <c r="K28" i="9" a="1"/>
  <c r="K28" i="9" s="1"/>
  <c r="H18" i="9" a="1"/>
  <c r="H18" i="9" s="1"/>
  <c r="G18" i="9" a="1"/>
  <c r="G18" i="9" s="1"/>
  <c r="F18" i="9" a="1"/>
  <c r="F18" i="9" s="1"/>
  <c r="J18" i="9" a="1"/>
  <c r="J18" i="9" s="1"/>
  <c r="I18" i="9" a="1"/>
  <c r="I18" i="9" s="1"/>
  <c r="C18" i="9" a="1"/>
  <c r="C18" i="9" s="1"/>
  <c r="E18" i="9" a="1"/>
  <c r="E18" i="9" s="1"/>
  <c r="D18" i="9" a="1"/>
  <c r="D18" i="9" s="1"/>
  <c r="B18" i="9" a="1"/>
  <c r="B18" i="9" s="1"/>
  <c r="Z23" i="9" a="1"/>
  <c r="Z23" i="9" s="1"/>
  <c r="AE23" i="9" a="1"/>
  <c r="AE23" i="9" s="1"/>
  <c r="AD23" i="9" a="1"/>
  <c r="AD23" i="9" s="1"/>
  <c r="AA23" i="9" a="1"/>
  <c r="AA23" i="9" s="1"/>
  <c r="AC23" i="9" a="1"/>
  <c r="AC23" i="9" s="1"/>
  <c r="AB23" i="9" a="1"/>
  <c r="AB23" i="9" s="1"/>
  <c r="AE46" i="9" a="1"/>
  <c r="AE46" i="9" s="1"/>
  <c r="AD46" i="9" a="1"/>
  <c r="AD46" i="9" s="1"/>
  <c r="AC46" i="9" a="1"/>
  <c r="AC46" i="9" s="1"/>
  <c r="AB46" i="9" a="1"/>
  <c r="AB46" i="9" s="1"/>
  <c r="AA46" i="9" a="1"/>
  <c r="AA46" i="9" s="1"/>
  <c r="Z46" i="9" a="1"/>
  <c r="Z46" i="9" s="1"/>
  <c r="AD38" i="9" a="1"/>
  <c r="AD38" i="9" s="1"/>
  <c r="AC38" i="9" a="1"/>
  <c r="AC38" i="9" s="1"/>
  <c r="AB38" i="9" a="1"/>
  <c r="AB38" i="9" s="1"/>
  <c r="AA38" i="9" a="1"/>
  <c r="AA38" i="9" s="1"/>
  <c r="Z38" i="9" a="1"/>
  <c r="Z38" i="9" s="1"/>
  <c r="AE38" i="9" a="1"/>
  <c r="AE38" i="9" s="1"/>
  <c r="AC27" i="9" a="1"/>
  <c r="AC27" i="9" s="1"/>
  <c r="AB27" i="9" a="1"/>
  <c r="AB27" i="9" s="1"/>
  <c r="AA27" i="9" a="1"/>
  <c r="AA27" i="9" s="1"/>
  <c r="Z27" i="9" a="1"/>
  <c r="Z27" i="9" s="1"/>
  <c r="AD27" i="9" a="1"/>
  <c r="AD27" i="9" s="1"/>
  <c r="AE27" i="9" a="1"/>
  <c r="AE27" i="9" s="1"/>
  <c r="Q12" i="9" a="1"/>
  <c r="Q12" i="9" s="1"/>
  <c r="P12" i="9" a="1"/>
  <c r="P12" i="9" s="1"/>
  <c r="T12" i="9" a="1"/>
  <c r="T12" i="9" s="1"/>
  <c r="R12" i="9" a="1"/>
  <c r="R12" i="9" s="1"/>
  <c r="S12" i="9" a="1"/>
  <c r="S12" i="9" s="1"/>
  <c r="O12" i="9" a="1"/>
  <c r="O12" i="9" s="1"/>
  <c r="N12" i="9" a="1"/>
  <c r="N12" i="9" s="1"/>
  <c r="M12" i="9" a="1"/>
  <c r="M12" i="9" s="1"/>
  <c r="L12" i="9" a="1"/>
  <c r="L12" i="9" s="1"/>
  <c r="K12" i="9" a="1"/>
  <c r="K12" i="9" s="1"/>
  <c r="S20" i="9" a="1"/>
  <c r="S20" i="9" s="1"/>
  <c r="R20" i="9" a="1"/>
  <c r="R20" i="9" s="1"/>
  <c r="Q20" i="9" a="1"/>
  <c r="Q20" i="9" s="1"/>
  <c r="P20" i="9" a="1"/>
  <c r="P20" i="9" s="1"/>
  <c r="T20" i="9" a="1"/>
  <c r="T20" i="9" s="1"/>
  <c r="K20" i="9" a="1"/>
  <c r="K20" i="9" s="1"/>
  <c r="N20" i="9" a="1"/>
  <c r="N20" i="9" s="1"/>
  <c r="O20" i="9" a="1"/>
  <c r="O20" i="9" s="1"/>
  <c r="L20" i="9" a="1"/>
  <c r="L20" i="9" s="1"/>
  <c r="M20" i="9" a="1"/>
  <c r="M20" i="9" s="1"/>
  <c r="U4" i="9" a="1"/>
  <c r="U4" i="9" s="1"/>
  <c r="Y15" i="9" a="1"/>
  <c r="Y15" i="9" s="1"/>
  <c r="Y7" i="9" a="1"/>
  <c r="Y7" i="9" s="1"/>
  <c r="V37" i="9" a="1"/>
  <c r="V37" i="9" s="1"/>
  <c r="W23" i="9" a="1"/>
  <c r="W23" i="9" s="1"/>
  <c r="V31" i="9" a="1"/>
  <c r="V31" i="9" s="1"/>
  <c r="X29" i="9" a="1"/>
  <c r="X29" i="9" s="1"/>
  <c r="W17" i="9" a="1"/>
  <c r="W17" i="9" s="1"/>
  <c r="V52" i="9" a="1"/>
  <c r="V52" i="9" s="1"/>
  <c r="T21" i="9" a="1"/>
  <c r="T21" i="9" s="1"/>
  <c r="S21" i="9" a="1"/>
  <c r="S21" i="9" s="1"/>
  <c r="R21" i="9" a="1"/>
  <c r="R21" i="9" s="1"/>
  <c r="Q21" i="9" a="1"/>
  <c r="Q21" i="9" s="1"/>
  <c r="P21" i="9" a="1"/>
  <c r="P21" i="9" s="1"/>
  <c r="M21" i="9" a="1"/>
  <c r="M21" i="9" s="1"/>
  <c r="L21" i="9" a="1"/>
  <c r="L21" i="9" s="1"/>
  <c r="K21" i="9" a="1"/>
  <c r="K21" i="9" s="1"/>
  <c r="O21" i="9" a="1"/>
  <c r="O21" i="9" s="1"/>
  <c r="N21" i="9" a="1"/>
  <c r="N21" i="9" s="1"/>
  <c r="V21" i="9" a="1"/>
  <c r="V21" i="9" s="1"/>
  <c r="Y41" i="9" a="1"/>
  <c r="Y41" i="9" s="1"/>
  <c r="K34" i="9" a="1"/>
  <c r="K34" i="9" s="1"/>
  <c r="Y45" i="9" a="1"/>
  <c r="Y45" i="9" s="1"/>
  <c r="Y12" i="9" a="1"/>
  <c r="Y12" i="9" s="1"/>
  <c r="X38" i="9" a="1"/>
  <c r="X38" i="9" s="1"/>
  <c r="X35" i="9" a="1"/>
  <c r="X35" i="9" s="1"/>
  <c r="U25" i="9" a="1"/>
  <c r="U25" i="9" s="1"/>
  <c r="L6" i="10"/>
  <c r="I2" i="9" a="1"/>
  <c r="I2" i="9" s="1"/>
  <c r="H2" i="9" a="1"/>
  <c r="H2" i="9" s="1"/>
  <c r="C2" i="9" a="1"/>
  <c r="C2" i="9" s="1"/>
  <c r="G2" i="9" a="1"/>
  <c r="G2" i="9" s="1"/>
  <c r="J2" i="9" a="1"/>
  <c r="J2" i="9" s="1"/>
  <c r="F2" i="9" a="1"/>
  <c r="F2" i="9" s="1"/>
  <c r="E2" i="9" a="1"/>
  <c r="E2" i="9" s="1"/>
  <c r="D2" i="9" a="1"/>
  <c r="D2" i="9" s="1"/>
  <c r="J58" i="10"/>
  <c r="W50" i="10"/>
  <c r="V50" i="10" s="1"/>
  <c r="O38" i="10"/>
  <c r="N38" i="10" s="1"/>
  <c r="V34" i="9" s="1" a="1"/>
  <c r="V34" i="9" s="1"/>
  <c r="O18" i="10"/>
  <c r="N18" i="10"/>
  <c r="W14" i="9" s="1" a="1"/>
  <c r="W14" i="9" s="1"/>
  <c r="W54" i="10"/>
  <c r="V54" i="10" s="1"/>
  <c r="M58" i="10"/>
  <c r="N6" i="10"/>
  <c r="W2" i="9" s="1" a="1"/>
  <c r="W2" i="9" s="1"/>
  <c r="O26" i="10"/>
  <c r="N26" i="10" s="1"/>
  <c r="O34" i="10"/>
  <c r="N34" i="10" s="1"/>
  <c r="W42" i="10"/>
  <c r="V42" i="10" s="1"/>
  <c r="O30" i="10"/>
  <c r="N30" i="10" s="1"/>
  <c r="W46" i="10"/>
  <c r="V46" i="10" s="1"/>
  <c r="O14" i="10"/>
  <c r="N14" i="10" s="1"/>
  <c r="Y10" i="9" s="1" a="1"/>
  <c r="Y10" i="9" s="1"/>
  <c r="O22" i="10"/>
  <c r="N22" i="10" s="1"/>
  <c r="V18" i="9" s="1" a="1"/>
  <c r="V18" i="9" s="1"/>
  <c r="O10" i="10"/>
  <c r="N10" i="10" s="1"/>
  <c r="X6" i="9" s="1" a="1"/>
  <c r="X6" i="9" s="1"/>
  <c r="B54" i="9" l="1"/>
  <c r="B62" i="9" s="1"/>
  <c r="X10" i="9" a="1"/>
  <c r="X10" i="9" s="1"/>
  <c r="W34" i="9" a="1"/>
  <c r="W34" i="9" s="1"/>
  <c r="U34" i="9" a="1"/>
  <c r="U34" i="9" s="1"/>
  <c r="X14" i="9" a="1"/>
  <c r="X14" i="9" s="1"/>
  <c r="Z22" i="9" a="1"/>
  <c r="Z22" i="9" s="1"/>
  <c r="AB22" i="9" a="1"/>
  <c r="AB22" i="9" s="1"/>
  <c r="AA22" i="9" a="1"/>
  <c r="AA22" i="9" s="1"/>
  <c r="AC22" i="9" a="1"/>
  <c r="AC22" i="9" s="1"/>
  <c r="AE22" i="9" a="1"/>
  <c r="AE22" i="9" s="1"/>
  <c r="AD22" i="9" a="1"/>
  <c r="AD22" i="9" s="1"/>
  <c r="V22" i="9" a="1"/>
  <c r="V22" i="9" s="1"/>
  <c r="W22" i="9" a="1"/>
  <c r="W22" i="9" s="1"/>
  <c r="X22" i="9" a="1"/>
  <c r="X22" i="9" s="1"/>
  <c r="U22" i="9" a="1"/>
  <c r="U22" i="9" s="1"/>
  <c r="Y22" i="9" a="1"/>
  <c r="Y22" i="9" s="1"/>
  <c r="AC26" i="9" a="1"/>
  <c r="AC26" i="9" s="1"/>
  <c r="AB26" i="9" a="1"/>
  <c r="AB26" i="9" s="1"/>
  <c r="AA26" i="9" a="1"/>
  <c r="AA26" i="9" s="1"/>
  <c r="AD26" i="9" a="1"/>
  <c r="AD26" i="9" s="1"/>
  <c r="AE26" i="9" a="1"/>
  <c r="AE26" i="9" s="1"/>
  <c r="Z26" i="9" a="1"/>
  <c r="Z26" i="9" s="1"/>
  <c r="U26" i="9" a="1"/>
  <c r="U26" i="9" s="1"/>
  <c r="V26" i="9" a="1"/>
  <c r="V26" i="9" s="1"/>
  <c r="Y26" i="9" a="1"/>
  <c r="Y26" i="9" s="1"/>
  <c r="X26" i="9" a="1"/>
  <c r="X26" i="9" s="1"/>
  <c r="W26" i="9" a="1"/>
  <c r="W26" i="9" s="1"/>
  <c r="AA6" i="9" a="1"/>
  <c r="AA6" i="9" s="1"/>
  <c r="AD6" i="9" a="1"/>
  <c r="AD6" i="9" s="1"/>
  <c r="Z6" i="9" a="1"/>
  <c r="Z6" i="9" s="1"/>
  <c r="AC6" i="9" a="1"/>
  <c r="AC6" i="9" s="1"/>
  <c r="AE6" i="9" a="1"/>
  <c r="AE6" i="9" s="1"/>
  <c r="AB6" i="9" a="1"/>
  <c r="AB6" i="9" s="1"/>
  <c r="U6" i="9" a="1"/>
  <c r="U6" i="9" s="1"/>
  <c r="Z30" i="9" a="1"/>
  <c r="Z30" i="9" s="1"/>
  <c r="AE30" i="9" a="1"/>
  <c r="AE30" i="9" s="1"/>
  <c r="AC30" i="9" a="1"/>
  <c r="AC30" i="9" s="1"/>
  <c r="AA30" i="9" a="1"/>
  <c r="AA30" i="9" s="1"/>
  <c r="AD30" i="9" a="1"/>
  <c r="AD30" i="9" s="1"/>
  <c r="AB30" i="9" a="1"/>
  <c r="AB30" i="9" s="1"/>
  <c r="AD10" i="9" a="1"/>
  <c r="AD10" i="9" s="1"/>
  <c r="AC10" i="9" a="1"/>
  <c r="AC10" i="9" s="1"/>
  <c r="AB10" i="9" a="1"/>
  <c r="AB10" i="9" s="1"/>
  <c r="AA10" i="9" a="1"/>
  <c r="AA10" i="9" s="1"/>
  <c r="Z10" i="9" a="1"/>
  <c r="Z10" i="9" s="1"/>
  <c r="AE10" i="9" a="1"/>
  <c r="AE10" i="9" s="1"/>
  <c r="AA34" i="9" a="1"/>
  <c r="AA34" i="9" s="1"/>
  <c r="Z34" i="9" a="1"/>
  <c r="Z34" i="9" s="1"/>
  <c r="AE34" i="9" a="1"/>
  <c r="AE34" i="9" s="1"/>
  <c r="AD34" i="9" a="1"/>
  <c r="AD34" i="9" s="1"/>
  <c r="AC34" i="9" a="1"/>
  <c r="AC34" i="9" s="1"/>
  <c r="AB34" i="9" a="1"/>
  <c r="AB34" i="9" s="1"/>
  <c r="X34" i="9" a="1"/>
  <c r="X34" i="9" s="1"/>
  <c r="Y14" i="9" a="1"/>
  <c r="Y14" i="9" s="1"/>
  <c r="Y6" i="9" a="1"/>
  <c r="Y6" i="9" s="1"/>
  <c r="Y30" i="9" a="1"/>
  <c r="Y30" i="9" s="1"/>
  <c r="S10" i="9" a="1"/>
  <c r="S10" i="9" s="1"/>
  <c r="R10" i="9" a="1"/>
  <c r="R10" i="9" s="1"/>
  <c r="Q10" i="9" a="1"/>
  <c r="Q10" i="9" s="1"/>
  <c r="P10" i="9" a="1"/>
  <c r="P10" i="9" s="1"/>
  <c r="T10" i="9" a="1"/>
  <c r="T10" i="9" s="1"/>
  <c r="L10" i="9" a="1"/>
  <c r="L10" i="9" s="1"/>
  <c r="N10" i="9" a="1"/>
  <c r="N10" i="9" s="1"/>
  <c r="K10" i="9" a="1"/>
  <c r="K10" i="9" s="1"/>
  <c r="O10" i="9" a="1"/>
  <c r="O10" i="9" s="1"/>
  <c r="M10" i="9" a="1"/>
  <c r="M10" i="9" s="1"/>
  <c r="AC18" i="9" a="1"/>
  <c r="AC18" i="9" s="1"/>
  <c r="AB18" i="9" a="1"/>
  <c r="AB18" i="9" s="1"/>
  <c r="AA18" i="9" a="1"/>
  <c r="AA18" i="9" s="1"/>
  <c r="Z18" i="9" a="1"/>
  <c r="Z18" i="9" s="1"/>
  <c r="AD18" i="9" a="1"/>
  <c r="AD18" i="9" s="1"/>
  <c r="AE18" i="9" a="1"/>
  <c r="AE18" i="9" s="1"/>
  <c r="R26" i="9" a="1"/>
  <c r="R26" i="9" s="1"/>
  <c r="P26" i="9" a="1"/>
  <c r="P26" i="9" s="1"/>
  <c r="S26" i="9" a="1"/>
  <c r="S26" i="9" s="1"/>
  <c r="Q26" i="9" a="1"/>
  <c r="Q26" i="9" s="1"/>
  <c r="T26" i="9" a="1"/>
  <c r="T26" i="9" s="1"/>
  <c r="M26" i="9" a="1"/>
  <c r="M26" i="9" s="1"/>
  <c r="N26" i="9" a="1"/>
  <c r="N26" i="9" s="1"/>
  <c r="O26" i="9" a="1"/>
  <c r="O26" i="9" s="1"/>
  <c r="K26" i="9" a="1"/>
  <c r="K26" i="9" s="1"/>
  <c r="L26" i="9" a="1"/>
  <c r="L26" i="9" s="1"/>
  <c r="V14" i="9" a="1"/>
  <c r="V14" i="9" s="1"/>
  <c r="V6" i="9" a="1"/>
  <c r="V6" i="9" s="1"/>
  <c r="W18" i="9" a="1"/>
  <c r="W18" i="9" s="1"/>
  <c r="W10" i="9" a="1"/>
  <c r="W10" i="9" s="1"/>
  <c r="Y34" i="9" a="1"/>
  <c r="Y34" i="9" s="1"/>
  <c r="U14" i="9" a="1"/>
  <c r="U14" i="9" s="1"/>
  <c r="P22" i="9" a="1"/>
  <c r="P22" i="9" s="1"/>
  <c r="R22" i="9" a="1"/>
  <c r="R22" i="9" s="1"/>
  <c r="S22" i="9" a="1"/>
  <c r="S22" i="9" s="1"/>
  <c r="Q22" i="9" a="1"/>
  <c r="Q22" i="9" s="1"/>
  <c r="T22" i="9" a="1"/>
  <c r="T22" i="9" s="1"/>
  <c r="O22" i="9" a="1"/>
  <c r="O22" i="9" s="1"/>
  <c r="M22" i="9" a="1"/>
  <c r="M22" i="9" s="1"/>
  <c r="K22" i="9" a="1"/>
  <c r="K22" i="9" s="1"/>
  <c r="L22" i="9" a="1"/>
  <c r="L22" i="9" s="1"/>
  <c r="N22" i="9" a="1"/>
  <c r="N22" i="9" s="1"/>
  <c r="W30" i="9" a="1"/>
  <c r="W30" i="9" s="1"/>
  <c r="X18" i="9" a="1"/>
  <c r="X18" i="9" s="1"/>
  <c r="L58" i="10"/>
  <c r="Y18" i="9" a="1"/>
  <c r="Y18" i="9" s="1"/>
  <c r="U10" i="9" a="1"/>
  <c r="U10" i="9" s="1"/>
  <c r="U30" i="9" a="1"/>
  <c r="U30" i="9" s="1"/>
  <c r="T30" i="9" a="1"/>
  <c r="T30" i="9" s="1"/>
  <c r="R30" i="9" a="1"/>
  <c r="R30" i="9" s="1"/>
  <c r="Q30" i="9" a="1"/>
  <c r="Q30" i="9" s="1"/>
  <c r="S30" i="9" a="1"/>
  <c r="S30" i="9" s="1"/>
  <c r="P30" i="9" a="1"/>
  <c r="P30" i="9" s="1"/>
  <c r="O30" i="9" a="1"/>
  <c r="O30" i="9" s="1"/>
  <c r="M30" i="9" a="1"/>
  <c r="M30" i="9" s="1"/>
  <c r="N30" i="9" a="1"/>
  <c r="N30" i="9" s="1"/>
  <c r="L30" i="9" a="1"/>
  <c r="L30" i="9" s="1"/>
  <c r="K30" i="9" a="1"/>
  <c r="K30" i="9" s="1"/>
  <c r="AB14" i="9" a="1"/>
  <c r="AB14" i="9" s="1"/>
  <c r="AA14" i="9" a="1"/>
  <c r="AA14" i="9" s="1"/>
  <c r="Z14" i="9" a="1"/>
  <c r="Z14" i="9" s="1"/>
  <c r="AE14" i="9" a="1"/>
  <c r="AE14" i="9" s="1"/>
  <c r="AD14" i="9" a="1"/>
  <c r="AD14" i="9" s="1"/>
  <c r="AC14" i="9" a="1"/>
  <c r="AC14" i="9" s="1"/>
  <c r="T18" i="9" a="1"/>
  <c r="T18" i="9" s="1"/>
  <c r="S18" i="9" a="1"/>
  <c r="S18" i="9" s="1"/>
  <c r="R18" i="9" a="1"/>
  <c r="R18" i="9" s="1"/>
  <c r="Q18" i="9" a="1"/>
  <c r="Q18" i="9" s="1"/>
  <c r="P18" i="9" a="1"/>
  <c r="P18" i="9" s="1"/>
  <c r="K18" i="9" a="1"/>
  <c r="K18" i="9" s="1"/>
  <c r="M18" i="9" a="1"/>
  <c r="M18" i="9" s="1"/>
  <c r="N18" i="9" a="1"/>
  <c r="N18" i="9" s="1"/>
  <c r="O18" i="9" a="1"/>
  <c r="O18" i="9" s="1"/>
  <c r="L18" i="9" a="1"/>
  <c r="L18" i="9" s="1"/>
  <c r="V30" i="9" a="1"/>
  <c r="V30" i="9" s="1"/>
  <c r="U18" i="9" a="1"/>
  <c r="U18" i="9" s="1"/>
  <c r="V10" i="9" a="1"/>
  <c r="V10" i="9" s="1"/>
  <c r="W6" i="9" a="1"/>
  <c r="W6" i="9" s="1"/>
  <c r="X30" i="9" a="1"/>
  <c r="X30" i="9" s="1"/>
  <c r="D54" i="9"/>
  <c r="D62" i="9" s="1"/>
  <c r="Q2" i="9" a="1"/>
  <c r="Q2" i="9" s="1"/>
  <c r="P2" i="9" a="1"/>
  <c r="P2" i="9" s="1"/>
  <c r="T2" i="9" a="1"/>
  <c r="T2" i="9" s="1"/>
  <c r="R2" i="9" a="1"/>
  <c r="R2" i="9" s="1"/>
  <c r="S2" i="9" a="1"/>
  <c r="S2" i="9" s="1"/>
  <c r="O2" i="9" a="1"/>
  <c r="O2" i="9" s="1"/>
  <c r="L2" i="9" a="1"/>
  <c r="L2" i="9" s="1"/>
  <c r="K2" i="9" a="1"/>
  <c r="K2" i="9" s="1"/>
  <c r="N2" i="9" a="1"/>
  <c r="N2" i="9" s="1"/>
  <c r="M2" i="9" a="1"/>
  <c r="M2" i="9" s="1"/>
  <c r="U2" i="9" a="1"/>
  <c r="U2" i="9" s="1"/>
  <c r="J54" i="9"/>
  <c r="J62" i="9" s="1"/>
  <c r="H54" i="9"/>
  <c r="H62" i="9" s="1"/>
  <c r="AE2" i="9" a="1"/>
  <c r="AE2" i="9" s="1"/>
  <c r="AD2" i="9" a="1"/>
  <c r="AD2" i="9" s="1"/>
  <c r="AA2" i="9" a="1"/>
  <c r="AA2" i="9" s="1"/>
  <c r="AC2" i="9" a="1"/>
  <c r="AC2" i="9" s="1"/>
  <c r="AB2" i="9" a="1"/>
  <c r="AB2" i="9" s="1"/>
  <c r="Z2" i="9" a="1"/>
  <c r="Z2" i="9" s="1"/>
  <c r="I54" i="9"/>
  <c r="I62" i="9" s="1"/>
  <c r="E54" i="9"/>
  <c r="E62" i="9" s="1"/>
  <c r="F62" i="9"/>
  <c r="V2" i="9" a="1"/>
  <c r="V2" i="9" s="1"/>
  <c r="G54" i="9"/>
  <c r="G62" i="9" s="1"/>
  <c r="X2" i="9" a="1"/>
  <c r="X2" i="9" s="1"/>
  <c r="C54" i="9"/>
  <c r="C62" i="9" s="1"/>
  <c r="Y2" i="9" a="1"/>
  <c r="Y2" i="9" s="1"/>
  <c r="N58" i="10"/>
  <c r="O58" i="10"/>
  <c r="W54" i="9" l="1"/>
  <c r="W83" i="9" s="1"/>
  <c r="X54" i="9"/>
  <c r="X62" i="9" s="1"/>
  <c r="AC54" i="9"/>
  <c r="U54" i="9"/>
  <c r="U62" i="9" s="1"/>
  <c r="T54" i="9"/>
  <c r="T62" i="9" s="1"/>
  <c r="W105" i="9"/>
  <c r="W64" i="9"/>
  <c r="W79" i="9"/>
  <c r="W81" i="9"/>
  <c r="W104" i="9"/>
  <c r="W71" i="9"/>
  <c r="W107" i="9"/>
  <c r="W93" i="9"/>
  <c r="W102" i="9"/>
  <c r="W92" i="9"/>
  <c r="W76" i="9"/>
  <c r="W106" i="9"/>
  <c r="W70" i="9"/>
  <c r="W89" i="9"/>
  <c r="W72" i="9"/>
  <c r="W94" i="9"/>
  <c r="W77" i="9"/>
  <c r="W78" i="9"/>
  <c r="Y54" i="9"/>
  <c r="Y62" i="9" s="1"/>
  <c r="F80" i="9"/>
  <c r="F88" i="9"/>
  <c r="F95" i="9"/>
  <c r="F63" i="9"/>
  <c r="F68" i="9"/>
  <c r="F73" i="9"/>
  <c r="F70" i="9"/>
  <c r="F100" i="9"/>
  <c r="F86" i="9"/>
  <c r="F72" i="9"/>
  <c r="F104" i="9"/>
  <c r="F69" i="9"/>
  <c r="F66" i="9"/>
  <c r="F92" i="9"/>
  <c r="F84" i="9"/>
  <c r="F64" i="9"/>
  <c r="F76" i="9"/>
  <c r="F109" i="9"/>
  <c r="F110" i="9"/>
  <c r="F99" i="9"/>
  <c r="F107" i="9"/>
  <c r="F105" i="9"/>
  <c r="F93" i="9"/>
  <c r="F97" i="9"/>
  <c r="F106" i="9"/>
  <c r="F71" i="9"/>
  <c r="F91" i="9"/>
  <c r="F90" i="9"/>
  <c r="F108" i="9"/>
  <c r="F98" i="9"/>
  <c r="F67" i="9"/>
  <c r="F78" i="9"/>
  <c r="F102" i="9"/>
  <c r="F77" i="9"/>
  <c r="F87" i="9"/>
  <c r="F112" i="9"/>
  <c r="F94" i="9"/>
  <c r="F65" i="9"/>
  <c r="F79" i="9"/>
  <c r="F103" i="9"/>
  <c r="F83" i="9"/>
  <c r="F74" i="9"/>
  <c r="F82" i="9"/>
  <c r="F89" i="9"/>
  <c r="F81" i="9"/>
  <c r="F96" i="9"/>
  <c r="F75" i="9"/>
  <c r="F85" i="9"/>
  <c r="F101" i="9"/>
  <c r="F111" i="9"/>
  <c r="AA54" i="9"/>
  <c r="AA62" i="9" s="1"/>
  <c r="M54" i="9"/>
  <c r="P54" i="9"/>
  <c r="P62" i="9" s="1"/>
  <c r="AD54" i="9"/>
  <c r="AD62" i="9" s="1"/>
  <c r="N54" i="9"/>
  <c r="N62" i="9" s="1"/>
  <c r="Q54" i="9"/>
  <c r="Q62" i="9" s="1"/>
  <c r="C82" i="9"/>
  <c r="C104" i="9"/>
  <c r="C97" i="9"/>
  <c r="C90" i="9"/>
  <c r="C87" i="9"/>
  <c r="C66" i="9"/>
  <c r="C72" i="9"/>
  <c r="C100" i="9"/>
  <c r="C93" i="9"/>
  <c r="C86" i="9"/>
  <c r="C84" i="9"/>
  <c r="C68" i="9"/>
  <c r="C96" i="9"/>
  <c r="C89" i="9"/>
  <c r="C111" i="9"/>
  <c r="C80" i="9"/>
  <c r="C83" i="9"/>
  <c r="C64" i="9"/>
  <c r="C92" i="9"/>
  <c r="C110" i="9"/>
  <c r="C107" i="9"/>
  <c r="C85" i="9"/>
  <c r="C75" i="9"/>
  <c r="C79" i="9"/>
  <c r="C112" i="9"/>
  <c r="C98" i="9"/>
  <c r="C74" i="9"/>
  <c r="C77" i="9"/>
  <c r="C108" i="9"/>
  <c r="C94" i="9"/>
  <c r="C70" i="9"/>
  <c r="C88" i="9"/>
  <c r="C103" i="9"/>
  <c r="C71" i="9"/>
  <c r="C109" i="9"/>
  <c r="C99" i="9"/>
  <c r="C67" i="9"/>
  <c r="C101" i="9"/>
  <c r="C91" i="9"/>
  <c r="C76" i="9"/>
  <c r="C106" i="9"/>
  <c r="C81" i="9"/>
  <c r="C69" i="9"/>
  <c r="C95" i="9"/>
  <c r="C78" i="9"/>
  <c r="C65" i="9"/>
  <c r="C63" i="9"/>
  <c r="C73" i="9"/>
  <c r="C105" i="9"/>
  <c r="C102" i="9"/>
  <c r="E110" i="9"/>
  <c r="E105" i="9"/>
  <c r="E99" i="9"/>
  <c r="E96" i="9"/>
  <c r="E79" i="9"/>
  <c r="E68" i="9"/>
  <c r="E91" i="9"/>
  <c r="E77" i="9"/>
  <c r="E107" i="9"/>
  <c r="E83" i="9"/>
  <c r="E93" i="9"/>
  <c r="E95" i="9"/>
  <c r="E92" i="9"/>
  <c r="E75" i="9"/>
  <c r="E64" i="9"/>
  <c r="E66" i="9"/>
  <c r="E106" i="9"/>
  <c r="E88" i="9"/>
  <c r="E71" i="9"/>
  <c r="E76" i="9"/>
  <c r="E103" i="9"/>
  <c r="E80" i="9"/>
  <c r="E102" i="9"/>
  <c r="E87" i="9"/>
  <c r="E85" i="9"/>
  <c r="E67" i="9"/>
  <c r="E73" i="9"/>
  <c r="E108" i="9"/>
  <c r="E84" i="9"/>
  <c r="E104" i="9"/>
  <c r="E86" i="9"/>
  <c r="E72" i="9"/>
  <c r="E74" i="9"/>
  <c r="E94" i="9"/>
  <c r="E112" i="9"/>
  <c r="E81" i="9"/>
  <c r="E63" i="9"/>
  <c r="E69" i="9"/>
  <c r="E111" i="9"/>
  <c r="E82" i="9"/>
  <c r="E65" i="9"/>
  <c r="E101" i="9"/>
  <c r="E78" i="9"/>
  <c r="E70" i="9"/>
  <c r="E100" i="9"/>
  <c r="E97" i="9"/>
  <c r="E98" i="9"/>
  <c r="E109" i="9"/>
  <c r="E89" i="9"/>
  <c r="E90" i="9"/>
  <c r="AE54" i="9"/>
  <c r="AE62" i="9" s="1"/>
  <c r="K54" i="9"/>
  <c r="K62" i="9" s="1"/>
  <c r="L54" i="9"/>
  <c r="L62" i="9" s="1"/>
  <c r="D87" i="9"/>
  <c r="D105" i="9"/>
  <c r="D102" i="9"/>
  <c r="D64" i="9"/>
  <c r="D89" i="9"/>
  <c r="D94" i="9"/>
  <c r="D71" i="9"/>
  <c r="D99" i="9"/>
  <c r="D83" i="9"/>
  <c r="D67" i="9"/>
  <c r="D82" i="9"/>
  <c r="D91" i="9"/>
  <c r="D98" i="9"/>
  <c r="D90" i="9"/>
  <c r="D70" i="9"/>
  <c r="D75" i="9"/>
  <c r="D78" i="9"/>
  <c r="D86" i="9"/>
  <c r="D66" i="9"/>
  <c r="D63" i="9"/>
  <c r="D95" i="9"/>
  <c r="D73" i="9"/>
  <c r="D109" i="9"/>
  <c r="D88" i="9"/>
  <c r="D104" i="9"/>
  <c r="D77" i="9"/>
  <c r="D107" i="9"/>
  <c r="D101" i="9"/>
  <c r="D85" i="9"/>
  <c r="D84" i="9"/>
  <c r="D69" i="9"/>
  <c r="D111" i="9"/>
  <c r="D110" i="9"/>
  <c r="D72" i="9"/>
  <c r="D68" i="9"/>
  <c r="D96" i="9"/>
  <c r="D81" i="9"/>
  <c r="D100" i="9"/>
  <c r="D108" i="9"/>
  <c r="D80" i="9"/>
  <c r="D79" i="9"/>
  <c r="D106" i="9"/>
  <c r="D97" i="9"/>
  <c r="D92" i="9"/>
  <c r="D65" i="9"/>
  <c r="D74" i="9"/>
  <c r="D112" i="9"/>
  <c r="D76" i="9"/>
  <c r="D103" i="9"/>
  <c r="D93" i="9"/>
  <c r="I87" i="9"/>
  <c r="I105" i="9"/>
  <c r="I98" i="9"/>
  <c r="I85" i="9"/>
  <c r="I74" i="9"/>
  <c r="I82" i="9"/>
  <c r="I112" i="9"/>
  <c r="I101" i="9"/>
  <c r="I94" i="9"/>
  <c r="I81" i="9"/>
  <c r="I70" i="9"/>
  <c r="I72" i="9"/>
  <c r="I111" i="9"/>
  <c r="I108" i="9"/>
  <c r="I97" i="9"/>
  <c r="I90" i="9"/>
  <c r="I77" i="9"/>
  <c r="I66" i="9"/>
  <c r="I76" i="9"/>
  <c r="I64" i="9"/>
  <c r="I107" i="9"/>
  <c r="I104" i="9"/>
  <c r="I93" i="9"/>
  <c r="I86" i="9"/>
  <c r="I73" i="9"/>
  <c r="I68" i="9"/>
  <c r="I99" i="9"/>
  <c r="I96" i="9"/>
  <c r="I110" i="9"/>
  <c r="I79" i="9"/>
  <c r="I65" i="9"/>
  <c r="I71" i="9"/>
  <c r="I95" i="9"/>
  <c r="I92" i="9"/>
  <c r="I106" i="9"/>
  <c r="I100" i="9"/>
  <c r="I88" i="9"/>
  <c r="I109" i="9"/>
  <c r="I78" i="9"/>
  <c r="I89" i="9"/>
  <c r="I75" i="9"/>
  <c r="I84" i="9"/>
  <c r="I103" i="9"/>
  <c r="I91" i="9"/>
  <c r="I102" i="9"/>
  <c r="I67" i="9"/>
  <c r="I80" i="9"/>
  <c r="I69" i="9"/>
  <c r="I83" i="9"/>
  <c r="I63" i="9"/>
  <c r="H105" i="9"/>
  <c r="H107" i="9"/>
  <c r="H86" i="9"/>
  <c r="H72" i="9"/>
  <c r="H84" i="9"/>
  <c r="H79" i="9"/>
  <c r="H71" i="9"/>
  <c r="H99" i="9"/>
  <c r="H112" i="9"/>
  <c r="H68" i="9"/>
  <c r="H65" i="9"/>
  <c r="H74" i="9"/>
  <c r="H67" i="9"/>
  <c r="H89" i="9"/>
  <c r="H91" i="9"/>
  <c r="H96" i="9"/>
  <c r="H64" i="9"/>
  <c r="H106" i="9"/>
  <c r="H70" i="9"/>
  <c r="H63" i="9"/>
  <c r="H101" i="9"/>
  <c r="H85" i="9"/>
  <c r="H73" i="9"/>
  <c r="H90" i="9"/>
  <c r="H110" i="9"/>
  <c r="H98" i="9"/>
  <c r="H83" i="9"/>
  <c r="H108" i="9"/>
  <c r="H109" i="9"/>
  <c r="H76" i="9"/>
  <c r="H87" i="9"/>
  <c r="H93" i="9"/>
  <c r="H69" i="9"/>
  <c r="H94" i="9"/>
  <c r="H111" i="9"/>
  <c r="H92" i="9"/>
  <c r="H80" i="9"/>
  <c r="H104" i="9"/>
  <c r="H95" i="9"/>
  <c r="H102" i="9"/>
  <c r="H75" i="9"/>
  <c r="H81" i="9"/>
  <c r="H88" i="9"/>
  <c r="H82" i="9"/>
  <c r="H66" i="9"/>
  <c r="H78" i="9"/>
  <c r="H77" i="9"/>
  <c r="H97" i="9"/>
  <c r="H103" i="9"/>
  <c r="H100" i="9"/>
  <c r="O54" i="9"/>
  <c r="O62" i="9" s="1"/>
  <c r="G67" i="9"/>
  <c r="G106" i="9"/>
  <c r="G103" i="9"/>
  <c r="G96" i="9"/>
  <c r="G89" i="9"/>
  <c r="G76" i="9"/>
  <c r="G65" i="9"/>
  <c r="G102" i="9"/>
  <c r="G99" i="9"/>
  <c r="G92" i="9"/>
  <c r="G82" i="9"/>
  <c r="G72" i="9"/>
  <c r="G74" i="9"/>
  <c r="G63" i="9"/>
  <c r="G110" i="9"/>
  <c r="G91" i="9"/>
  <c r="G101" i="9"/>
  <c r="G80" i="9"/>
  <c r="G66" i="9"/>
  <c r="G98" i="9"/>
  <c r="G112" i="9"/>
  <c r="G97" i="9"/>
  <c r="G68" i="9"/>
  <c r="G94" i="9"/>
  <c r="G108" i="9"/>
  <c r="G93" i="9"/>
  <c r="G64" i="9"/>
  <c r="G81" i="9"/>
  <c r="G86" i="9"/>
  <c r="G77" i="9"/>
  <c r="G88" i="9"/>
  <c r="G73" i="9"/>
  <c r="G107" i="9"/>
  <c r="G79" i="9"/>
  <c r="G95" i="9"/>
  <c r="G84" i="9"/>
  <c r="G90" i="9"/>
  <c r="G104" i="9"/>
  <c r="G78" i="9"/>
  <c r="G85" i="9"/>
  <c r="G71" i="9"/>
  <c r="G100" i="9"/>
  <c r="G75" i="9"/>
  <c r="G111" i="9"/>
  <c r="G83" i="9"/>
  <c r="G109" i="9"/>
  <c r="G69" i="9"/>
  <c r="G105" i="9"/>
  <c r="G70" i="9"/>
  <c r="G87" i="9"/>
  <c r="Z54" i="9"/>
  <c r="Z62" i="9" s="1"/>
  <c r="S54" i="9"/>
  <c r="S62" i="9" s="1"/>
  <c r="B98" i="9"/>
  <c r="B110" i="9"/>
  <c r="B90" i="9"/>
  <c r="B82" i="9"/>
  <c r="B66" i="9"/>
  <c r="B102" i="9"/>
  <c r="B107" i="9"/>
  <c r="B79" i="9"/>
  <c r="B108" i="9"/>
  <c r="B78" i="9"/>
  <c r="B105" i="9"/>
  <c r="B74" i="9"/>
  <c r="B91" i="9"/>
  <c r="B95" i="9"/>
  <c r="B100" i="9"/>
  <c r="B97" i="9"/>
  <c r="B84" i="9"/>
  <c r="B70" i="9"/>
  <c r="B85" i="9"/>
  <c r="B111" i="9"/>
  <c r="B106" i="9"/>
  <c r="B92" i="9"/>
  <c r="B80" i="9"/>
  <c r="B75" i="9"/>
  <c r="B94" i="9"/>
  <c r="B88" i="9"/>
  <c r="B104" i="9"/>
  <c r="B101" i="9"/>
  <c r="B73" i="9"/>
  <c r="B63" i="9"/>
  <c r="B83" i="9"/>
  <c r="B72" i="9"/>
  <c r="B87" i="9"/>
  <c r="B89" i="9"/>
  <c r="B77" i="9"/>
  <c r="B67" i="9"/>
  <c r="B69" i="9"/>
  <c r="B76" i="9"/>
  <c r="B86" i="9"/>
  <c r="B99" i="9"/>
  <c r="B109" i="9"/>
  <c r="B93" i="9"/>
  <c r="B112" i="9"/>
  <c r="B65" i="9"/>
  <c r="B68" i="9"/>
  <c r="B81" i="9"/>
  <c r="B103" i="9"/>
  <c r="B96" i="9"/>
  <c r="B71" i="9"/>
  <c r="B64" i="9"/>
  <c r="V54" i="9"/>
  <c r="V62" i="9" s="1"/>
  <c r="AB54" i="9"/>
  <c r="AB62" i="9" s="1"/>
  <c r="J98" i="9"/>
  <c r="J106" i="9"/>
  <c r="J94" i="9"/>
  <c r="J82" i="9"/>
  <c r="J74" i="9"/>
  <c r="J90" i="9"/>
  <c r="J63" i="9"/>
  <c r="J64" i="9"/>
  <c r="J112" i="9"/>
  <c r="J78" i="9"/>
  <c r="J109" i="9"/>
  <c r="J107" i="9"/>
  <c r="J111" i="9"/>
  <c r="J83" i="9"/>
  <c r="J104" i="9"/>
  <c r="J101" i="9"/>
  <c r="J67" i="9"/>
  <c r="J91" i="9"/>
  <c r="J95" i="9"/>
  <c r="J99" i="9"/>
  <c r="J108" i="9"/>
  <c r="J96" i="9"/>
  <c r="J84" i="9"/>
  <c r="J103" i="9"/>
  <c r="J79" i="9"/>
  <c r="J86" i="9"/>
  <c r="J92" i="9"/>
  <c r="J97" i="9"/>
  <c r="J73" i="9"/>
  <c r="J70" i="9"/>
  <c r="J80" i="9"/>
  <c r="J76" i="9"/>
  <c r="J87" i="9"/>
  <c r="J85" i="9"/>
  <c r="J68" i="9"/>
  <c r="J110" i="9"/>
  <c r="J102" i="9"/>
  <c r="J66" i="9"/>
  <c r="J105" i="9"/>
  <c r="J77" i="9"/>
  <c r="J69" i="9"/>
  <c r="J100" i="9"/>
  <c r="J72" i="9"/>
  <c r="J89" i="9"/>
  <c r="J93" i="9"/>
  <c r="J71" i="9"/>
  <c r="J81" i="9"/>
  <c r="J65" i="9"/>
  <c r="J88" i="9"/>
  <c r="J75" i="9"/>
  <c r="R54" i="9"/>
  <c r="R62" i="9" s="1"/>
  <c r="W62" i="9"/>
  <c r="W90" i="9" l="1"/>
  <c r="W63" i="9"/>
  <c r="W109" i="9"/>
  <c r="W99" i="9"/>
  <c r="W110" i="9"/>
  <c r="W85" i="9"/>
  <c r="W112" i="9"/>
  <c r="W103" i="9"/>
  <c r="W91" i="9"/>
  <c r="W65" i="9"/>
  <c r="W75" i="9"/>
  <c r="W73" i="9"/>
  <c r="W101" i="9"/>
  <c r="W67" i="9"/>
  <c r="W68" i="9"/>
  <c r="W95" i="9"/>
  <c r="W88" i="9"/>
  <c r="W69" i="9"/>
  <c r="W84" i="9"/>
  <c r="W108" i="9"/>
  <c r="W96" i="9"/>
  <c r="W66" i="9"/>
  <c r="W74" i="9"/>
  <c r="W80" i="9"/>
  <c r="W97" i="9"/>
  <c r="W86" i="9"/>
  <c r="W82" i="9"/>
  <c r="W98" i="9"/>
  <c r="W87" i="9"/>
  <c r="W100" i="9"/>
  <c r="W111" i="9"/>
  <c r="AB111" i="9"/>
  <c r="AB86" i="9"/>
  <c r="AB90" i="9"/>
  <c r="AB66" i="9"/>
  <c r="AB77" i="9"/>
  <c r="AB64" i="9"/>
  <c r="AB92" i="9"/>
  <c r="AB85" i="9"/>
  <c r="AB103" i="9"/>
  <c r="AB87" i="9"/>
  <c r="AB63" i="9"/>
  <c r="AB104" i="9"/>
  <c r="AB108" i="9"/>
  <c r="AB112" i="9"/>
  <c r="AB83" i="9"/>
  <c r="AB67" i="9"/>
  <c r="AB99" i="9"/>
  <c r="AB88" i="9"/>
  <c r="AB84" i="9"/>
  <c r="AB105" i="9"/>
  <c r="AB79" i="9"/>
  <c r="AB102" i="9"/>
  <c r="AB75" i="9"/>
  <c r="AB82" i="9"/>
  <c r="AB106" i="9"/>
  <c r="AB68" i="9"/>
  <c r="AB69" i="9"/>
  <c r="AB98" i="9"/>
  <c r="AB96" i="9"/>
  <c r="AB65" i="9"/>
  <c r="AB110" i="9"/>
  <c r="AB71" i="9"/>
  <c r="AB109" i="9"/>
  <c r="AB94" i="9"/>
  <c r="AB100" i="9"/>
  <c r="AB93" i="9"/>
  <c r="AB70" i="9"/>
  <c r="AB76" i="9"/>
  <c r="AB97" i="9"/>
  <c r="AB81" i="9"/>
  <c r="AB91" i="9"/>
  <c r="AB107" i="9"/>
  <c r="AB101" i="9"/>
  <c r="AB72" i="9"/>
  <c r="AB78" i="9"/>
  <c r="AB89" i="9"/>
  <c r="AB80" i="9"/>
  <c r="AB73" i="9"/>
  <c r="AB74" i="9"/>
  <c r="AB95" i="9"/>
  <c r="Z106" i="9"/>
  <c r="Z88" i="9"/>
  <c r="Z93" i="9"/>
  <c r="Z67" i="9"/>
  <c r="Z99" i="9"/>
  <c r="Z90" i="9"/>
  <c r="Z85" i="9"/>
  <c r="Z86" i="9"/>
  <c r="Z111" i="9"/>
  <c r="Z79" i="9"/>
  <c r="Z76" i="9"/>
  <c r="Z108" i="9"/>
  <c r="Z105" i="9"/>
  <c r="Z84" i="9"/>
  <c r="Z95" i="9"/>
  <c r="Z101" i="9"/>
  <c r="Z72" i="9"/>
  <c r="Z96" i="9"/>
  <c r="Z110" i="9"/>
  <c r="Z100" i="9"/>
  <c r="Z97" i="9"/>
  <c r="Z73" i="9"/>
  <c r="Z66" i="9"/>
  <c r="Z75" i="9"/>
  <c r="Z68" i="9"/>
  <c r="Z78" i="9"/>
  <c r="Z77" i="9"/>
  <c r="Z107" i="9"/>
  <c r="Z109" i="9"/>
  <c r="Z70" i="9"/>
  <c r="Z91" i="9"/>
  <c r="Z102" i="9"/>
  <c r="Z69" i="9"/>
  <c r="Z71" i="9"/>
  <c r="Z94" i="9"/>
  <c r="Z65" i="9"/>
  <c r="Z63" i="9"/>
  <c r="Z104" i="9"/>
  <c r="Z80" i="9"/>
  <c r="Z81" i="9"/>
  <c r="Z89" i="9"/>
  <c r="Z64" i="9"/>
  <c r="Z112" i="9"/>
  <c r="Z82" i="9"/>
  <c r="Z74" i="9"/>
  <c r="Z87" i="9"/>
  <c r="Z98" i="9"/>
  <c r="Z83" i="9"/>
  <c r="Z92" i="9"/>
  <c r="Z103" i="9"/>
  <c r="AE83" i="9"/>
  <c r="AE111" i="9"/>
  <c r="AE104" i="9"/>
  <c r="AE93" i="9"/>
  <c r="AE76" i="9"/>
  <c r="AE74" i="9"/>
  <c r="AE107" i="9"/>
  <c r="AE100" i="9"/>
  <c r="AE89" i="9"/>
  <c r="AE72" i="9"/>
  <c r="AE70" i="9"/>
  <c r="AE110" i="9"/>
  <c r="AE103" i="9"/>
  <c r="AE96" i="9"/>
  <c r="AE85" i="9"/>
  <c r="AE64" i="9"/>
  <c r="AE66" i="9"/>
  <c r="AE106" i="9"/>
  <c r="AE99" i="9"/>
  <c r="AE92" i="9"/>
  <c r="AE82" i="9"/>
  <c r="AE81" i="9"/>
  <c r="AE101" i="9"/>
  <c r="AE112" i="9"/>
  <c r="AE84" i="9"/>
  <c r="AE63" i="9"/>
  <c r="AE108" i="9"/>
  <c r="AE80" i="9"/>
  <c r="AE75" i="9"/>
  <c r="AE102" i="9"/>
  <c r="AE88" i="9"/>
  <c r="AE73" i="9"/>
  <c r="AE94" i="9"/>
  <c r="AE109" i="9"/>
  <c r="AE69" i="9"/>
  <c r="AE86" i="9"/>
  <c r="AE97" i="9"/>
  <c r="AE87" i="9"/>
  <c r="AE67" i="9"/>
  <c r="AE68" i="9"/>
  <c r="AE95" i="9"/>
  <c r="AE78" i="9"/>
  <c r="AE77" i="9"/>
  <c r="AE105" i="9"/>
  <c r="AE98" i="9"/>
  <c r="AE79" i="9"/>
  <c r="AE65" i="9"/>
  <c r="AE91" i="9"/>
  <c r="AE71" i="9"/>
  <c r="AE90" i="9"/>
  <c r="N96" i="9"/>
  <c r="N80" i="9"/>
  <c r="N73" i="9"/>
  <c r="N87" i="9"/>
  <c r="N77" i="9"/>
  <c r="N106" i="9"/>
  <c r="N103" i="9"/>
  <c r="N69" i="9"/>
  <c r="N72" i="9"/>
  <c r="N65" i="9"/>
  <c r="N101" i="9"/>
  <c r="N98" i="9"/>
  <c r="N78" i="9"/>
  <c r="N105" i="9"/>
  <c r="N64" i="9"/>
  <c r="N97" i="9"/>
  <c r="N85" i="9"/>
  <c r="N90" i="9"/>
  <c r="N75" i="9"/>
  <c r="N89" i="9"/>
  <c r="N109" i="9"/>
  <c r="N83" i="9"/>
  <c r="N94" i="9"/>
  <c r="N68" i="9"/>
  <c r="N95" i="9"/>
  <c r="N86" i="9"/>
  <c r="N111" i="9"/>
  <c r="N82" i="9"/>
  <c r="N107" i="9"/>
  <c r="N88" i="9"/>
  <c r="N100" i="9"/>
  <c r="N112" i="9"/>
  <c r="N71" i="9"/>
  <c r="N99" i="9"/>
  <c r="N79" i="9"/>
  <c r="N74" i="9"/>
  <c r="N108" i="9"/>
  <c r="N84" i="9"/>
  <c r="N92" i="9"/>
  <c r="N66" i="9"/>
  <c r="N67" i="9"/>
  <c r="N93" i="9"/>
  <c r="N110" i="9"/>
  <c r="N91" i="9"/>
  <c r="N81" i="9"/>
  <c r="N104" i="9"/>
  <c r="N63" i="9"/>
  <c r="N70" i="9"/>
  <c r="N102" i="9"/>
  <c r="N76" i="9"/>
  <c r="AA65" i="9"/>
  <c r="AA71" i="9"/>
  <c r="AA104" i="9"/>
  <c r="AA97" i="9"/>
  <c r="AA90" i="9"/>
  <c r="AA87" i="9"/>
  <c r="AA74" i="9"/>
  <c r="AA76" i="9"/>
  <c r="AA100" i="9"/>
  <c r="AA93" i="9"/>
  <c r="AA86" i="9"/>
  <c r="AA84" i="9"/>
  <c r="AA70" i="9"/>
  <c r="AA72" i="9"/>
  <c r="AA108" i="9"/>
  <c r="AA110" i="9"/>
  <c r="AA99" i="9"/>
  <c r="AA85" i="9"/>
  <c r="AA64" i="9"/>
  <c r="AA96" i="9"/>
  <c r="AA106" i="9"/>
  <c r="AA95" i="9"/>
  <c r="AA66" i="9"/>
  <c r="AA83" i="9"/>
  <c r="AA92" i="9"/>
  <c r="AA102" i="9"/>
  <c r="AA91" i="9"/>
  <c r="AA73" i="9"/>
  <c r="AA81" i="9"/>
  <c r="AA105" i="9"/>
  <c r="AA77" i="9"/>
  <c r="AA107" i="9"/>
  <c r="AA63" i="9"/>
  <c r="AA112" i="9"/>
  <c r="AA103" i="9"/>
  <c r="AA68" i="9"/>
  <c r="AA88" i="9"/>
  <c r="AA98" i="9"/>
  <c r="AA80" i="9"/>
  <c r="AA79" i="9"/>
  <c r="AA69" i="9"/>
  <c r="AA75" i="9"/>
  <c r="AA111" i="9"/>
  <c r="AA67" i="9"/>
  <c r="AA101" i="9"/>
  <c r="AA82" i="9"/>
  <c r="AA89" i="9"/>
  <c r="AA78" i="9"/>
  <c r="AA109" i="9"/>
  <c r="AA94" i="9"/>
  <c r="T107" i="9"/>
  <c r="T87" i="9"/>
  <c r="T83" i="9"/>
  <c r="T95" i="9"/>
  <c r="T68" i="9"/>
  <c r="T88" i="9"/>
  <c r="T109" i="9"/>
  <c r="T79" i="9"/>
  <c r="T98" i="9"/>
  <c r="T75" i="9"/>
  <c r="T100" i="9"/>
  <c r="T77" i="9"/>
  <c r="T91" i="9"/>
  <c r="T101" i="9"/>
  <c r="T106" i="9"/>
  <c r="T76" i="9"/>
  <c r="T67" i="9"/>
  <c r="T78" i="9"/>
  <c r="T80" i="9"/>
  <c r="T93" i="9"/>
  <c r="T90" i="9"/>
  <c r="T64" i="9"/>
  <c r="T96" i="9"/>
  <c r="T103" i="9"/>
  <c r="T97" i="9"/>
  <c r="T102" i="9"/>
  <c r="T74" i="9"/>
  <c r="T92" i="9"/>
  <c r="T112" i="9"/>
  <c r="T69" i="9"/>
  <c r="T110" i="9"/>
  <c r="T63" i="9"/>
  <c r="T94" i="9"/>
  <c r="T84" i="9"/>
  <c r="T86" i="9"/>
  <c r="T85" i="9"/>
  <c r="T66" i="9"/>
  <c r="T111" i="9"/>
  <c r="T108" i="9"/>
  <c r="T99" i="9"/>
  <c r="T81" i="9"/>
  <c r="T72" i="9"/>
  <c r="T105" i="9"/>
  <c r="T65" i="9"/>
  <c r="T89" i="9"/>
  <c r="T104" i="9"/>
  <c r="T82" i="9"/>
  <c r="T70" i="9"/>
  <c r="T73" i="9"/>
  <c r="T71" i="9"/>
  <c r="AC74" i="9"/>
  <c r="AC110" i="9"/>
  <c r="AC103" i="9"/>
  <c r="AC96" i="9"/>
  <c r="AC77" i="9"/>
  <c r="AC68" i="9"/>
  <c r="AC86" i="9"/>
  <c r="AC102" i="9"/>
  <c r="AC88" i="9"/>
  <c r="AC73" i="9"/>
  <c r="AC89" i="9"/>
  <c r="AC83" i="9"/>
  <c r="AC85" i="9"/>
  <c r="AC79" i="9"/>
  <c r="AC70" i="9"/>
  <c r="AC109" i="9"/>
  <c r="AC106" i="9"/>
  <c r="AC99" i="9"/>
  <c r="AC92" i="9"/>
  <c r="AC75" i="9"/>
  <c r="AC64" i="9"/>
  <c r="AC105" i="9"/>
  <c r="AC95" i="9"/>
  <c r="AC71" i="9"/>
  <c r="AC101" i="9"/>
  <c r="AC98" i="9"/>
  <c r="AC91" i="9"/>
  <c r="AC81" i="9"/>
  <c r="AC67" i="9"/>
  <c r="AC65" i="9"/>
  <c r="AC69" i="9"/>
  <c r="AC66" i="9"/>
  <c r="AC93" i="9"/>
  <c r="AC112" i="9"/>
  <c r="AC100" i="9"/>
  <c r="AC108" i="9"/>
  <c r="AC76" i="9"/>
  <c r="AC107" i="9"/>
  <c r="AC72" i="9"/>
  <c r="AC97" i="9"/>
  <c r="AC94" i="9"/>
  <c r="AC87" i="9"/>
  <c r="AC82" i="9"/>
  <c r="AC63" i="9"/>
  <c r="AC84" i="9"/>
  <c r="AC90" i="9"/>
  <c r="AC78" i="9"/>
  <c r="AC80" i="9"/>
  <c r="AC111" i="9"/>
  <c r="AC104" i="9"/>
  <c r="AD112" i="9"/>
  <c r="AD108" i="9"/>
  <c r="AD104" i="9"/>
  <c r="AD79" i="9"/>
  <c r="AD98" i="9"/>
  <c r="AD111" i="9"/>
  <c r="AD102" i="9"/>
  <c r="AD87" i="9"/>
  <c r="AD85" i="9"/>
  <c r="AD64" i="9"/>
  <c r="AD81" i="9"/>
  <c r="AD70" i="9"/>
  <c r="AD107" i="9"/>
  <c r="AD78" i="9"/>
  <c r="AD82" i="9"/>
  <c r="AD103" i="9"/>
  <c r="AD66" i="9"/>
  <c r="AD96" i="9"/>
  <c r="AD95" i="9"/>
  <c r="AD69" i="9"/>
  <c r="AD92" i="9"/>
  <c r="AD88" i="9"/>
  <c r="AD75" i="9"/>
  <c r="AD97" i="9"/>
  <c r="AD86" i="9"/>
  <c r="AD106" i="9"/>
  <c r="AD71" i="9"/>
  <c r="AD100" i="9"/>
  <c r="AD74" i="9"/>
  <c r="AD76" i="9"/>
  <c r="AD84" i="9"/>
  <c r="AD105" i="9"/>
  <c r="AD109" i="9"/>
  <c r="AD80" i="9"/>
  <c r="AD83" i="9"/>
  <c r="AD90" i="9"/>
  <c r="AD67" i="9"/>
  <c r="AD68" i="9"/>
  <c r="AD94" i="9"/>
  <c r="AD91" i="9"/>
  <c r="AD65" i="9"/>
  <c r="AD93" i="9"/>
  <c r="AD89" i="9"/>
  <c r="AD72" i="9"/>
  <c r="AD110" i="9"/>
  <c r="AD73" i="9"/>
  <c r="AD99" i="9"/>
  <c r="AD63" i="9"/>
  <c r="AD101" i="9"/>
  <c r="AD77" i="9"/>
  <c r="U70" i="9"/>
  <c r="U101" i="9"/>
  <c r="U94" i="9"/>
  <c r="U87" i="9"/>
  <c r="U85" i="9"/>
  <c r="U71" i="9"/>
  <c r="U73" i="9"/>
  <c r="U111" i="9"/>
  <c r="U63" i="9"/>
  <c r="U74" i="9"/>
  <c r="U95" i="9"/>
  <c r="U79" i="9"/>
  <c r="U91" i="9"/>
  <c r="U97" i="9"/>
  <c r="U90" i="9"/>
  <c r="U112" i="9"/>
  <c r="U81" i="9"/>
  <c r="U67" i="9"/>
  <c r="U69" i="9"/>
  <c r="U93" i="9"/>
  <c r="U108" i="9"/>
  <c r="U82" i="9"/>
  <c r="U65" i="9"/>
  <c r="U109" i="9"/>
  <c r="U105" i="9"/>
  <c r="U75" i="9"/>
  <c r="U89" i="9"/>
  <c r="U107" i="9"/>
  <c r="U104" i="9"/>
  <c r="U78" i="9"/>
  <c r="U84" i="9"/>
  <c r="U80" i="9"/>
  <c r="U99" i="9"/>
  <c r="U83" i="9"/>
  <c r="U92" i="9"/>
  <c r="U88" i="9"/>
  <c r="U110" i="9"/>
  <c r="U103" i="9"/>
  <c r="U100" i="9"/>
  <c r="U86" i="9"/>
  <c r="U76" i="9"/>
  <c r="U77" i="9"/>
  <c r="U106" i="9"/>
  <c r="U96" i="9"/>
  <c r="U72" i="9"/>
  <c r="U102" i="9"/>
  <c r="U68" i="9"/>
  <c r="U98" i="9"/>
  <c r="U64" i="9"/>
  <c r="U66" i="9"/>
  <c r="R101" i="9"/>
  <c r="R90" i="9"/>
  <c r="R89" i="9"/>
  <c r="R75" i="9"/>
  <c r="R86" i="9"/>
  <c r="R67" i="9"/>
  <c r="R79" i="9"/>
  <c r="R108" i="9"/>
  <c r="R80" i="9"/>
  <c r="R71" i="9"/>
  <c r="R74" i="9"/>
  <c r="R99" i="9"/>
  <c r="R103" i="9"/>
  <c r="R100" i="9"/>
  <c r="R77" i="9"/>
  <c r="R63" i="9"/>
  <c r="R66" i="9"/>
  <c r="R85" i="9"/>
  <c r="R110" i="9"/>
  <c r="R112" i="9"/>
  <c r="R109" i="9"/>
  <c r="R73" i="9"/>
  <c r="R107" i="9"/>
  <c r="R111" i="9"/>
  <c r="R102" i="9"/>
  <c r="R78" i="9"/>
  <c r="R81" i="9"/>
  <c r="R68" i="9"/>
  <c r="R105" i="9"/>
  <c r="R94" i="9"/>
  <c r="R64" i="9"/>
  <c r="R104" i="9"/>
  <c r="R69" i="9"/>
  <c r="R95" i="9"/>
  <c r="R96" i="9"/>
  <c r="R65" i="9"/>
  <c r="R83" i="9"/>
  <c r="R98" i="9"/>
  <c r="R84" i="9"/>
  <c r="R93" i="9"/>
  <c r="R91" i="9"/>
  <c r="R76" i="9"/>
  <c r="R88" i="9"/>
  <c r="R82" i="9"/>
  <c r="R70" i="9"/>
  <c r="R87" i="9"/>
  <c r="R92" i="9"/>
  <c r="R106" i="9"/>
  <c r="R72" i="9"/>
  <c r="R97" i="9"/>
  <c r="O63" i="9"/>
  <c r="O78" i="9"/>
  <c r="O67" i="9"/>
  <c r="O110" i="9"/>
  <c r="O107" i="9"/>
  <c r="O100" i="9"/>
  <c r="O93" i="9"/>
  <c r="O76" i="9"/>
  <c r="O65" i="9"/>
  <c r="O102" i="9"/>
  <c r="O99" i="9"/>
  <c r="O92" i="9"/>
  <c r="O82" i="9"/>
  <c r="O68" i="9"/>
  <c r="O70" i="9"/>
  <c r="O98" i="9"/>
  <c r="O95" i="9"/>
  <c r="O88" i="9"/>
  <c r="O83" i="9"/>
  <c r="O64" i="9"/>
  <c r="O66" i="9"/>
  <c r="O103" i="9"/>
  <c r="O101" i="9"/>
  <c r="O81" i="9"/>
  <c r="O75" i="9"/>
  <c r="O91" i="9"/>
  <c r="O97" i="9"/>
  <c r="O77" i="9"/>
  <c r="O112" i="9"/>
  <c r="O89" i="9"/>
  <c r="O73" i="9"/>
  <c r="O96" i="9"/>
  <c r="O86" i="9"/>
  <c r="O85" i="9"/>
  <c r="O111" i="9"/>
  <c r="O72" i="9"/>
  <c r="O106" i="9"/>
  <c r="O108" i="9"/>
  <c r="O79" i="9"/>
  <c r="O69" i="9"/>
  <c r="O90" i="9"/>
  <c r="O80" i="9"/>
  <c r="O109" i="9"/>
  <c r="O87" i="9"/>
  <c r="O105" i="9"/>
  <c r="O71" i="9"/>
  <c r="O94" i="9"/>
  <c r="O104" i="9"/>
  <c r="O84" i="9"/>
  <c r="O74" i="9"/>
  <c r="L111" i="9"/>
  <c r="L101" i="9"/>
  <c r="L89" i="9"/>
  <c r="L85" i="9"/>
  <c r="L104" i="9"/>
  <c r="L108" i="9"/>
  <c r="L82" i="9"/>
  <c r="L93" i="9"/>
  <c r="L88" i="9"/>
  <c r="L74" i="9"/>
  <c r="L78" i="9"/>
  <c r="L92" i="9"/>
  <c r="L99" i="9"/>
  <c r="L103" i="9"/>
  <c r="L106" i="9"/>
  <c r="L70" i="9"/>
  <c r="L71" i="9"/>
  <c r="L87" i="9"/>
  <c r="L77" i="9"/>
  <c r="L107" i="9"/>
  <c r="L95" i="9"/>
  <c r="L98" i="9"/>
  <c r="L66" i="9"/>
  <c r="L67" i="9"/>
  <c r="L80" i="9"/>
  <c r="L69" i="9"/>
  <c r="L112" i="9"/>
  <c r="L83" i="9"/>
  <c r="L63" i="9"/>
  <c r="L72" i="9"/>
  <c r="L76" i="9"/>
  <c r="L84" i="9"/>
  <c r="L102" i="9"/>
  <c r="L64" i="9"/>
  <c r="L96" i="9"/>
  <c r="L109" i="9"/>
  <c r="L94" i="9"/>
  <c r="L65" i="9"/>
  <c r="L97" i="9"/>
  <c r="L90" i="9"/>
  <c r="L75" i="9"/>
  <c r="L81" i="9"/>
  <c r="L86" i="9"/>
  <c r="L68" i="9"/>
  <c r="L100" i="9"/>
  <c r="L91" i="9"/>
  <c r="L73" i="9"/>
  <c r="L79" i="9"/>
  <c r="L105" i="9"/>
  <c r="L110" i="9"/>
  <c r="P84" i="9"/>
  <c r="P103" i="9"/>
  <c r="P87" i="9"/>
  <c r="P72" i="9"/>
  <c r="P80" i="9"/>
  <c r="P82" i="9"/>
  <c r="P71" i="9"/>
  <c r="P95" i="9"/>
  <c r="P108" i="9"/>
  <c r="P68" i="9"/>
  <c r="P69" i="9"/>
  <c r="P83" i="9"/>
  <c r="P67" i="9"/>
  <c r="P109" i="9"/>
  <c r="P97" i="9"/>
  <c r="P92" i="9"/>
  <c r="P64" i="9"/>
  <c r="P93" i="9"/>
  <c r="P66" i="9"/>
  <c r="P63" i="9"/>
  <c r="P89" i="9"/>
  <c r="P85" i="9"/>
  <c r="P96" i="9"/>
  <c r="P73" i="9"/>
  <c r="P78" i="9"/>
  <c r="P79" i="9"/>
  <c r="P94" i="9"/>
  <c r="P111" i="9"/>
  <c r="P76" i="9"/>
  <c r="P86" i="9"/>
  <c r="P88" i="9"/>
  <c r="P74" i="9"/>
  <c r="P112" i="9"/>
  <c r="P107" i="9"/>
  <c r="P70" i="9"/>
  <c r="P98" i="9"/>
  <c r="P91" i="9"/>
  <c r="P90" i="9"/>
  <c r="P75" i="9"/>
  <c r="P77" i="9"/>
  <c r="P81" i="9"/>
  <c r="P65" i="9"/>
  <c r="P102" i="9"/>
  <c r="P101" i="9"/>
  <c r="P105" i="9"/>
  <c r="P110" i="9"/>
  <c r="P100" i="9"/>
  <c r="P104" i="9"/>
  <c r="P106" i="9"/>
  <c r="P99" i="9"/>
  <c r="Y107" i="9"/>
  <c r="Y104" i="9"/>
  <c r="Y97" i="9"/>
  <c r="Y94" i="9"/>
  <c r="Y77" i="9"/>
  <c r="Y103" i="9"/>
  <c r="Y100" i="9"/>
  <c r="Y93" i="9"/>
  <c r="Y90" i="9"/>
  <c r="Y73" i="9"/>
  <c r="Y75" i="9"/>
  <c r="Y99" i="9"/>
  <c r="Y96" i="9"/>
  <c r="Y89" i="9"/>
  <c r="Y86" i="9"/>
  <c r="Y69" i="9"/>
  <c r="Y71" i="9"/>
  <c r="Y95" i="9"/>
  <c r="Y92" i="9"/>
  <c r="Y85" i="9"/>
  <c r="Y83" i="9"/>
  <c r="Y65" i="9"/>
  <c r="Y67" i="9"/>
  <c r="Y64" i="9"/>
  <c r="Y87" i="9"/>
  <c r="Y109" i="9"/>
  <c r="Y88" i="9"/>
  <c r="Y84" i="9"/>
  <c r="Y82" i="9"/>
  <c r="Y105" i="9"/>
  <c r="Y80" i="9"/>
  <c r="Y76" i="9"/>
  <c r="Y101" i="9"/>
  <c r="Y81" i="9"/>
  <c r="Y72" i="9"/>
  <c r="Y91" i="9"/>
  <c r="Y70" i="9"/>
  <c r="Y68" i="9"/>
  <c r="Y98" i="9"/>
  <c r="Y108" i="9"/>
  <c r="Y63" i="9"/>
  <c r="Y110" i="9"/>
  <c r="Y78" i="9"/>
  <c r="Y102" i="9"/>
  <c r="Y112" i="9"/>
  <c r="Y66" i="9"/>
  <c r="Y79" i="9"/>
  <c r="Y111" i="9"/>
  <c r="Y106" i="9"/>
  <c r="Y74" i="9"/>
  <c r="AC62" i="9"/>
  <c r="M70" i="9"/>
  <c r="M109" i="9"/>
  <c r="M102" i="9"/>
  <c r="M91" i="9"/>
  <c r="M88" i="9"/>
  <c r="M75" i="9"/>
  <c r="M77" i="9"/>
  <c r="M94" i="9"/>
  <c r="M112" i="9"/>
  <c r="M67" i="9"/>
  <c r="M110" i="9"/>
  <c r="M68" i="9"/>
  <c r="M92" i="9"/>
  <c r="M74" i="9"/>
  <c r="M105" i="9"/>
  <c r="M98" i="9"/>
  <c r="M87" i="9"/>
  <c r="M85" i="9"/>
  <c r="M71" i="9"/>
  <c r="M73" i="9"/>
  <c r="M101" i="9"/>
  <c r="M81" i="9"/>
  <c r="M65" i="9"/>
  <c r="M79" i="9"/>
  <c r="M106" i="9"/>
  <c r="M64" i="9"/>
  <c r="M97" i="9"/>
  <c r="M111" i="9"/>
  <c r="M108" i="9"/>
  <c r="M82" i="9"/>
  <c r="M63" i="9"/>
  <c r="M84" i="9"/>
  <c r="M69" i="9"/>
  <c r="M89" i="9"/>
  <c r="M100" i="9"/>
  <c r="M83" i="9"/>
  <c r="M99" i="9"/>
  <c r="M86" i="9"/>
  <c r="M90" i="9"/>
  <c r="M80" i="9"/>
  <c r="M93" i="9"/>
  <c r="M107" i="9"/>
  <c r="M104" i="9"/>
  <c r="M78" i="9"/>
  <c r="M76" i="9"/>
  <c r="M103" i="9"/>
  <c r="M72" i="9"/>
  <c r="M96" i="9"/>
  <c r="M95" i="9"/>
  <c r="M66" i="9"/>
  <c r="V90" i="9"/>
  <c r="V91" i="9"/>
  <c r="V65" i="9"/>
  <c r="V96" i="9"/>
  <c r="V77" i="9"/>
  <c r="V81" i="9"/>
  <c r="V84" i="9"/>
  <c r="V92" i="9"/>
  <c r="V87" i="9"/>
  <c r="V109" i="9"/>
  <c r="V76" i="9"/>
  <c r="V88" i="9"/>
  <c r="V110" i="9"/>
  <c r="V82" i="9"/>
  <c r="V93" i="9"/>
  <c r="V97" i="9"/>
  <c r="V74" i="9"/>
  <c r="V111" i="9"/>
  <c r="V75" i="9"/>
  <c r="V86" i="9"/>
  <c r="V99" i="9"/>
  <c r="V70" i="9"/>
  <c r="V100" i="9"/>
  <c r="V106" i="9"/>
  <c r="V63" i="9"/>
  <c r="V101" i="9"/>
  <c r="V108" i="9"/>
  <c r="V98" i="9"/>
  <c r="V78" i="9"/>
  <c r="V79" i="9"/>
  <c r="V94" i="9"/>
  <c r="V103" i="9"/>
  <c r="V83" i="9"/>
  <c r="V66" i="9"/>
  <c r="V80" i="9"/>
  <c r="V89" i="9"/>
  <c r="V95" i="9"/>
  <c r="V72" i="9"/>
  <c r="V68" i="9"/>
  <c r="V107" i="9"/>
  <c r="V64" i="9"/>
  <c r="V105" i="9"/>
  <c r="V104" i="9"/>
  <c r="V71" i="9"/>
  <c r="V73" i="9"/>
  <c r="V102" i="9"/>
  <c r="V85" i="9"/>
  <c r="V67" i="9"/>
  <c r="V112" i="9"/>
  <c r="V69" i="9"/>
  <c r="S104" i="9"/>
  <c r="S97" i="9"/>
  <c r="S86" i="9"/>
  <c r="S84" i="9"/>
  <c r="S66" i="9"/>
  <c r="S72" i="9"/>
  <c r="S100" i="9"/>
  <c r="S93" i="9"/>
  <c r="S111" i="9"/>
  <c r="S85" i="9"/>
  <c r="S68" i="9"/>
  <c r="S96" i="9"/>
  <c r="S89" i="9"/>
  <c r="S107" i="9"/>
  <c r="S81" i="9"/>
  <c r="S83" i="9"/>
  <c r="S64" i="9"/>
  <c r="S92" i="9"/>
  <c r="S110" i="9"/>
  <c r="S103" i="9"/>
  <c r="S77" i="9"/>
  <c r="S75" i="9"/>
  <c r="S79" i="9"/>
  <c r="S112" i="9"/>
  <c r="S98" i="9"/>
  <c r="S74" i="9"/>
  <c r="S90" i="9"/>
  <c r="S108" i="9"/>
  <c r="S94" i="9"/>
  <c r="S70" i="9"/>
  <c r="S88" i="9"/>
  <c r="S99" i="9"/>
  <c r="S71" i="9"/>
  <c r="S65" i="9"/>
  <c r="S109" i="9"/>
  <c r="S95" i="9"/>
  <c r="S67" i="9"/>
  <c r="S101" i="9"/>
  <c r="S87" i="9"/>
  <c r="S76" i="9"/>
  <c r="S106" i="9"/>
  <c r="S82" i="9"/>
  <c r="S69" i="9"/>
  <c r="S105" i="9"/>
  <c r="S102" i="9"/>
  <c r="S91" i="9"/>
  <c r="S80" i="9"/>
  <c r="S73" i="9"/>
  <c r="S78" i="9"/>
  <c r="S63" i="9"/>
  <c r="K79" i="9"/>
  <c r="K108" i="9"/>
  <c r="K101" i="9"/>
  <c r="K94" i="9"/>
  <c r="K91" i="9"/>
  <c r="K76" i="9"/>
  <c r="K104" i="9"/>
  <c r="K97" i="9"/>
  <c r="K90" i="9"/>
  <c r="K87" i="9"/>
  <c r="K74" i="9"/>
  <c r="K72" i="9"/>
  <c r="K100" i="9"/>
  <c r="K93" i="9"/>
  <c r="K86" i="9"/>
  <c r="K84" i="9"/>
  <c r="K70" i="9"/>
  <c r="K68" i="9"/>
  <c r="K96" i="9"/>
  <c r="K89" i="9"/>
  <c r="K111" i="9"/>
  <c r="K80" i="9"/>
  <c r="K66" i="9"/>
  <c r="K64" i="9"/>
  <c r="K102" i="9"/>
  <c r="K82" i="9"/>
  <c r="K73" i="9"/>
  <c r="K112" i="9"/>
  <c r="K98" i="9"/>
  <c r="K78" i="9"/>
  <c r="K77" i="9"/>
  <c r="K65" i="9"/>
  <c r="K92" i="9"/>
  <c r="K107" i="9"/>
  <c r="K75" i="9"/>
  <c r="K88" i="9"/>
  <c r="K103" i="9"/>
  <c r="K71" i="9"/>
  <c r="K109" i="9"/>
  <c r="K99" i="9"/>
  <c r="K67" i="9"/>
  <c r="K105" i="9"/>
  <c r="K95" i="9"/>
  <c r="K63" i="9"/>
  <c r="K110" i="9"/>
  <c r="K85" i="9"/>
  <c r="K83" i="9"/>
  <c r="K81" i="9"/>
  <c r="K69" i="9"/>
  <c r="K106" i="9"/>
  <c r="Q64" i="9"/>
  <c r="Q79" i="9"/>
  <c r="Q107" i="9"/>
  <c r="Q104" i="9"/>
  <c r="Q93" i="9"/>
  <c r="Q86" i="9"/>
  <c r="Q73" i="9"/>
  <c r="Q75" i="9"/>
  <c r="Q103" i="9"/>
  <c r="Q100" i="9"/>
  <c r="Q89" i="9"/>
  <c r="Q83" i="9"/>
  <c r="Q69" i="9"/>
  <c r="Q71" i="9"/>
  <c r="Q87" i="9"/>
  <c r="Q97" i="9"/>
  <c r="Q80" i="9"/>
  <c r="Q70" i="9"/>
  <c r="Q91" i="9"/>
  <c r="Q112" i="9"/>
  <c r="Q110" i="9"/>
  <c r="Q85" i="9"/>
  <c r="Q66" i="9"/>
  <c r="Q108" i="9"/>
  <c r="Q106" i="9"/>
  <c r="Q81" i="9"/>
  <c r="Q92" i="9"/>
  <c r="Q99" i="9"/>
  <c r="Q94" i="9"/>
  <c r="Q78" i="9"/>
  <c r="Q105" i="9"/>
  <c r="Q82" i="9"/>
  <c r="Q68" i="9"/>
  <c r="Q101" i="9"/>
  <c r="Q74" i="9"/>
  <c r="Q96" i="9"/>
  <c r="Q102" i="9"/>
  <c r="Q88" i="9"/>
  <c r="Q67" i="9"/>
  <c r="Q98" i="9"/>
  <c r="Q63" i="9"/>
  <c r="Q109" i="9"/>
  <c r="Q65" i="9"/>
  <c r="Q95" i="9"/>
  <c r="Q90" i="9"/>
  <c r="Q76" i="9"/>
  <c r="Q84" i="9"/>
  <c r="Q72" i="9"/>
  <c r="Q111" i="9"/>
  <c r="Q77" i="9"/>
  <c r="M62" i="9"/>
  <c r="X77" i="9"/>
  <c r="X107" i="9"/>
  <c r="X104" i="9"/>
  <c r="X76" i="9"/>
  <c r="X66" i="9"/>
  <c r="X74" i="9"/>
  <c r="X63" i="9"/>
  <c r="X101" i="9"/>
  <c r="X99" i="9"/>
  <c r="X96" i="9"/>
  <c r="X72" i="9"/>
  <c r="X110" i="9"/>
  <c r="X70" i="9"/>
  <c r="X106" i="9"/>
  <c r="X105" i="9"/>
  <c r="X91" i="9"/>
  <c r="X88" i="9"/>
  <c r="X68" i="9"/>
  <c r="X94" i="9"/>
  <c r="X102" i="9"/>
  <c r="X87" i="9"/>
  <c r="X86" i="9"/>
  <c r="X85" i="9"/>
  <c r="X64" i="9"/>
  <c r="X84" i="9"/>
  <c r="X80" i="9"/>
  <c r="X82" i="9"/>
  <c r="X92" i="9"/>
  <c r="X98" i="9"/>
  <c r="X83" i="9"/>
  <c r="X78" i="9"/>
  <c r="X93" i="9"/>
  <c r="X111" i="9"/>
  <c r="X73" i="9"/>
  <c r="X89" i="9"/>
  <c r="X95" i="9"/>
  <c r="X103" i="9"/>
  <c r="X69" i="9"/>
  <c r="X75" i="9"/>
  <c r="X109" i="9"/>
  <c r="X100" i="9"/>
  <c r="X71" i="9"/>
  <c r="X112" i="9"/>
  <c r="X79" i="9"/>
  <c r="X67" i="9"/>
  <c r="X81" i="9"/>
  <c r="X65" i="9"/>
  <c r="X90" i="9"/>
  <c r="X108" i="9"/>
  <c r="X97"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<sst xmlns="http://schemas.openxmlformats.org/spreadsheetml/2006/main" count="1069" uniqueCount="448">
  <si>
    <t>Source:</t>
  </si>
  <si>
    <t>NoH Number of Households</t>
  </si>
  <si>
    <t>Key Indicators</t>
  </si>
  <si>
    <t>Energy Consumption by Fuel</t>
  </si>
  <si>
    <t>Electricity Related Losses</t>
  </si>
  <si>
    <t>Total Net Own-use Generation</t>
  </si>
  <si>
    <t>Heating Degree Days</t>
  </si>
  <si>
    <t>Cooling Degree Days</t>
  </si>
  <si>
    <t>ref2023.d020623a</t>
  </si>
  <si>
    <t>Report</t>
  </si>
  <si>
    <t>Annual Energy Outlook 2023</t>
  </si>
  <si>
    <t>Scenario</t>
  </si>
  <si>
    <t>ref2023</t>
  </si>
  <si>
    <t>Reference</t>
  </si>
  <si>
    <t>Datekey</t>
  </si>
  <si>
    <t>d020623a</t>
  </si>
  <si>
    <t>Release Date</t>
  </si>
  <si>
    <t xml:space="preserve"> March 2023</t>
  </si>
  <si>
    <t>RKI000</t>
  </si>
  <si>
    <t>4. Residential Sector Key Indicators and Consumption</t>
  </si>
  <si>
    <t>Average</t>
  </si>
  <si>
    <t>(quadrillion Btu, unless otherwise noted)</t>
  </si>
  <si>
    <t>Annual</t>
  </si>
  <si>
    <t>Change</t>
  </si>
  <si>
    <t xml:space="preserve"> Key Indicators and Consumption</t>
  </si>
  <si>
    <t>2022–2050</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</si>
  <si>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</si>
  <si>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</si>
  <si>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</si>
  <si>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</si>
  <si>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</si>
  <si>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</si>
  <si>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</si>
  <si>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</si>
  <si>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</si>
  <si>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</si>
  <si>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</si>
  <si>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</si>
  <si>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(million 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</si>
  <si>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</si>
  <si>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</si>
  <si>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</si>
  <si>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</si>
  <si>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</si>
  <si>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</si>
  <si>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</si>
  <si>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</si>
  <si>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</si>
  <si>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</si>
  <si>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</si>
  <si>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</si>
  <si>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</si>
  <si>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</si>
  <si>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</si>
  <si>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</si>
  <si>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</si>
  <si>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</si>
  <si>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</si>
  <si>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</si>
  <si>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</si>
  <si>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</si>
  <si>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</si>
  <si>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t>
  </si>
  <si>
    <t>RKI000:fa_ClothesWasher</t>
  </si>
  <si>
    <t xml:space="preserve">   Clothes Washers 2/</t>
  </si>
  <si>
    <t>RKI000:fa_Dishwashers</t>
  </si>
  <si>
    <t xml:space="preserve">   Dishwashers 2/</t>
  </si>
  <si>
    <t>RKI000:fa_ColorTelevisi</t>
  </si>
  <si>
    <t xml:space="preserve">   Televisions and Related Equipment 3/</t>
  </si>
  <si>
    <t>RKI000:fa_PersonalCompu</t>
  </si>
  <si>
    <t xml:space="preserve">   Computers and Related Equipment 4/</t>
  </si>
  <si>
    <t>RKI000:fa_FurnaceFans</t>
  </si>
  <si>
    <t xml:space="preserve">   Furnace Fans and Boiler Circulation Pumps</t>
  </si>
  <si>
    <t>RKI000:fa_OtherUses</t>
  </si>
  <si>
    <t xml:space="preserve">   Other Uses 5/</t>
  </si>
  <si>
    <t>RKI000:fa_DeliveredEner</t>
  </si>
  <si>
    <t xml:space="preserve">     Electricity Subtotal</t>
  </si>
  <si>
    <t>RKI000:fa_OwnGeneration</t>
  </si>
  <si>
    <t xml:space="preserve">   On-site Generation for Own Use</t>
  </si>
  <si>
    <t>RKI000:fa_PurchasedElec</t>
  </si>
  <si>
    <t xml:space="preserve">     Purchased Electricity</t>
  </si>
  <si>
    <t xml:space="preserve"> Natural Gas</t>
  </si>
  <si>
    <t>RKI000:ga_SpaceHeating</t>
  </si>
  <si>
    <t>RKI000:ga_SpaceCooling</t>
  </si>
  <si>
    <t>RKI000:ga_WaterHeating</t>
  </si>
  <si>
    <t>RKI000:ga_Cooking</t>
  </si>
  <si>
    <t>RKI000:ga_ClothesDryers</t>
  </si>
  <si>
    <t>RKI000:ga_OtherNatGas</t>
  </si>
  <si>
    <t xml:space="preserve">   Other Uses 6/</t>
  </si>
  <si>
    <t>RKI000:ga_DeliveredEner</t>
  </si>
  <si>
    <t xml:space="preserve">     Delivered Energy</t>
  </si>
  <si>
    <t xml:space="preserve"> Distillate Fuel Oil 7/</t>
  </si>
  <si>
    <t>RKI000:ha_SpaceHeating</t>
  </si>
  <si>
    <t>RKI000:ha_WaterHeating</t>
  </si>
  <si>
    <t>RKI000:Other_ha_ha</t>
  </si>
  <si>
    <t xml:space="preserve">   Other Uses 8/</t>
  </si>
  <si>
    <t>RKI000:ha_DeliveredEner</t>
  </si>
  <si>
    <t xml:space="preserve"> Propane</t>
  </si>
  <si>
    <t>RKI000:ia_SpaceHeating</t>
  </si>
  <si>
    <t>RKI000:ia_WaterHeating</t>
  </si>
  <si>
    <t>RKI000:ia_Cooking</t>
  </si>
  <si>
    <t>RKI000:ia_OtherUses</t>
  </si>
  <si>
    <t xml:space="preserve">   Other Uses 9/</t>
  </si>
  <si>
    <t>RKI000:ia_DeliveredEner</t>
  </si>
  <si>
    <t>RKI000:ja_MarketedRenew</t>
  </si>
  <si>
    <t xml:space="preserve"> Marketed Renewables (wood) 10/</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</si>
  <si>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</si>
  <si>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</si>
  <si>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</si>
  <si>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</si>
  <si>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</si>
  <si>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</si>
  <si>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</si>
  <si>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</si>
  <si>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</si>
  <si>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</si>
  <si>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</si>
  <si>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</si>
  <si>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</si>
  <si>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</si>
  <si>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</si>
  <si>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</si>
  <si>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t>
  </si>
  <si>
    <t>RKI000:ka_ClothesWasher</t>
  </si>
  <si>
    <t xml:space="preserve"> Clothes Washers 2/</t>
  </si>
  <si>
    <t>RKI000:ka_Dishwashers</t>
  </si>
  <si>
    <t xml:space="preserve"> Dishwashers 2/</t>
  </si>
  <si>
    <t>RKI000:ka_ColorTelevisi</t>
  </si>
  <si>
    <t xml:space="preserve"> Televisions and Related Equipment 3/</t>
  </si>
  <si>
    <t>RKI000:ka_PersonalCompu</t>
  </si>
  <si>
    <t xml:space="preserve"> Computers and Related Equipment 4/</t>
  </si>
  <si>
    <t>RKI000:ka_FurnaceFans</t>
  </si>
  <si>
    <t xml:space="preserve"> Furnace Fans and Boiler Circulation Pumps</t>
  </si>
  <si>
    <t>RKI000:ka_OtherUses</t>
  </si>
  <si>
    <t xml:space="preserve"> Other Uses 11/</t>
  </si>
  <si>
    <t>RKI000:ka_GrsEndUseCons</t>
  </si>
  <si>
    <t xml:space="preserve">    Gross End-use Consumption</t>
  </si>
  <si>
    <t>RKI000:ka_OwnGeneration</t>
  </si>
  <si>
    <t xml:space="preserve"> On-site Generation for Own Use</t>
  </si>
  <si>
    <t>RKI000:ka_DeliveredEner</t>
  </si>
  <si>
    <t xml:space="preserve">    Delivered Energy</t>
  </si>
  <si>
    <t>RKI000:la_ElectricityRe</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</si>
  <si>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</si>
  <si>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</si>
  <si>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</si>
  <si>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</si>
  <si>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</si>
  <si>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</si>
  <si>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</si>
  <si>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</si>
  <si>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</si>
  <si>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</si>
  <si>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</si>
  <si>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</si>
  <si>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</si>
  <si>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</si>
  <si>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</si>
  <si>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</si>
  <si>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</si>
  <si>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RKI000:ma_OwnGeneration</t>
  </si>
  <si>
    <t xml:space="preserve"> Generation for Own Use</t>
  </si>
  <si>
    <t>RKI000:ma_TtllOwnUseGen</t>
  </si>
  <si>
    <t>Nonmarketed Renewables 12/</t>
  </si>
  <si>
    <t>RKI000:na_GeothermalHea</t>
  </si>
  <si>
    <t xml:space="preserve">  Geothermal Heat Pumps</t>
  </si>
  <si>
    <t>RKI000:na_SolarHotWater</t>
  </si>
  <si>
    <t xml:space="preserve">  Solar Hot Water Heating</t>
  </si>
  <si>
    <t>RKI000:na_SolarPhotovol</t>
  </si>
  <si>
    <t xml:space="preserve">  Solar Photovoltaic</t>
  </si>
  <si>
    <t>RKI000:na_WindHuffPuff</t>
  </si>
  <si>
    <t xml:space="preserve">  Wind</t>
  </si>
  <si>
    <t>RKI000:na_Total</t>
  </si>
  <si>
    <t xml:space="preserve">    Total</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</si>
  <si>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</si>
  <si>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</si>
  <si>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</si>
  <si>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</si>
  <si>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</si>
  <si>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</si>
  <si>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</si>
  <si>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</si>
  <si>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</si>
  <si>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</si>
  <si>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</si>
  <si>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</si>
  <si>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</si>
  <si>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</si>
  <si>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</si>
  <si>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</si>
  <si>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</si>
  <si>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</si>
  <si>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</si>
  <si>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</si>
  <si>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</si>
  <si>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</si>
  <si>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</si>
  <si>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</si>
  <si>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</si>
  <si>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</si>
  <si>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</si>
  <si>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</si>
  <si>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</si>
  <si>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</si>
  <si>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1/ Unless otherwise specified, energy consumption by end use includes all electricity consumed for that end use,</t>
  </si>
  <si>
    <t>including purchased electricity and on-site generation for own use.</t>
  </si>
  <si>
    <t>2/ Does not include water heating portion of load.</t>
  </si>
  <si>
    <t>3/ Includes televisions, set-top boxes, home theater systems, over-the-top streaming devices, and video game consoles.</t>
  </si>
  <si>
    <t>4/ Includes desktop and laptop computers, monitors, and networking equipment.</t>
  </si>
  <si>
    <t>5/ Includes (but is not limited to) dehumidifiers, ceiling fans, non-PC rechargeables, smart speakers, smartphones, tablets, microwaves,</t>
  </si>
  <si>
    <t>coffee makers, miscellaneous refrigeration products, other small kitchen appliances, pool heaters, pool pumps, portable electric spas, and</t>
  </si>
  <si>
    <t>security systems, as well as electric and electronic devices, heating elements, and motors not listed above. Electric vehicles are</t>
  </si>
  <si>
    <t>included in the transportation sector.</t>
  </si>
  <si>
    <t>6/ Includes such appliances as outdoor grills, natural gas-fueled lights, pool heaters, spa heaters, and backup electricity generators.</t>
  </si>
  <si>
    <t>7/ Includes kerosene use.</t>
  </si>
  <si>
    <t>8/ Includes such appliances as pool heaters, spa heaters, and backup electricity generators.</t>
  </si>
  <si>
    <t>9/ Includes such appliances as outdoor grills, propane-fueled lights, pool heaters, spa heaters, and backup electricity generators.</t>
  </si>
  <si>
    <t>10/ Includes wood used for primary and secondary heating in wood stoves or fireplaces as reported in the Residential Energy Consumption</t>
  </si>
  <si>
    <t>Survey.</t>
  </si>
  <si>
    <t>11/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</si>
  <si>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</si>
  <si>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</si>
  <si>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 Electric vehicles are included in the transportation sector.</t>
  </si>
  <si>
    <t>12/ Consumption determined by using the average electric power sector net heat rate for fossil fuels.</t>
  </si>
  <si>
    <t>Btu = British thermal unit.</t>
  </si>
  <si>
    <t>- - = Not applicable.</t>
  </si>
  <si>
    <t>Note:  Totals may not equal sum of components due to independent rounding.</t>
  </si>
  <si>
    <t>Data source: 2022:  U.S. Energy Information Administration (EIA), Short-Term Energy Outlook, November 2022 and EIA, AEO2023</t>
  </si>
  <si>
    <t>National Energy Modeling System run ref2023.d020623a.  Projections:  EIA, AEO2023 National Energy Modeling System run ref2023.d020623a.</t>
  </si>
  <si>
    <t>Energy Information Administration</t>
  </si>
  <si>
    <t>https://www.eia.gov/outlooks/archive/aeo23/tables_ref.php</t>
  </si>
  <si>
    <t>Table 4</t>
  </si>
  <si>
    <t>Households</t>
  </si>
  <si>
    <t>Dmnl</t>
  </si>
  <si>
    <t>2022-2050</t>
  </si>
  <si>
    <t>Annual Energy Outlook 2022</t>
  </si>
  <si>
    <t>https://www.eia.gov/outlooks/archive/aeo22/tables_ref.php</t>
  </si>
  <si>
    <t>ref2021.d113020a</t>
  </si>
  <si>
    <t>Annual Energy Outlook 2021</t>
  </si>
  <si>
    <t>ref2021</t>
  </si>
  <si>
    <t>Reference case</t>
  </si>
  <si>
    <t>d113020a</t>
  </si>
  <si>
    <t xml:space="preserve"> January 2021</t>
  </si>
  <si>
    <t>Compound</t>
  </si>
  <si>
    <t xml:space="preserve"> Growth </t>
  </si>
  <si>
    <t/>
  </si>
  <si>
    <t xml:space="preserve">2020-2050 </t>
  </si>
  <si>
    <t>(percent)</t>
  </si>
  <si>
    <t xml:space="preserve">   Onsite Generation for Own Use</t>
  </si>
  <si>
    <t xml:space="preserve"> Onsite Generation for Own Use</t>
  </si>
  <si>
    <t>including purchased electricity and onsite generation for own use.</t>
  </si>
  <si>
    <t>3/ Includes televisions, set-top boxes, home theater systems, DVD and Blu-ray players, and video game consoles.</t>
  </si>
  <si>
    <t>5/ Includes electric and electronic devices, heating elements, and motors not listed above.  Electric vehicles are included in the</t>
  </si>
  <si>
    <t>transportation sector.</t>
  </si>
  <si>
    <t>11/ Includes electric and electronic devices, heating elements, motors, outdoor grills, natural gas-and propane-fueled lights, pool</t>
  </si>
  <si>
    <t>heaters, spa heaters, and backup electricity generators not listed above.  Electric vehicles are included in the transportation sector.</t>
  </si>
  <si>
    <t>Sources:  2020:  U.S. Energy Information Administration (EIA), Short-Term Energy Outlook, October 2020 and EIA, AEO2021</t>
  </si>
  <si>
    <t>National Energy Modeling System run ref2021.d113020a.  Projections:  EIA, AEO2021 National Energy Modeling System run ref2021.d113020a.</t>
  </si>
  <si>
    <t>Source: U.S. Census Bureau, Population Division</t>
  </si>
  <si>
    <t>Suggested Citation:</t>
  </si>
  <si>
    <r>
      <t>.</t>
    </r>
    <r>
      <rPr>
        <sz val="10"/>
        <color theme="1"/>
        <rFont val="MS sans serif"/>
      </rPr>
      <t>Wyoming</t>
    </r>
  </si>
  <si>
    <r>
      <t>.</t>
    </r>
    <r>
      <rPr>
        <sz val="10"/>
        <color theme="1"/>
        <rFont val="MS sans serif"/>
      </rPr>
      <t>Wisconsin</t>
    </r>
  </si>
  <si>
    <r>
      <t>.</t>
    </r>
    <r>
      <rPr>
        <sz val="10"/>
        <color theme="1"/>
        <rFont val="MS sans serif"/>
      </rPr>
      <t>West Virginia</t>
    </r>
  </si>
  <si>
    <r>
      <t>.</t>
    </r>
    <r>
      <rPr>
        <sz val="10"/>
        <color theme="1"/>
        <rFont val="MS sans serif"/>
      </rPr>
      <t>Washington</t>
    </r>
  </si>
  <si>
    <r>
      <t>.</t>
    </r>
    <r>
      <rPr>
        <sz val="10"/>
        <color theme="1"/>
        <rFont val="MS sans serif"/>
      </rPr>
      <t>Virginia</t>
    </r>
  </si>
  <si>
    <r>
      <t>.</t>
    </r>
    <r>
      <rPr>
        <sz val="10"/>
        <color theme="1"/>
        <rFont val="MS sans serif"/>
      </rPr>
      <t>Vermont</t>
    </r>
  </si>
  <si>
    <r>
      <t>.</t>
    </r>
    <r>
      <rPr>
        <sz val="10"/>
        <color theme="1"/>
        <rFont val="MS sans serif"/>
      </rPr>
      <t>Utah</t>
    </r>
  </si>
  <si>
    <r>
      <t>.</t>
    </r>
    <r>
      <rPr>
        <sz val="10"/>
        <color theme="1"/>
        <rFont val="MS sans serif"/>
      </rPr>
      <t>Texas</t>
    </r>
  </si>
  <si>
    <r>
      <t>.</t>
    </r>
    <r>
      <rPr>
        <sz val="10"/>
        <color theme="1"/>
        <rFont val="MS sans serif"/>
      </rPr>
      <t>Tennessee</t>
    </r>
  </si>
  <si>
    <r>
      <t>.</t>
    </r>
    <r>
      <rPr>
        <sz val="10"/>
        <color theme="1"/>
        <rFont val="MS sans serif"/>
      </rPr>
      <t>South Dakota</t>
    </r>
  </si>
  <si>
    <r>
      <t>.</t>
    </r>
    <r>
      <rPr>
        <sz val="10"/>
        <color theme="1"/>
        <rFont val="MS sans serif"/>
      </rPr>
      <t>South Carolina</t>
    </r>
  </si>
  <si>
    <r>
      <t>.</t>
    </r>
    <r>
      <rPr>
        <sz val="10"/>
        <color theme="1"/>
        <rFont val="MS sans serif"/>
      </rPr>
      <t>Rhode Island</t>
    </r>
  </si>
  <si>
    <r>
      <t>.</t>
    </r>
    <r>
      <rPr>
        <sz val="10"/>
        <color theme="1"/>
        <rFont val="MS sans serif"/>
      </rPr>
      <t>Pennsylvania</t>
    </r>
  </si>
  <si>
    <r>
      <t>.</t>
    </r>
    <r>
      <rPr>
        <sz val="10"/>
        <color theme="1"/>
        <rFont val="MS sans serif"/>
      </rPr>
      <t>Oregon</t>
    </r>
  </si>
  <si>
    <r>
      <t>.</t>
    </r>
    <r>
      <rPr>
        <sz val="10"/>
        <color theme="1"/>
        <rFont val="MS sans serif"/>
      </rPr>
      <t>Oklahoma</t>
    </r>
  </si>
  <si>
    <r>
      <t>.</t>
    </r>
    <r>
      <rPr>
        <sz val="10"/>
        <color theme="1"/>
        <rFont val="MS sans serif"/>
      </rPr>
      <t>Ohio</t>
    </r>
  </si>
  <si>
    <r>
      <t>.</t>
    </r>
    <r>
      <rPr>
        <sz val="10"/>
        <color theme="1"/>
        <rFont val="MS sans serif"/>
      </rPr>
      <t>North Dakota</t>
    </r>
  </si>
  <si>
    <r>
      <t>.</t>
    </r>
    <r>
      <rPr>
        <sz val="10"/>
        <color theme="1"/>
        <rFont val="MS sans serif"/>
      </rPr>
      <t>North Carolina</t>
    </r>
  </si>
  <si>
    <r>
      <t>.</t>
    </r>
    <r>
      <rPr>
        <sz val="10"/>
        <color theme="1"/>
        <rFont val="MS sans serif"/>
      </rPr>
      <t>New York</t>
    </r>
  </si>
  <si>
    <r>
      <t>.</t>
    </r>
    <r>
      <rPr>
        <sz val="10"/>
        <color theme="1"/>
        <rFont val="MS sans serif"/>
      </rPr>
      <t>New Mexico</t>
    </r>
  </si>
  <si>
    <r>
      <t>.</t>
    </r>
    <r>
      <rPr>
        <sz val="10"/>
        <color theme="1"/>
        <rFont val="MS sans serif"/>
      </rPr>
      <t>New Jersey</t>
    </r>
  </si>
  <si>
    <r>
      <t>.</t>
    </r>
    <r>
      <rPr>
        <sz val="10"/>
        <color theme="1"/>
        <rFont val="MS sans serif"/>
      </rPr>
      <t>New Hampshire</t>
    </r>
  </si>
  <si>
    <r>
      <t>.</t>
    </r>
    <r>
      <rPr>
        <sz val="10"/>
        <color theme="1"/>
        <rFont val="MS sans serif"/>
      </rPr>
      <t>Nevada</t>
    </r>
  </si>
  <si>
    <r>
      <t>.</t>
    </r>
    <r>
      <rPr>
        <sz val="10"/>
        <color theme="1"/>
        <rFont val="MS sans serif"/>
      </rPr>
      <t>Nebraska</t>
    </r>
  </si>
  <si>
    <r>
      <t>.</t>
    </r>
    <r>
      <rPr>
        <sz val="10"/>
        <color theme="1"/>
        <rFont val="MS sans serif"/>
      </rPr>
      <t>Montana</t>
    </r>
  </si>
  <si>
    <r>
      <t>.</t>
    </r>
    <r>
      <rPr>
        <sz val="10"/>
        <color theme="1"/>
        <rFont val="MS sans serif"/>
      </rPr>
      <t>Missouri</t>
    </r>
  </si>
  <si>
    <r>
      <t>.</t>
    </r>
    <r>
      <rPr>
        <sz val="10"/>
        <color theme="1"/>
        <rFont val="MS sans serif"/>
      </rPr>
      <t>Mississippi</t>
    </r>
  </si>
  <si>
    <r>
      <t>.</t>
    </r>
    <r>
      <rPr>
        <sz val="10"/>
        <color theme="1"/>
        <rFont val="MS sans serif"/>
      </rPr>
      <t>Minnesota</t>
    </r>
  </si>
  <si>
    <r>
      <t>.</t>
    </r>
    <r>
      <rPr>
        <sz val="10"/>
        <color theme="1"/>
        <rFont val="MS sans serif"/>
      </rPr>
      <t>Michigan</t>
    </r>
  </si>
  <si>
    <r>
      <t>.</t>
    </r>
    <r>
      <rPr>
        <sz val="10"/>
        <color theme="1"/>
        <rFont val="MS sans serif"/>
      </rPr>
      <t>Massachusetts</t>
    </r>
  </si>
  <si>
    <r>
      <t>.</t>
    </r>
    <r>
      <rPr>
        <sz val="10"/>
        <color theme="1"/>
        <rFont val="MS sans serif"/>
      </rPr>
      <t>Maryland</t>
    </r>
  </si>
  <si>
    <r>
      <t>.</t>
    </r>
    <r>
      <rPr>
        <sz val="10"/>
        <color theme="1"/>
        <rFont val="MS sans serif"/>
      </rPr>
      <t>Maine</t>
    </r>
  </si>
  <si>
    <r>
      <t>.</t>
    </r>
    <r>
      <rPr>
        <sz val="10"/>
        <color theme="1"/>
        <rFont val="MS sans serif"/>
      </rPr>
      <t>Louisiana</t>
    </r>
  </si>
  <si>
    <r>
      <t>.</t>
    </r>
    <r>
      <rPr>
        <sz val="10"/>
        <color theme="1"/>
        <rFont val="MS sans serif"/>
      </rPr>
      <t>Kentucky</t>
    </r>
  </si>
  <si>
    <r>
      <t>.</t>
    </r>
    <r>
      <rPr>
        <sz val="10"/>
        <color theme="1"/>
        <rFont val="MS sans serif"/>
      </rPr>
      <t>Kansas</t>
    </r>
  </si>
  <si>
    <r>
      <t>.</t>
    </r>
    <r>
      <rPr>
        <sz val="10"/>
        <color theme="1"/>
        <rFont val="MS sans serif"/>
      </rPr>
      <t>Iowa</t>
    </r>
  </si>
  <si>
    <r>
      <t>.</t>
    </r>
    <r>
      <rPr>
        <sz val="10"/>
        <color theme="1"/>
        <rFont val="MS sans serif"/>
      </rPr>
      <t>Indiana</t>
    </r>
  </si>
  <si>
    <r>
      <t>.</t>
    </r>
    <r>
      <rPr>
        <sz val="10"/>
        <color theme="1"/>
        <rFont val="MS sans serif"/>
      </rPr>
      <t>Illinois</t>
    </r>
  </si>
  <si>
    <r>
      <t>.</t>
    </r>
    <r>
      <rPr>
        <sz val="10"/>
        <color theme="1"/>
        <rFont val="MS sans serif"/>
      </rPr>
      <t>Idaho</t>
    </r>
  </si>
  <si>
    <r>
      <t>.</t>
    </r>
    <r>
      <rPr>
        <sz val="10"/>
        <color theme="1"/>
        <rFont val="MS sans serif"/>
      </rPr>
      <t>Hawaii</t>
    </r>
  </si>
  <si>
    <r>
      <t>.</t>
    </r>
    <r>
      <rPr>
        <sz val="10"/>
        <color theme="1"/>
        <rFont val="MS sans serif"/>
      </rPr>
      <t>Georgia</t>
    </r>
  </si>
  <si>
    <r>
      <t>.</t>
    </r>
    <r>
      <rPr>
        <sz val="10"/>
        <color theme="1"/>
        <rFont val="MS sans serif"/>
      </rPr>
      <t>Florida</t>
    </r>
  </si>
  <si>
    <r>
      <t>.</t>
    </r>
    <r>
      <rPr>
        <sz val="10"/>
        <color theme="1"/>
        <rFont val="MS sans serif"/>
      </rPr>
      <t>District of Columbia</t>
    </r>
  </si>
  <si>
    <r>
      <t>.</t>
    </r>
    <r>
      <rPr>
        <sz val="10"/>
        <color theme="1"/>
        <rFont val="MS sans serif"/>
      </rPr>
      <t>Delaware</t>
    </r>
  </si>
  <si>
    <r>
      <t>.</t>
    </r>
    <r>
      <rPr>
        <sz val="10"/>
        <color theme="1"/>
        <rFont val="MS sans serif"/>
      </rPr>
      <t>Connecticut</t>
    </r>
  </si>
  <si>
    <r>
      <t>.</t>
    </r>
    <r>
      <rPr>
        <sz val="10"/>
        <color theme="1"/>
        <rFont val="MS sans serif"/>
      </rPr>
      <t>Colorado</t>
    </r>
  </si>
  <si>
    <r>
      <t>.</t>
    </r>
    <r>
      <rPr>
        <sz val="10"/>
        <color theme="1"/>
        <rFont val="MS sans serif"/>
      </rPr>
      <t>California</t>
    </r>
  </si>
  <si>
    <r>
      <t>.</t>
    </r>
    <r>
      <rPr>
        <sz val="10"/>
        <color theme="1"/>
        <rFont val="MS sans serif"/>
      </rPr>
      <t>Arkansas</t>
    </r>
  </si>
  <si>
    <r>
      <t>.</t>
    </r>
    <r>
      <rPr>
        <sz val="10"/>
        <color theme="1"/>
        <rFont val="MS sans serif"/>
      </rPr>
      <t>Arizona</t>
    </r>
  </si>
  <si>
    <r>
      <t>.</t>
    </r>
    <r>
      <rPr>
        <sz val="10"/>
        <color theme="1"/>
        <rFont val="MS sans serif"/>
      </rPr>
      <t>Alaska</t>
    </r>
  </si>
  <si>
    <r>
      <t>.</t>
    </r>
    <r>
      <rPr>
        <sz val="10"/>
        <color theme="1"/>
        <rFont val="MS sans serif"/>
      </rPr>
      <t>Alabama</t>
    </r>
  </si>
  <si>
    <t>United States</t>
  </si>
  <si>
    <t>Geographic Area</t>
  </si>
  <si>
    <t>table with row headers in column A and column headers in rows 3 through 4. (leading dots indicate sub-parts)</t>
  </si>
  <si>
    <t>Release Date: May 2025</t>
  </si>
  <si>
    <t>Annual Estimates of Housing Units for the United States, Regions, States, and the District of Columbia: April 1, 2020 to July 1, 2024 (NST-EST2024-HU)</t>
  </si>
  <si>
    <t xml:space="preserve">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</si>
  <si>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</si>
  <si>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West Region</t>
  </si>
  <si>
    <t>South Region</t>
  </si>
  <si>
    <t>Midwest Region</t>
  </si>
  <si>
    <t>Northeast Region</t>
  </si>
  <si>
    <t>Housing Unit Estimate (as of July 1)</t>
  </si>
  <si>
    <t>April 1, 2020
Estimates Base</t>
  </si>
  <si>
    <t>Annual Estimates of Housing Units for the United States, Regions, States, and the District of Columbia: April 1, 2020 to July 1, 2024</t>
  </si>
  <si>
    <t>State</t>
  </si>
  <si>
    <t>Abbr.</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</si>
  <si>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</si>
  <si>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</si>
  <si>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</si>
  <si>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</si>
  <si>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</si>
  <si>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</si>
  <si>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</si>
  <si>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</si>
  <si>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</si>
  <si>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</si>
  <si>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</si>
  <si>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</si>
  <si>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</si>
  <si>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</si>
  <si>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</si>
  <si>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</si>
  <si>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</si>
  <si>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</si>
  <si>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</si>
  <si>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</si>
  <si>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</si>
  <si>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</si>
  <si>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</si>
  <si>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</si>
  <si>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</si>
  <si>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</si>
  <si>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</si>
  <si>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</si>
  <si>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</si>
  <si>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</si>
  <si>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</si>
  <si>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</si>
  <si>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</si>
  <si>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</si>
  <si>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</si>
  <si>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</si>
  <si>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</si>
  <si>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</si>
  <si>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</si>
  <si>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</si>
  <si>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</si>
  <si>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</si>
  <si>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</si>
  <si>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</si>
  <si>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</si>
  <si>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</si>
  <si>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</si>
  <si>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</si>
  <si>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</si>
  <si>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</si>
  <si>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</si>
  <si>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</si>
  <si>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</si>
  <si>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</si>
  <si>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</si>
  <si>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</si>
  <si>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</si>
  <si>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</si>
  <si>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</si>
  <si>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</si>
  <si>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</si>
  <si>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</si>
  <si>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</si>
  <si>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</si>
  <si>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</si>
  <si>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</si>
  <si>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</si>
  <si>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</si>
  <si>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</si>
  <si>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</si>
  <si>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</si>
  <si>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</si>
  <si>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</si>
  <si>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</si>
  <si>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</si>
  <si>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</si>
  <si>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</si>
  <si>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</si>
  <si>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</si>
  <si>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</si>
  <si>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</si>
  <si>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</si>
  <si>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template</t>
  </si>
  <si>
    <t>National data for template (added)</t>
  </si>
  <si>
    <t>Tennessee</t>
  </si>
  <si>
    <t>TN</t>
  </si>
  <si>
    <t>Texas</t>
  </si>
  <si>
    <t>TX</t>
  </si>
  <si>
    <t>Utah</t>
  </si>
  <si>
    <t>UT</t>
  </si>
  <si>
    <t>Vermont</t>
  </si>
  <si>
    <t>VT</t>
  </si>
  <si>
    <t>Virginia</t>
  </si>
  <si>
    <t>VA</t>
  </si>
  <si>
    <t>Washington</t>
  </si>
  <si>
    <t>WA</t>
  </si>
  <si>
    <t>West Virginia</t>
  </si>
  <si>
    <t>WV</t>
  </si>
  <si>
    <t>Wisconsin</t>
  </si>
  <si>
    <t>WI</t>
  </si>
  <si>
    <t>Wyoming</t>
  </si>
  <si>
    <t>WY</t>
  </si>
  <si>
    <t>District of Columbia</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</si>
  <si>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</si>
  <si>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t>
  </si>
  <si>
    <t>Source: US Census Bureau, Population Division</t>
  </si>
  <si>
    <t>DC</t>
  </si>
  <si>
    <t>AEO 2023 (22 for 2021 datum)</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</si>
  <si>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</si>
  <si>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</si>
  <si>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</si>
  <si>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</si>
  <si>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</si>
  <si>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Number of Households Projected to 2050</t>
  </si>
  <si>
    <t>Number of People Projected to 2050</t>
  </si>
  <si>
    <t>Subgroups may not sum to total due to rounding</t>
  </si>
  <si>
    <t>State household data</t>
  </si>
  <si>
    <t>Census</t>
  </si>
  <si>
    <t>https://www.census.gov/data/tables/time-series/demo/popest/2020s-total-housing-units.html</t>
  </si>
  <si>
    <t>National, State, and County Housing Unit Totals: 2020-2024</t>
  </si>
  <si>
    <t>state total before rescaling</t>
  </si>
  <si>
    <t>total US households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</si>
</sst>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0.0"/>
    <numFmt numFmtId="166" formatCode="_(* #,##0_);_(* \(#,##0\);_(* &quot;-&quot;??_);_(@_)"/>
    <numFmt numFmtId="167" formatCode="_-* #,##0_-;\-* #,##0_-;_-* &quot;-&quot;??_-;_-@_-"/>
  </numFmts>
  <fonts count="40"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9"/>
      <color indexed="8"/>
      <name val="Calibri"/>
      <family val="2"/>
    </font>
    <font>
      <b/>
      <sz val="9"/>
      <color indexed="8"/>
      <name val="Calibri"/>
      <family val="2"/>
    </font>
    <font>
      <b/>
      <sz val="12"/>
      <color indexed="30"/>
      <name val="Calibri"/>
      <family val="2"/>
    </font>
    <font>
      <sz val="8"/>
      <name val="Arial"/>
      <family val="2"/>
    </font>
    <font>
      <sz val="9"/>
      <name val="Calibri"/>
      <family val="2"/>
    </font>
    <font>
      <sz val="10"/>
      <color indexed="8"/>
      <name val="Arial"/>
      <family val="2"/>
    </font>
    <font>
      <b/>
      <sz val="12"/>
      <name val="Calibri"/>
      <family val="2"/>
    </font>
    <font>
      <b/>
      <sz val="9"/>
      <name val="Calibri"/>
      <family val="2"/>
    </font>
    <font>
      <sz val="10"/>
      <name val="Calibri"/>
      <family val="2"/>
    </font>
    <font>
      <sz val="11"/>
      <color rgb="FF9C6500"/>
      <name val="Calibri"/>
      <family val="2"/>
      <scheme val="minor"/>
    </font>
    <font>
      <sz val="10"/>
      <color indexed="8"/>
      <name val="Calibri"/>
      <family val="2"/>
    </font>
    <font>
      <b/>
      <sz val="8"/>
      <color theme="1"/>
      <name val="arial"/>
      <family val="2"/>
    </font>
    <font>
      <b/>
      <sz val="10"/>
      <color theme="1"/>
      <name val="MS sans serif"/>
    </font>
    <font>
      <sz val="10"/>
      <color theme="1"/>
      <name val="MS sans serif"/>
    </font>
    <font>
      <sz val="10"/>
      <color indexed="9"/>
      <name val="MS sans serif"/>
    </font>
    <font>
      <b/>
      <sz val="10"/>
      <name val="MS sans serif"/>
    </font>
    <font>
      <sz val="11"/>
      <color rgb="FF000000"/>
      <name val="Calibri"/>
      <family val="2"/>
    </font>
    <font>
      <sz val="11"/>
      <name val="Calibri"/>
      <family val="2"/>
    </font>
    <font>
      <b/>
      <sz val="14"/>
      <color theme="3"/>
      <name val="Calibri"/>
      <family val="2"/>
    </font>
    <font>
      <sz val="11"/>
      <color theme="1" tint="0.34998626667073579"/>
      <name val="Calibri"/>
      <family val="2"/>
    </font>
    <font>
      <b/>
      <sz val="11"/>
      <name val="Calibri"/>
      <family val="2"/>
    </font>
    <font>
      <i/>
      <sz val="11"/>
      <name val="Calibri"/>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indexed="43"/>
        <bgColor indexed="64"/>
      </patternFill>
    </fill>
    <fill>
      <patternFill patternType="solid">
        <fgColor indexed="9"/>
        <bgColor indexed="64"/>
      </patternFill>
    </fill>
    <fill>
      <patternFill patternType="solid">
        <fgColor theme="0" tint="-0.249977111117893"/>
        <bgColor indexed="64"/>
      </patternFill>
    </fill>
    <fill>
      <patternFill patternType="solid">
        <fgColor theme="0"/>
        <bgColor indexed="64"/>
      </patternFill>
    </fill>
    <fill>
      <patternFill patternType="solid">
        <fgColor theme="4" tint="0.79998168889431442"/>
        <bgColor indexed="64"/>
      </patternFill>
    </fill>
  </fills>
  <borders count="4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ashed">
        <color rgb="FFBFBFBF"/>
      </bottom>
      <diagonal/>
    </border>
    <border>
      <left/>
      <right/>
      <top style="medium">
        <color rgb="FF0096D7"/>
      </top>
      <bottom/>
      <diagonal/>
    </border>
    <border>
      <left/>
      <right/>
      <top/>
      <bottom style="thick">
        <color rgb="FF0096D7"/>
      </bottom>
      <diagonal/>
    </border>
    <border>
      <left/>
      <right/>
      <top/>
      <bottom style="thin">
        <color rgb="FFBFBFBF"/>
      </bottom>
      <diagonal/>
    </border>
    <border>
      <left/>
      <right style="thin">
        <color auto="1"/>
      </right>
      <top/>
      <bottom style="thin">
        <color indexed="64"/>
      </bottom>
      <diagonal/>
    </border>
    <border>
      <left/>
      <right/>
      <top/>
      <bottom style="thin">
        <color indexed="64"/>
      </bottom>
      <diagonal/>
    </border>
    <border>
      <left style="thin">
        <color auto="1"/>
      </left>
      <right/>
      <top/>
      <bottom style="thin">
        <color indexed="64"/>
      </bottom>
      <diagonal/>
    </border>
    <border>
      <left/>
      <right style="thin">
        <color auto="1"/>
      </right>
      <top/>
      <bottom/>
      <diagonal/>
    </border>
    <border>
      <left style="thin">
        <color auto="1"/>
      </left>
      <right/>
      <top/>
      <bottom/>
      <diagonal/>
    </border>
    <border>
      <left/>
      <right style="thin">
        <color auto="1"/>
      </right>
      <top style="thin">
        <color indexed="64"/>
      </top>
      <bottom/>
      <diagonal/>
    </border>
    <border>
      <left/>
      <right/>
      <top style="thin">
        <color indexed="64"/>
      </top>
      <bottom/>
      <diagonal/>
    </border>
    <border>
      <left style="thin">
        <color auto="1"/>
      </left>
      <right/>
      <top style="thin">
        <color indexed="64"/>
      </top>
      <bottom/>
      <diagonal/>
    </border>
    <border>
      <left/>
      <right style="thin">
        <color auto="1"/>
      </right>
      <top style="thin">
        <color indexed="64"/>
      </top>
      <bottom style="thin">
        <color indexed="64"/>
      </bottom>
      <diagonal/>
    </border>
    <border>
      <left/>
      <right/>
      <top style="thin">
        <color indexed="64"/>
      </top>
      <bottom style="thin">
        <color indexed="64"/>
      </bottom>
      <diagonal/>
    </border>
    <border>
      <left style="thin">
        <color auto="1"/>
      </left>
      <right/>
      <top style="thin">
        <color indexed="64"/>
      </top>
      <bottom style="thin">
        <color indexed="64"/>
      </bottom>
      <diagonal/>
    </border>
    <border>
      <left style="thin">
        <color indexed="64"/>
      </left>
      <right style="thin">
        <color auto="1"/>
      </right>
      <top style="thin">
        <color indexed="64"/>
      </top>
      <bottom style="thin">
        <color indexed="64"/>
      </bottom>
      <diagonal/>
    </border>
    <border>
      <left style="thin">
        <color auto="1"/>
      </left>
      <right style="thin">
        <color auto="1"/>
      </right>
      <top/>
      <bottom/>
      <diagonal/>
    </border>
    <border>
      <left style="thin">
        <color auto="1"/>
      </left>
      <right style="thin">
        <color auto="1"/>
      </right>
      <top/>
      <bottom style="thin">
        <color indexed="64"/>
      </bottom>
      <diagonal/>
    </border>
    <border>
      <left style="thin">
        <color theme="0" tint="-0.14996795556505021"/>
      </left>
      <right style="thin">
        <color theme="0" tint="-0.14996795556505021"/>
      </right>
      <top/>
      <bottom/>
      <diagonal/>
    </border>
    <border>
      <left style="thin">
        <color auto="1"/>
      </left>
      <right style="thin">
        <color auto="1"/>
      </right>
      <top style="thin">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double">
        <color indexed="64"/>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bottom style="medium">
        <color indexed="64"/>
      </bottom>
      <diagonal/>
    </border>
  </borders>
  <cellStyleXfs count="77">
    <xf numFmtId="0" fontId="0" fillId="0" borderId="0"/>
    <xf numFmtId="0" fontId="2" fillId="0" borderId="0" applyNumberFormat="0" applyFill="0" applyBorder="0" applyAlignment="0" applyProtection="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3" fillId="8" borderId="8" applyNumberFormat="0" applyFont="0" applyAlignment="0" applyProtection="0"/>
    <xf numFmtId="0" fontId="16" fillId="0" borderId="0" applyNumberFormat="0" applyFill="0" applyBorder="0" applyAlignment="0" applyProtection="0"/>
    <xf numFmtId="0" fontId="1" fillId="0" borderId="9" applyNumberFormat="0" applyFill="0" applyAlignment="0" applyProtection="0"/>
    <xf numFmtId="0" fontId="17"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17"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17"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17"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17"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17"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3" fillId="0" borderId="0"/>
    <xf numFmtId="0" fontId="3" fillId="0" borderId="0"/>
    <xf numFmtId="0" fontId="27" fillId="4"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8" fillId="0" borderId="10" applyNumberFormat="0" applyFont="0" applyProtection="0">
      <alignment wrapText="1"/>
    </xf>
    <xf numFmtId="0" fontId="18" fillId="0" borderId="0" applyNumberFormat="0" applyFill="0" applyBorder="0" applyAlignment="0" applyProtection="0"/>
    <xf numFmtId="0" fontId="18" fillId="0" borderId="11" applyNumberFormat="0" applyProtection="0">
      <alignment wrapText="1"/>
    </xf>
    <xf numFmtId="0" fontId="19" fillId="0" borderId="12" applyNumberFormat="0" applyProtection="0">
      <alignment wrapText="1"/>
    </xf>
    <xf numFmtId="0" fontId="19" fillId="0" borderId="13" applyNumberFormat="0" applyProtection="0">
      <alignment wrapText="1"/>
    </xf>
    <xf numFmtId="0" fontId="20" fillId="0" borderId="0" applyNumberFormat="0" applyProtection="0">
      <alignment horizontal="left"/>
    </xf>
    <xf numFmtId="43" fontId="3" fillId="0" borderId="0" applyFont="0" applyFill="0" applyBorder="0" applyAlignment="0" applyProtection="0"/>
    <xf numFmtId="0" fontId="35" fillId="0" borderId="0"/>
  </cellStyleXfs>
  <cellXfs count="131">
    <xf numFmtId="0" fontId="0" fillId="0" borderId="0" xfId="0"/>
    <xf numFmtId="0" fontId="1" fillId="0" borderId="0" xfId="0" applyFont="1"/>
    <xf numFmtId="0" fontId="0" fillId="0" borderId="0" xfId="0" applyAlignment="1">
      <alignment horizontal="left"/>
    </xf>
    <xf numFmtId="0" fontId="2" fillId="0" borderId="0" xfId="1"/>
    <xf numFmtId="0" fontId="0" fillId="0" borderId="0" xfId="0" applyAlignment="1">
      <alignment horizontal="right"/>
    </xf>
    <xf numFmtId="10" fontId="0" fillId="0" borderId="0" xfId="0" applyNumberFormat="1"/>
    <xf numFmtId="0" fontId="18" fillId="0" borderId="0" xfId="36"/>
    <xf numFmtId="0" fontId="18" fillId="0" borderId="0" xfId="38"/>
    <xf numFmtId="0" fontId="19" fillId="0" borderId="12" xfId="40">
      <alignment wrapText="1"/>
    </xf>
    <xf numFmtId="0" fontId="21" fillId="0" borderId="0" xfId="36" applyFont="1"/>
    <xf numFmtId="0" fontId="22" fillId="0" borderId="0" xfId="36" applyFont="1"/>
    <xf numFmtId="0" fontId="23" fillId="0" borderId="0" xfId="52" applyFont="1"/>
    <xf numFmtId="0" fontId="24" fillId="0" borderId="0" xfId="42" applyFont="1">
      <alignment horizontal="left"/>
    </xf>
    <xf numFmtId="0" fontId="25" fillId="0" borderId="0" xfId="36" applyFont="1" applyAlignment="1">
      <alignment horizontal="right"/>
    </xf>
    <xf numFmtId="0" fontId="22" fillId="0" borderId="0" xfId="38" applyFont="1"/>
    <xf numFmtId="0" fontId="22" fillId="0" borderId="0" xfId="36" applyFont="1" applyAlignment="1">
      <alignment horizontal="left"/>
    </xf>
    <xf numFmtId="0" fontId="25" fillId="0" borderId="12" xfId="40" applyFont="1">
      <alignment wrapText="1"/>
    </xf>
    <xf numFmtId="0" fontId="25" fillId="0" borderId="12" xfId="40" applyFont="1" applyAlignment="1">
      <alignment horizontal="right"/>
    </xf>
    <xf numFmtId="0" fontId="25" fillId="0" borderId="13" xfId="41" applyFont="1">
      <alignment wrapText="1"/>
    </xf>
    <xf numFmtId="0" fontId="22" fillId="0" borderId="10" xfId="37" applyFont="1">
      <alignment wrapText="1"/>
    </xf>
    <xf numFmtId="4" fontId="22" fillId="0" borderId="10" xfId="37" applyNumberFormat="1" applyFont="1" applyAlignment="1">
      <alignment horizontal="right" wrapText="1"/>
    </xf>
    <xf numFmtId="164" fontId="22" fillId="0" borderId="10" xfId="37" applyNumberFormat="1" applyFont="1" applyAlignment="1">
      <alignment horizontal="right" wrapText="1"/>
    </xf>
    <xf numFmtId="4" fontId="25" fillId="0" borderId="13" xfId="41" applyNumberFormat="1" applyFont="1" applyAlignment="1">
      <alignment horizontal="right" wrapText="1"/>
    </xf>
    <xf numFmtId="164" fontId="25" fillId="0" borderId="13" xfId="41" applyNumberFormat="1" applyFont="1" applyAlignment="1">
      <alignment horizontal="right" wrapText="1"/>
    </xf>
    <xf numFmtId="3" fontId="22" fillId="0" borderId="10" xfId="37" applyNumberFormat="1" applyFont="1" applyAlignment="1">
      <alignment horizontal="right" wrapText="1"/>
    </xf>
    <xf numFmtId="165" fontId="22" fillId="0" borderId="10" xfId="37" applyNumberFormat="1" applyFont="1" applyAlignment="1">
      <alignment horizontal="right" wrapText="1"/>
    </xf>
    <xf numFmtId="3" fontId="25" fillId="0" borderId="13" xfId="41" applyNumberFormat="1" applyFont="1" applyAlignment="1">
      <alignment horizontal="right" wrapText="1"/>
    </xf>
    <xf numFmtId="0" fontId="26" fillId="0" borderId="0" xfId="52" applyFont="1"/>
    <xf numFmtId="0" fontId="18" fillId="0" borderId="11" xfId="36" applyBorder="1"/>
    <xf numFmtId="0" fontId="22" fillId="0" borderId="11" xfId="39" applyFont="1" applyAlignment="1"/>
    <xf numFmtId="0" fontId="18" fillId="0" borderId="11" xfId="52" applyBorder="1"/>
    <xf numFmtId="0" fontId="22" fillId="0" borderId="0" xfId="52" applyFont="1"/>
    <xf numFmtId="4" fontId="25" fillId="0" borderId="13" xfId="41" applyNumberFormat="1" applyFont="1">
      <alignment wrapText="1"/>
    </xf>
    <xf numFmtId="164" fontId="25" fillId="0" borderId="13" xfId="41" applyNumberFormat="1" applyFont="1">
      <alignment wrapText="1"/>
    </xf>
    <xf numFmtId="0" fontId="0" fillId="33" borderId="0" xfId="0" applyFill="1"/>
    <xf numFmtId="0" fontId="18" fillId="0" borderId="0" xfId="52"/>
    <xf numFmtId="0" fontId="18" fillId="0" borderId="0" xfId="70"/>
    <xf numFmtId="0" fontId="19" fillId="0" borderId="12" xfId="72">
      <alignment wrapText="1"/>
    </xf>
    <xf numFmtId="0" fontId="21" fillId="0" borderId="0" xfId="52" applyFont="1"/>
    <xf numFmtId="0" fontId="20" fillId="0" borderId="0" xfId="74">
      <alignment horizontal="left"/>
    </xf>
    <xf numFmtId="0" fontId="18" fillId="0" borderId="0" xfId="52" applyAlignment="1">
      <alignment horizontal="left"/>
    </xf>
    <xf numFmtId="0" fontId="19" fillId="0" borderId="13" xfId="73">
      <alignment wrapText="1"/>
    </xf>
    <xf numFmtId="0" fontId="18" fillId="0" borderId="10" xfId="69" applyFont="1">
      <alignment wrapText="1"/>
    </xf>
    <xf numFmtId="4" fontId="18" fillId="0" borderId="10" xfId="69" applyNumberFormat="1" applyFont="1" applyAlignment="1">
      <alignment horizontal="right" wrapText="1"/>
    </xf>
    <xf numFmtId="164" fontId="18" fillId="0" borderId="10" xfId="69" applyNumberFormat="1" applyFont="1" applyAlignment="1">
      <alignment horizontal="right" wrapText="1"/>
    </xf>
    <xf numFmtId="4" fontId="19" fillId="0" borderId="13" xfId="73" applyNumberFormat="1" applyAlignment="1">
      <alignment horizontal="right" wrapText="1"/>
    </xf>
    <xf numFmtId="164" fontId="19" fillId="0" borderId="13" xfId="73" applyNumberFormat="1" applyAlignment="1">
      <alignment horizontal="right" wrapText="1"/>
    </xf>
    <xf numFmtId="3" fontId="18" fillId="0" borderId="10" xfId="69" applyNumberFormat="1" applyFont="1" applyAlignment="1">
      <alignment horizontal="right" wrapText="1"/>
    </xf>
    <xf numFmtId="165" fontId="18" fillId="0" borderId="10" xfId="69" applyNumberFormat="1" applyFont="1" applyAlignment="1">
      <alignment horizontal="right" wrapText="1"/>
    </xf>
    <xf numFmtId="3" fontId="19" fillId="0" borderId="13" xfId="73" applyNumberFormat="1" applyAlignment="1">
      <alignment horizontal="right" wrapText="1"/>
    </xf>
    <xf numFmtId="0" fontId="28" fillId="0" borderId="0" xfId="52" applyFont="1"/>
    <xf numFmtId="0" fontId="19" fillId="0" borderId="0" xfId="52" applyFont="1" applyAlignment="1">
      <alignment horizontal="right"/>
    </xf>
    <xf numFmtId="0" fontId="19" fillId="0" borderId="12" xfId="72" applyAlignment="1">
      <alignment horizontal="right" wrapText="1"/>
    </xf>
    <xf numFmtId="0" fontId="0" fillId="0" borderId="0" xfId="0" applyProtection="1">
      <protection locked="0"/>
    </xf>
    <xf numFmtId="3" fontId="31" fillId="0" borderId="26" xfId="0" applyNumberFormat="1" applyFont="1" applyBorder="1" applyAlignment="1" applyProtection="1">
      <alignment horizontal="right"/>
      <protection locked="0"/>
    </xf>
    <xf numFmtId="0" fontId="32" fillId="0" borderId="26" xfId="0" applyFont="1" applyBorder="1" applyProtection="1">
      <protection locked="0"/>
    </xf>
    <xf numFmtId="3" fontId="31" fillId="0" borderId="27" xfId="0" applyNumberFormat="1" applyFont="1" applyBorder="1" applyAlignment="1" applyProtection="1">
      <alignment horizontal="right"/>
      <protection locked="0"/>
    </xf>
    <xf numFmtId="0" fontId="30" fillId="0" borderId="27" xfId="0" applyFont="1" applyBorder="1" applyAlignment="1" applyProtection="1">
      <alignment horizontal="left" indent="1"/>
      <protection locked="0"/>
    </xf>
    <xf numFmtId="0" fontId="30" fillId="0" borderId="26" xfId="0" applyFont="1" applyBorder="1" applyAlignment="1" applyProtection="1">
      <alignment horizontal="left" indent="1"/>
      <protection locked="0"/>
    </xf>
    <xf numFmtId="3" fontId="31" fillId="0" borderId="25" xfId="0" applyNumberFormat="1" applyFont="1" applyBorder="1" applyAlignment="1" applyProtection="1">
      <alignment horizontal="right"/>
      <protection locked="0"/>
    </xf>
    <xf numFmtId="0" fontId="30" fillId="0" borderId="25" xfId="0" applyFont="1" applyBorder="1" applyAlignment="1" applyProtection="1">
      <alignment horizontal="left" indent="1"/>
      <protection locked="0"/>
    </xf>
    <xf numFmtId="0" fontId="1" fillId="0" borderId="0" xfId="0" applyFont="1" applyAlignment="1" applyProtection="1">
      <alignment horizontal="center" vertical="center"/>
      <protection locked="0"/>
    </xf>
    <xf numFmtId="0" fontId="30" fillId="0" borderId="25" xfId="0" applyFont="1" applyBorder="1" applyAlignment="1" applyProtection="1">
      <alignment horizontal="center" vertical="center" wrapText="1"/>
      <protection locked="0"/>
    </xf>
    <xf numFmtId="0" fontId="0" fillId="35" borderId="0" xfId="0" applyFill="1" applyProtection="1">
      <protection locked="0"/>
    </xf>
    <xf numFmtId="0" fontId="0" fillId="35" borderId="28" xfId="0" applyFill="1" applyBorder="1" applyProtection="1">
      <protection locked="0"/>
    </xf>
    <xf numFmtId="0" fontId="31" fillId="0" borderId="25" xfId="0" applyFont="1" applyBorder="1" applyAlignment="1" applyProtection="1">
      <alignment vertical="center"/>
      <protection locked="0"/>
    </xf>
    <xf numFmtId="0" fontId="33" fillId="35" borderId="25" xfId="0" applyFont="1" applyFill="1" applyBorder="1" applyAlignment="1" applyProtection="1">
      <alignment vertical="center"/>
      <protection locked="0"/>
    </xf>
    <xf numFmtId="0" fontId="34" fillId="0" borderId="0" xfId="0" applyFont="1"/>
    <xf numFmtId="14" fontId="0" fillId="0" borderId="0" xfId="0" applyNumberFormat="1"/>
    <xf numFmtId="0" fontId="0" fillId="36" borderId="0" xfId="0" applyFill="1"/>
    <xf numFmtId="4" fontId="0" fillId="36" borderId="0" xfId="75" applyNumberFormat="1" applyFont="1" applyFill="1"/>
    <xf numFmtId="0" fontId="21" fillId="0" borderId="25" xfId="0" applyFont="1" applyBorder="1" applyAlignment="1" applyProtection="1">
      <alignment wrapText="1"/>
      <protection locked="0"/>
    </xf>
    <xf numFmtId="0" fontId="21" fillId="0" borderId="25" xfId="0" applyFont="1" applyBorder="1" applyAlignment="1">
      <alignment wrapText="1"/>
    </xf>
    <xf numFmtId="0" fontId="21" fillId="0" borderId="24" xfId="0" applyFont="1" applyBorder="1" applyAlignment="1" applyProtection="1">
      <alignment wrapText="1"/>
      <protection locked="0"/>
    </xf>
    <xf numFmtId="0" fontId="21" fillId="0" borderId="23" xfId="0" applyFont="1" applyBorder="1" applyAlignment="1">
      <alignment wrapText="1"/>
    </xf>
    <xf numFmtId="0" fontId="21" fillId="0" borderId="22" xfId="0" applyFont="1" applyBorder="1" applyAlignment="1">
      <alignment wrapText="1"/>
    </xf>
    <xf numFmtId="0" fontId="29" fillId="34" borderId="18" xfId="0" applyFont="1" applyFill="1" applyBorder="1" applyAlignment="1" applyProtection="1">
      <alignment wrapText="1"/>
      <protection locked="0"/>
    </xf>
    <xf numFmtId="0" fontId="32" fillId="35" borderId="0" xfId="0" applyFont="1" applyFill="1" applyAlignment="1" applyProtection="1">
      <alignment vertical="center"/>
      <protection locked="0"/>
    </xf>
    <xf numFmtId="0" fontId="33" fillId="35" borderId="29" xfId="0" applyFont="1" applyFill="1" applyBorder="1" applyAlignment="1" applyProtection="1">
      <alignment vertical="center" wrapText="1"/>
      <protection locked="0"/>
    </xf>
    <xf numFmtId="0" fontId="31" fillId="0" borderId="27" xfId="0" applyFont="1" applyBorder="1" applyAlignment="1" applyProtection="1">
      <alignment vertical="center" wrapText="1"/>
      <protection locked="0"/>
    </xf>
    <xf numFmtId="0" fontId="30" fillId="35" borderId="25" xfId="0" applyFont="1" applyFill="1" applyBorder="1" applyAlignment="1" applyProtection="1">
      <alignment vertical="center" wrapText="1"/>
      <protection locked="0"/>
    </xf>
    <xf numFmtId="0" fontId="30" fillId="0" borderId="25" xfId="0" applyFont="1" applyBorder="1" applyAlignment="1" applyProtection="1">
      <alignment vertical="center" wrapText="1"/>
      <protection locked="0"/>
    </xf>
    <xf numFmtId="0" fontId="30" fillId="35" borderId="29" xfId="0" applyFont="1" applyFill="1" applyBorder="1" applyAlignment="1" applyProtection="1">
      <alignment vertical="center" wrapText="1"/>
      <protection locked="0"/>
    </xf>
    <xf numFmtId="0" fontId="29" fillId="34" borderId="21" xfId="0" applyFont="1" applyFill="1" applyBorder="1" applyProtection="1">
      <protection locked="0"/>
    </xf>
    <xf numFmtId="0" fontId="29" fillId="34" borderId="20" xfId="0" applyFont="1" applyFill="1" applyBorder="1"/>
    <xf numFmtId="0" fontId="29" fillId="34" borderId="19" xfId="0" applyFont="1" applyFill="1" applyBorder="1"/>
    <xf numFmtId="0" fontId="29" fillId="34" borderId="0" xfId="0" applyFont="1" applyFill="1"/>
    <xf numFmtId="0" fontId="29" fillId="34" borderId="17" xfId="0" applyFont="1" applyFill="1" applyBorder="1"/>
    <xf numFmtId="0" fontId="29" fillId="34" borderId="16" xfId="0" applyFont="1" applyFill="1" applyBorder="1" applyProtection="1">
      <protection locked="0"/>
    </xf>
    <xf numFmtId="0" fontId="29" fillId="34" borderId="15" xfId="0" applyFont="1" applyFill="1" applyBorder="1"/>
    <xf numFmtId="0" fontId="29" fillId="34" borderId="14" xfId="0" applyFont="1" applyFill="1" applyBorder="1"/>
    <xf numFmtId="166" fontId="0" fillId="0" borderId="0" xfId="75" applyNumberFormat="1" applyFont="1"/>
    <xf numFmtId="0" fontId="35" fillId="37" borderId="0" xfId="76" applyFill="1"/>
    <xf numFmtId="0" fontId="35" fillId="37" borderId="37" xfId="76" applyFill="1" applyBorder="1" applyAlignment="1">
      <alignment horizontal="center"/>
    </xf>
    <xf numFmtId="0" fontId="35" fillId="37" borderId="36" xfId="76" applyFill="1" applyBorder="1" applyAlignment="1">
      <alignment horizontal="center"/>
    </xf>
    <xf numFmtId="0" fontId="35" fillId="37" borderId="38" xfId="76" applyFill="1" applyBorder="1" applyAlignment="1">
      <alignment horizontal="center"/>
    </xf>
    <xf numFmtId="0" fontId="38" fillId="37" borderId="0" xfId="76" applyFont="1" applyFill="1"/>
    <xf numFmtId="0" fontId="38" fillId="37" borderId="39" xfId="76" applyFont="1" applyFill="1" applyBorder="1" applyAlignment="1">
      <alignment horizontal="center"/>
    </xf>
    <xf numFmtId="167" fontId="38" fillId="37" borderId="26" xfId="76" applyNumberFormat="1" applyFont="1" applyFill="1" applyBorder="1" applyAlignment="1">
      <alignment horizontal="right" indent="1"/>
    </xf>
    <xf numFmtId="3" fontId="38" fillId="37" borderId="0" xfId="76" applyNumberFormat="1" applyFont="1" applyFill="1" applyAlignment="1">
      <alignment horizontal="right" indent="1"/>
    </xf>
    <xf numFmtId="3" fontId="38" fillId="37" borderId="40" xfId="76" applyNumberFormat="1" applyFont="1" applyFill="1" applyBorder="1" applyAlignment="1">
      <alignment horizontal="right" indent="1"/>
    </xf>
    <xf numFmtId="0" fontId="35" fillId="37" borderId="39" xfId="76" applyFill="1" applyBorder="1" applyAlignment="1">
      <alignment horizontal="center"/>
    </xf>
    <xf numFmtId="167" fontId="35" fillId="37" borderId="26" xfId="76" applyNumberFormat="1" applyFill="1" applyBorder="1" applyAlignment="1">
      <alignment horizontal="right" indent="1"/>
    </xf>
    <xf numFmtId="3" fontId="35" fillId="37" borderId="0" xfId="76" applyNumberFormat="1" applyFill="1" applyAlignment="1">
      <alignment horizontal="right" indent="1"/>
    </xf>
    <xf numFmtId="3" fontId="35" fillId="37" borderId="40" xfId="76" applyNumberFormat="1" applyFill="1" applyBorder="1" applyAlignment="1">
      <alignment horizontal="right" indent="1"/>
    </xf>
    <xf numFmtId="0" fontId="35" fillId="37" borderId="0" xfId="76" applyFill="1" applyAlignment="1">
      <alignment horizontal="right"/>
    </xf>
    <xf numFmtId="166" fontId="35" fillId="37" borderId="0" xfId="76" applyNumberFormat="1" applyFill="1"/>
    <xf numFmtId="0" fontId="35" fillId="37" borderId="35" xfId="76" applyFill="1" applyBorder="1" applyAlignment="1">
      <alignment horizontal="center"/>
    </xf>
    <xf numFmtId="0" fontId="35" fillId="37" borderId="36" xfId="76" applyFill="1" applyBorder="1"/>
    <xf numFmtId="167" fontId="35" fillId="37" borderId="41" xfId="76" applyNumberFormat="1" applyFill="1" applyBorder="1" applyAlignment="1">
      <alignment horizontal="right" indent="1"/>
    </xf>
    <xf numFmtId="3" fontId="35" fillId="37" borderId="36" xfId="76" applyNumberFormat="1" applyFill="1" applyBorder="1" applyAlignment="1">
      <alignment horizontal="right" indent="1"/>
    </xf>
    <xf numFmtId="3" fontId="35" fillId="37" borderId="38" xfId="76" applyNumberFormat="1" applyFill="1" applyBorder="1" applyAlignment="1">
      <alignment horizontal="right" indent="1"/>
    </xf>
    <xf numFmtId="0" fontId="39" fillId="37" borderId="0" xfId="76" applyFont="1" applyFill="1" applyAlignment="1">
      <alignment horizontal="left"/>
    </xf>
    <xf numFmtId="0" fontId="35" fillId="37" borderId="0" xfId="76" applyFill="1" applyAlignment="1">
      <alignment horizontal="left"/>
    </xf>
    <xf numFmtId="0" fontId="35" fillId="37" borderId="0" xfId="76" applyFill="1" applyAlignment="1">
      <alignment horizontal="center"/>
    </xf>
    <xf numFmtId="3" fontId="35" fillId="37" borderId="0" xfId="76" applyNumberFormat="1" applyFill="1"/>
    <xf numFmtId="0" fontId="36" fillId="37" borderId="0" xfId="76" applyFont="1" applyFill="1" applyAlignment="1">
      <alignment vertical="center" wrapText="1"/>
    </xf>
    <xf numFmtId="0" fontId="37" fillId="37" borderId="0" xfId="76" applyFont="1" applyFill="1" applyAlignment="1">
      <alignment vertical="center" wrapText="1"/>
    </xf>
    <xf numFmtId="0" fontId="38" fillId="37" borderId="30" xfId="76" applyFont="1" applyFill="1" applyBorder="1" applyAlignment="1">
      <alignment vertical="center"/>
    </xf>
    <xf numFmtId="0" fontId="38" fillId="37" borderId="35" xfId="76" applyFont="1" applyFill="1" applyBorder="1" applyAlignment="1">
      <alignment vertical="center"/>
    </xf>
    <xf numFmtId="0" fontId="38" fillId="37" borderId="31" xfId="76" applyFont="1" applyFill="1" applyBorder="1" applyAlignment="1">
      <alignment vertical="center"/>
    </xf>
    <xf numFmtId="0" fontId="38" fillId="37" borderId="36" xfId="76" applyFont="1" applyFill="1" applyBorder="1" applyAlignment="1">
      <alignment vertical="center"/>
    </xf>
    <xf numFmtId="0" fontId="38" fillId="38" borderId="32" xfId="76" applyFont="1" applyFill="1" applyBorder="1"/>
    <xf numFmtId="0" fontId="38" fillId="38" borderId="33" xfId="76" applyFont="1" applyFill="1" applyBorder="1"/>
    <xf numFmtId="0" fontId="38" fillId="38" borderId="34" xfId="76" applyFont="1" applyFill="1" applyBorder="1"/>
    <xf numFmtId="0" fontId="36" fillId="37" borderId="0" xfId="76" applyFont="1" applyFill="1" applyAlignment="1">
      <alignment vertical="center"/>
    </xf>
    <xf numFmtId="166" fontId="35" fillId="37" borderId="0" xfId="75" applyNumberFormat="1" applyFont="1" applyFill="1"/>
    <xf numFmtId="166" fontId="35" fillId="37" borderId="0" xfId="75" applyNumberFormat="1" applyFont="1" applyFill="1" applyAlignment="1">
      <alignment horizontal="right"/>
    </xf>
    <xf numFmtId="166" fontId="1" fillId="0" borderId="0" xfId="75" applyNumberFormat="1" applyFont="1"/>
    <xf numFmtId="0" fontId="18" fillId="0" borderId="0" xfId="36"/>
    <xf numFmtId="0" fontId="18" fillId="0" borderId="11" xfId="71">
      <alignment wrapText="1"/>
    </xf>
  </cellXfs>
  <cellStyles count="77">
    <cellStyle name="20% - Accent1" xfId="19" builtinId="30" customBuiltin="1"/>
    <cellStyle name="20% - Accent2" xfId="22" builtinId="34" customBuiltin="1"/>
    <cellStyle name="20% - Accent3" xfId="25" builtinId="38" customBuiltin="1"/>
    <cellStyle name="20% - Accent4" xfId="28" builtinId="42" customBuiltin="1"/>
    <cellStyle name="20% - Accent5" xfId="31" builtinId="46" customBuiltin="1"/>
    <cellStyle name="20% - Accent6" xfId="34" builtinId="50" customBuiltin="1"/>
    <cellStyle name="40% - Accent1" xfId="20" builtinId="31" customBuiltin="1"/>
    <cellStyle name="40% - Accent2" xfId="23" builtinId="35" customBuiltin="1"/>
    <cellStyle name="40% - Accent3" xfId="26" builtinId="39" customBuiltin="1"/>
    <cellStyle name="40% - Accent4" xfId="29" builtinId="43" customBuiltin="1"/>
    <cellStyle name="40% - Accent5" xfId="32" builtinId="47" customBuiltin="1"/>
    <cellStyle name="40% - Accent6" xfId="35" builtinId="51" customBuiltin="1"/>
    <cellStyle name="60% - Accent1 2" xfId="63" xr:uid="{7D4913BE-1660-475B-88D4-714E8A641CFB}"/>
    <cellStyle name="60% - Accent2 2" xfId="64" xr:uid="{E18DA92F-95CC-4882-BBE6-08084463355B}"/>
    <cellStyle name="60% - Accent3 2" xfId="65" xr:uid="{3D7AA9D9-39BB-404D-82B7-1179141C06D3}"/>
    <cellStyle name="60% - Accent4 2" xfId="66" xr:uid="{AB77D1E1-0C03-48A6-82C6-F8C803DAB0D4}"/>
    <cellStyle name="60% - Accent5 2" xfId="67" xr:uid="{741B7963-9D58-462B-9B00-F2AFEE0DEE08}"/>
    <cellStyle name="60% - Accent6 2" xfId="68" xr:uid="{D898A326-A2CF-46B5-815E-CCFFA4AA3BA6}"/>
    <cellStyle name="Accent1" xfId="18" builtinId="29" customBuiltin="1"/>
    <cellStyle name="Accent2" xfId="21" builtinId="33" customBuiltin="1"/>
    <cellStyle name="Accent3" xfId="24" builtinId="37" customBuiltin="1"/>
    <cellStyle name="Accent4" xfId="27" builtinId="41" customBuiltin="1"/>
    <cellStyle name="Accent5" xfId="30" builtinId="45" customBuiltin="1"/>
    <cellStyle name="Accent6" xfId="33" builtinId="49" customBuiltin="1"/>
    <cellStyle name="Bad" xfId="8" builtinId="27" customBuiltin="1"/>
    <cellStyle name="Body: normal cell" xfId="37" xr:uid="{EA3F03DA-DAAC-4E67-9C48-32345E5792CA}"/>
    <cellStyle name="Body: normal cell 2" xfId="53" xr:uid="{08CD34FB-32D1-4D4E-B78E-6D9F0921375F}"/>
    <cellStyle name="Body: normal cell 3" xfId="45" xr:uid="{3455BC5E-F6FE-45B4-B515-07C1FF8A7B97}"/>
    <cellStyle name="Body: normal cell 4" xfId="69" xr:uid="{235B8F88-29E6-46ED-B2CB-1EE68DFFBB5C}"/>
    <cellStyle name="Calculation" xfId="11" builtinId="22" customBuiltin="1"/>
    <cellStyle name="Check Cell" xfId="13" builtinId="23" customBuiltin="1"/>
    <cellStyle name="Comma" xfId="75" builtinId="3"/>
    <cellStyle name="Explanatory Text" xfId="16" builtinId="53" customBuiltin="1"/>
    <cellStyle name="Font: Calibri, 9pt regular" xfId="38" xr:uid="{046FC022-7ADB-439F-AC6B-06F1FB0969A9}"/>
    <cellStyle name="Font: Calibri, 9pt regular 2" xfId="54" xr:uid="{F67B9D4D-81FC-422B-BE16-8FCFA80B6324}"/>
    <cellStyle name="Font: Calibri, 9pt regular 3" xfId="46" xr:uid="{B9AB311C-4622-44DC-95B7-A3EE560BED6E}"/>
    <cellStyle name="Font: Calibri, 9pt regular 4" xfId="70" xr:uid="{33D67280-C367-44AA-BF18-AC4AD176CDEA}"/>
    <cellStyle name="Footnotes: top row" xfId="39" xr:uid="{668B1DA9-A269-4C4B-AB8B-E4412D39AA5E}"/>
    <cellStyle name="Footnotes: top row 2" xfId="55" xr:uid="{FAE885D7-0ED1-4F57-9C86-3E57F5B776CA}"/>
    <cellStyle name="Footnotes: top row 3" xfId="47" xr:uid="{6D3A535B-FE51-41C9-A1AF-6CC2E6D28C13}"/>
    <cellStyle name="Footnotes: top row 4" xfId="71" xr:uid="{D55444D5-5FDB-452E-9A25-4FBC5024891F}"/>
    <cellStyle name="Good" xfId="7" builtinId="26" customBuiltin="1"/>
    <cellStyle name="Header: bottom row" xfId="40" xr:uid="{1B3E9918-1BEB-4E26-9226-DDCFB4A4D031}"/>
    <cellStyle name="Header: bottom row 2" xfId="56" xr:uid="{4F80F3A6-0CFF-4FA5-96E2-ADE6F1F6B9E1}"/>
    <cellStyle name="Header: bottom row 3" xfId="48" xr:uid="{99198BBE-FF67-47E8-8D1B-44FF5F9DAF26}"/>
    <cellStyle name="Header: bottom row 4" xfId="72" xr:uid="{97A7D3E4-344A-41A0-A4B7-78E77DCD1453}"/>
    <cellStyle name="Heading 1" xfId="3" builtinId="16" customBuiltin="1"/>
    <cellStyle name="Heading 2" xfId="4" builtinId="17" customBuiltin="1"/>
    <cellStyle name="Heading 3" xfId="5" builtinId="18" customBuiltin="1"/>
    <cellStyle name="Heading 4" xfId="6" builtinId="19" customBuiltin="1"/>
    <cellStyle name="Hyperlink" xfId="1" builtinId="8"/>
    <cellStyle name="Input" xfId="9" builtinId="20" customBuiltin="1"/>
    <cellStyle name="Linked Cell" xfId="12" builtinId="24" customBuiltin="1"/>
    <cellStyle name="Neutral 2" xfId="62" xr:uid="{9752847A-6ACD-42F9-AFB4-C2A2E9213018}"/>
    <cellStyle name="Normal" xfId="0" builtinId="0"/>
    <cellStyle name="Normal 2" xfId="52" xr:uid="{2F0F7E80-8BCA-4A78-8B67-35323ECD9B42}"/>
    <cellStyle name="Normal 2 2" xfId="76" xr:uid="{FE5569D9-61B8-4F91-8E8C-B8856DA57047}"/>
    <cellStyle name="Normal 3" xfId="51" xr:uid="{60154007-A150-4910-8900-986DA2B8C17E}"/>
    <cellStyle name="Normal 3 2" xfId="60" xr:uid="{7C665A8E-D301-430C-9E6F-6F85D41847C9}"/>
    <cellStyle name="Normal 4" xfId="44" xr:uid="{E1491568-9A2C-4286-86C9-1DA1BBF22958}"/>
    <cellStyle name="Normal 5" xfId="43" xr:uid="{ECE11EFF-A0E2-4BBF-86F5-5C6C3BC8BE27}"/>
    <cellStyle name="Normal 5 2" xfId="61" xr:uid="{801F20AC-8EC6-4D23-972B-E25ECAB445C9}"/>
    <cellStyle name="Normal 6" xfId="59" xr:uid="{963376A2-6DCB-443C-B7BC-658DC602F929}"/>
    <cellStyle name="Normal 7" xfId="36" xr:uid="{6F59A552-82E2-4373-88A6-95B1E6D451CC}"/>
    <cellStyle name="Note" xfId="15" builtinId="10" customBuiltin="1"/>
    <cellStyle name="Output" xfId="10" builtinId="21" customBuiltin="1"/>
    <cellStyle name="Parent row" xfId="41" xr:uid="{BB70FD24-CC8A-4059-A8FB-EF3473AEE5BF}"/>
    <cellStyle name="Parent row 2" xfId="57" xr:uid="{E64DB29F-0F99-4575-888E-643D4F638507}"/>
    <cellStyle name="Parent row 3" xfId="49" xr:uid="{E7854F2A-5513-4980-9AA1-ADA6421310AC}"/>
    <cellStyle name="Parent row 4" xfId="73" xr:uid="{40E6F94A-1F43-4CBB-A2FC-6ABCE1474C05}"/>
    <cellStyle name="Table title" xfId="42" xr:uid="{C69E9F71-E318-451E-9F0E-06C687F530F6}"/>
    <cellStyle name="Table title 2" xfId="58" xr:uid="{B08EF0C1-BB7F-43EF-93CB-237A779E958C}"/>
    <cellStyle name="Table title 3" xfId="50" xr:uid="{AB3CAFA1-44B0-47FC-9653-B91E22DB566D}"/>
    <cellStyle name="Table title 4" xfId="74" xr:uid="{DB43BB74-3283-438D-B986-0BAB8FC15190}"/>
    <cellStyle name="Title" xfId="2" builtinId="15" customBuiltin="1"/>
    <cellStyle name="Total" xfId="17" builtinId="25" customBuiltin="1"/>
    <cellStyle name="Warning Text" xfId="14" builtinId="11" customBuiltin="1"/>
  </cellStyles>
  <dxfs count="4">
    <dxf>
      <fill>
        <patternFill>
          <bgColor theme="2" tint="-9.9948118533890809E-2"/>
        </patternFill>
      </fill>
    </dxf>
    <dxf>
      <fill>
        <patternFill>
          <bgColor theme="0" tint="-0.14996795556505021"/>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outlooks/archive/aeo22/tables_ref.php"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2"/>
  <sheetViews>
    <sheetView workbookViewId="0">
      <selection activeCell="B19" sqref="B19"/>
    </sheetView>
  </sheetViews>
  <sheetFormatPr defaultRowHeight="15" x14ac:dyDescent="0.25"/>
  <cols>
    <col min="2" max="2" width="38.28515625" customWidth="1"/>
  </cols>
  <sheetData>
    <row r="1" spans="1:9" x14ac:dyDescent="0.25">
      <c r="A1" s="1" t="s">
        <v>1</v>
      </c>
      <c r="B1" s="67" t="s">
        <v>418</v>
      </c>
      <c r="C1" s="68">
        <v>46185</v>
      </c>
      <c r="H1" t="s">
        <v>324</v>
      </c>
      <c r="I1" t="s">
        <v>325</v>
      </c>
    </row>
    <row r="2" spans="1:9" x14ac:dyDescent="0.25">
      <c r="B2" t="str">
        <f>VLOOKUP(B1,H2:I52,2)</f>
        <v>VA</v>
      </c>
      <c r="H2" s="67" t="s">
        <v>326</v>
      </c>
      <c r="I2" s="67" t="s">
        <v>327</v>
      </c>
    </row>
    <row r="3" spans="1:9" x14ac:dyDescent="0.25">
      <c r="A3" s="1" t="s">
        <v>0</v>
      </c>
      <c r="B3" s="34" t="s">
        <v>233</v>
      </c>
      <c r="H3" s="67" t="s">
        <v>328</v>
      </c>
      <c r="I3" s="67" t="s">
        <v>329</v>
      </c>
    </row>
    <row r="4" spans="1:9" x14ac:dyDescent="0.25">
      <c r="B4" t="s">
        <v>228</v>
      </c>
      <c r="H4" s="67" t="s">
        <v>330</v>
      </c>
      <c r="I4" s="67" t="s">
        <v>331</v>
      </c>
    </row>
    <row r="5" spans="1:9" x14ac:dyDescent="0.25">
      <c r="B5" s="2">
        <v>2023</v>
      </c>
      <c r="H5" s="67" t="s">
        <v>332</v>
      </c>
      <c r="I5" s="67" t="s">
        <v>333</v>
      </c>
    </row>
    <row r="6" spans="1:9" x14ac:dyDescent="0.25">
      <c r="B6" t="s">
        <v>10</v>
      </c>
      <c r="H6" s="67" t="s">
        <v>334</v>
      </c>
      <c r="I6" s="67" t="s">
        <v>335</v>
      </c>
    </row>
    <row r="7" spans="1:9" x14ac:dyDescent="0.25">
      <c r="B7" s="3" t="s">
        <v>229</v>
      </c>
      <c r="H7" s="67" t="s">
        <v>336</v>
      </c>
      <c r="I7" s="67" t="s">
        <v>337</v>
      </c>
    </row>
    <row r="8" spans="1:9" x14ac:dyDescent="0.25">
      <c r="B8" t="s">
        <v>230</v>
      </c>
      <c r="H8" s="67" t="s">
        <v>338</v>
      </c>
      <c r="I8" s="67" t="s">
        <v>339</v>
      </c>
    </row>
    <row r="9" spans="1:9" x14ac:dyDescent="0.25">
      <c r="H9" s="67" t="s">
        <v>340</v>
      </c>
      <c r="I9" s="67" t="s">
        <v>341</v>
      </c>
    </row>
    <row r="10" spans="1:9" x14ac:dyDescent="0.25">
      <c r="B10" s="34">
        <v>2021</v>
      </c>
      <c r="H10" s="67" t="s">
        <v>342</v>
      </c>
      <c r="I10" s="67" t="s">
        <v>343</v>
      </c>
    </row>
    <row r="11" spans="1:9" x14ac:dyDescent="0.25">
      <c r="B11" t="s">
        <v>228</v>
      </c>
      <c r="H11" s="67" t="s">
        <v>344</v>
      </c>
      <c r="I11" s="67" t="s">
        <v>345</v>
      </c>
    </row>
    <row r="12" spans="1:9" x14ac:dyDescent="0.25">
      <c r="B12" s="2">
        <v>2022</v>
      </c>
      <c r="H12" s="67" t="s">
        <v>346</v>
      </c>
      <c r="I12" s="67" t="s">
        <v>347</v>
      </c>
    </row>
    <row r="13" spans="1:9" x14ac:dyDescent="0.25">
      <c r="B13" t="s">
        <v>234</v>
      </c>
      <c r="H13" s="67" t="s">
        <v>348</v>
      </c>
      <c r="I13" s="67" t="s">
        <v>349</v>
      </c>
    </row>
    <row r="14" spans="1:9" x14ac:dyDescent="0.25">
      <c r="B14" s="3" t="s">
        <v>235</v>
      </c>
      <c r="H14" s="67" t="s">
        <v>350</v>
      </c>
      <c r="I14" s="67" t="s">
        <v>351</v>
      </c>
    </row>
    <row r="15" spans="1:9" x14ac:dyDescent="0.25">
      <c r="B15" t="s">
        <v>230</v>
      </c>
      <c r="H15" s="67" t="s">
        <v>352</v>
      </c>
      <c r="I15" s="67" t="s">
        <v>353</v>
      </c>
    </row>
    <row r="16" spans="1:9" x14ac:dyDescent="0.25">
      <c r="H16" s="67" t="s">
        <v>354</v>
      </c>
      <c r="I16" s="67" t="s">
        <v>355</v>
      </c>
    </row>
    <row r="17" spans="2:9" x14ac:dyDescent="0.25">
      <c r="B17" s="34" t="s">
        <v>442</v>
      </c>
      <c r="H17" s="67" t="s">
        <v>356</v>
      </c>
      <c r="I17" s="67" t="s">
        <v>357</v>
      </c>
    </row>
    <row r="18" spans="2:9" x14ac:dyDescent="0.25">
      <c r="B18" t="s">
        <v>443</v>
      </c>
      <c r="H18" s="67" t="s">
        <v>358</v>
      </c>
      <c r="I18" s="67" t="s">
        <v>359</v>
      </c>
    </row>
    <row r="19" spans="2:9" x14ac:dyDescent="0.25">
      <c r="B19" s="2">
        <v>2025</v>
      </c>
      <c r="H19" s="67" t="s">
        <v>360</v>
      </c>
      <c r="I19" s="67" t="s">
        <v>361</v>
      </c>
    </row>
    <row r="20" spans="2:9" x14ac:dyDescent="0.25">
      <c r="B20" t="s">
        <v>445</v>
      </c>
      <c r="H20" s="67" t="s">
        <v>362</v>
      </c>
      <c r="I20" s="67" t="s">
        <v>363</v>
      </c>
    </row>
    <row r="21" spans="2:9" x14ac:dyDescent="0.25">
      <c r="B21" t="s">
        <v>444</v>
      </c>
      <c r="H21" s="67" t="s">
        <v>364</v>
      </c>
      <c r="I21" s="67" t="s">
        <v>365</v>
      </c>
    </row>
    <row r="22" spans="2:9" x14ac:dyDescent="0.25">
      <c r="H22" s="67" t="s">
        <v>366</v>
      </c>
      <c r="I22" s="67" t="s">
        <v>367</v>
      </c>
    </row>
    <row r="23" spans="2:9" x14ac:dyDescent="0.25">
      <c r="H23" s="67" t="s">
        <v>368</v>
      </c>
      <c r="I23" s="67" t="s">
        <v>369</v>
      </c>
    </row>
    <row r="24" spans="2:9" x14ac:dyDescent="0.25">
      <c r="H24" s="67" t="s">
        <v>370</v>
      </c>
      <c r="I24" s="67" t="s">
        <v>371</v>
      </c>
    </row>
    <row r="25" spans="2:9" x14ac:dyDescent="0.25">
      <c r="H25" s="67" t="s">
        <v>372</v>
      </c>
      <c r="I25" s="67" t="s">
        <v>373</v>
      </c>
    </row>
    <row r="26" spans="2:9" x14ac:dyDescent="0.25">
      <c r="H26" s="67" t="s">
        <v>374</v>
      </c>
      <c r="I26" s="67" t="s">
        <v>375</v>
      </c>
    </row>
    <row r="27" spans="2:9" x14ac:dyDescent="0.25">
      <c r="H27" s="67" t="s">
        <v>376</v>
      </c>
      <c r="I27" s="67" t="s">
        <v>377</v>
      </c>
    </row>
    <row r="28" spans="2:9" x14ac:dyDescent="0.25">
      <c r="H28" s="67" t="s">
        <v>378</v>
      </c>
      <c r="I28" s="67" t="s">
        <v>379</v>
      </c>
    </row>
    <row r="29" spans="2:9" x14ac:dyDescent="0.25">
      <c r="H29" s="67" t="s">
        <v>380</v>
      </c>
      <c r="I29" s="67" t="s">
        <v>381</v>
      </c>
    </row>
    <row r="30" spans="2:9" x14ac:dyDescent="0.25">
      <c r="H30" s="67" t="s">
        <v>382</v>
      </c>
      <c r="I30" s="67" t="s">
        <v>383</v>
      </c>
    </row>
    <row r="31" spans="2:9" x14ac:dyDescent="0.25">
      <c r="H31" s="67" t="s">
        <v>384</v>
      </c>
      <c r="I31" s="67" t="s">
        <v>385</v>
      </c>
    </row>
    <row r="32" spans="2:9" x14ac:dyDescent="0.25">
      <c r="H32" s="67" t="s">
        <v>386</v>
      </c>
      <c r="I32" s="67" t="s">
        <v>387</v>
      </c>
    </row>
    <row r="33" spans="8:9" x14ac:dyDescent="0.25">
      <c r="H33" s="67" t="s">
        <v>388</v>
      </c>
      <c r="I33" s="67" t="s">
        <v>389</v>
      </c>
    </row>
    <row r="34" spans="8:9" x14ac:dyDescent="0.25">
      <c r="H34" s="67" t="s">
        <v>390</v>
      </c>
      <c r="I34" s="67" t="s">
        <v>391</v>
      </c>
    </row>
    <row r="35" spans="8:9" x14ac:dyDescent="0.25">
      <c r="H35" s="67" t="s">
        <v>392</v>
      </c>
      <c r="I35" s="67" t="s">
        <v>393</v>
      </c>
    </row>
    <row r="36" spans="8:9" x14ac:dyDescent="0.25">
      <c r="H36" s="67" t="s">
        <v>394</v>
      </c>
      <c r="I36" s="67" t="s">
        <v>395</v>
      </c>
    </row>
    <row r="37" spans="8:9" x14ac:dyDescent="0.25">
      <c r="H37" s="67" t="s">
        <v>396</v>
      </c>
      <c r="I37" s="67" t="s">
        <v>397</v>
      </c>
    </row>
    <row r="38" spans="8:9" x14ac:dyDescent="0.25">
      <c r="H38" s="67" t="s">
        <v>398</v>
      </c>
      <c r="I38" s="67" t="s">
        <v>399</v>
      </c>
    </row>
    <row r="39" spans="8:9" x14ac:dyDescent="0.25">
      <c r="H39" s="67" t="s">
        <v>400</v>
      </c>
      <c r="I39" s="67" t="s">
        <v>401</v>
      </c>
    </row>
    <row r="40" spans="8:9" x14ac:dyDescent="0.25">
      <c r="H40" s="67" t="s">
        <v>402</v>
      </c>
      <c r="I40" s="67" t="s">
        <v>403</v>
      </c>
    </row>
    <row r="41" spans="8:9" x14ac:dyDescent="0.25">
      <c r="H41" s="67" t="s">
        <v>404</v>
      </c>
      <c r="I41" s="67" t="s">
        <v>405</v>
      </c>
    </row>
    <row r="42" spans="8:9" x14ac:dyDescent="0.25">
      <c r="H42" s="67" t="s">
        <v>406</v>
      </c>
      <c r="I42" s="67" t="s">
        <v>407</v>
      </c>
    </row>
    <row r="43" spans="8:9" x14ac:dyDescent="0.25">
      <c r="H43" s="69" t="s">
        <v>408</v>
      </c>
      <c r="I43" s="70" t="s">
        <v>409</v>
      </c>
    </row>
    <row r="44" spans="8:9" x14ac:dyDescent="0.25">
      <c r="H44" s="67" t="s">
        <v>410</v>
      </c>
      <c r="I44" s="67" t="s">
        <v>411</v>
      </c>
    </row>
    <row r="45" spans="8:9" x14ac:dyDescent="0.25">
      <c r="H45" s="67" t="s">
        <v>412</v>
      </c>
      <c r="I45" s="67" t="s">
        <v>413</v>
      </c>
    </row>
    <row r="46" spans="8:9" x14ac:dyDescent="0.25">
      <c r="H46" s="67" t="s">
        <v>414</v>
      </c>
      <c r="I46" s="67" t="s">
        <v>415</v>
      </c>
    </row>
    <row r="47" spans="8:9" x14ac:dyDescent="0.25">
      <c r="H47" s="67" t="s">
        <v>416</v>
      </c>
      <c r="I47" s="67" t="s">
        <v>417</v>
      </c>
    </row>
    <row r="48" spans="8:9" x14ac:dyDescent="0.25">
      <c r="H48" s="67" t="s">
        <v>418</v>
      </c>
      <c r="I48" s="67" t="s">
        <v>419</v>
      </c>
    </row>
    <row r="49" spans="8:9" x14ac:dyDescent="0.25">
      <c r="H49" s="67" t="s">
        <v>420</v>
      </c>
      <c r="I49" s="67" t="s">
        <v>421</v>
      </c>
    </row>
    <row r="50" spans="8:9" x14ac:dyDescent="0.25">
      <c r="H50" s="67" t="s">
        <v>422</v>
      </c>
      <c r="I50" s="67" t="s">
        <v>423</v>
      </c>
    </row>
    <row r="51" spans="8:9" x14ac:dyDescent="0.25">
      <c r="H51" s="67" t="s">
        <v>424</v>
      </c>
      <c r="I51" s="67" t="s">
        <v>425</v>
      </c>
    </row>
    <row r="52" spans="8:9" x14ac:dyDescent="0.25">
      <c r="H52" s="67" t="s">
        <v>426</v>
      </c>
      <c r="I52" s="67" t="s">
        <v>427</v>
      </c>
    </row>
  </sheetData>
  <conditionalFormatting sqref="B1">
    <cfRule type="duplicateValues" dxfId="3" priority="2"/>
  </conditionalFormatting>
  <conditionalFormatting sqref="H1:H52">
    <cfRule type="duplicateValues" dxfId="2" priority="1"/>
  </conditionalFormatting>
  <hyperlinks>
    <hyperlink ref="B14" r:id="rId1" xr:uid="{626A62BE-96EC-4C42-BAF4-5090B19F8F52}"/>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48716-F829-4390-8B2F-D8A4088326D7}">
  <dimension ref="A1:AI2836"/>
  <sheetViews>
    <sheetView topLeftCell="A13" workbookViewId="0">
      <selection activeCell="F25" sqref="F25"/>
    </sheetView>
  </sheetViews>
  <sheetFormatPr defaultRowHeight="15" x14ac:dyDescent="0.25"/>
  <sheetData>
    <row r="1" spans="1:35" ht="15.75" thickBot="1" x14ac:dyDescent="0.3">
      <c r="A1" s="6"/>
      <c r="B1" s="7" t="s">
        <v>8</v>
      </c>
      <c r="C1" s="8">
        <v>2022</v>
      </c>
      <c r="D1" s="8">
        <v>2023</v>
      </c>
      <c r="E1" s="8">
        <v>2024</v>
      </c>
      <c r="F1" s="8">
        <v>2025</v>
      </c>
      <c r="G1" s="8">
        <v>2026</v>
      </c>
      <c r="H1" s="8">
        <v>2027</v>
      </c>
      <c r="I1" s="8">
        <v>2028</v>
      </c>
      <c r="J1" s="8">
        <v>2029</v>
      </c>
      <c r="K1" s="8">
        <v>2030</v>
      </c>
      <c r="L1" s="8">
        <v>2031</v>
      </c>
      <c r="M1" s="8">
        <v>2032</v>
      </c>
      <c r="N1" s="8">
        <v>2033</v>
      </c>
      <c r="O1" s="8">
        <v>2034</v>
      </c>
      <c r="P1" s="8">
        <v>2035</v>
      </c>
      <c r="Q1" s="8">
        <v>2036</v>
      </c>
      <c r="R1" s="8">
        <v>2037</v>
      </c>
      <c r="S1" s="8">
        <v>2038</v>
      </c>
      <c r="T1" s="8">
        <v>2039</v>
      </c>
      <c r="U1" s="8">
        <v>2040</v>
      </c>
      <c r="V1" s="8">
        <v>2041</v>
      </c>
      <c r="W1" s="8">
        <v>2042</v>
      </c>
      <c r="X1" s="8">
        <v>2043</v>
      </c>
      <c r="Y1" s="8">
        <v>2044</v>
      </c>
      <c r="Z1" s="8">
        <v>2045</v>
      </c>
      <c r="AA1" s="8">
        <v>2046</v>
      </c>
      <c r="AB1" s="8">
        <v>2047</v>
      </c>
      <c r="AC1" s="8">
        <v>2048</v>
      </c>
      <c r="AD1" s="8">
        <v>2049</v>
      </c>
      <c r="AE1" s="8">
        <v>2050</v>
      </c>
      <c r="AF1" s="6"/>
      <c r="AG1" s="6"/>
    </row>
    <row r="2" spans="1:35" ht="15.75" thickTop="1" x14ac:dyDescent="0.25">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5" x14ac:dyDescent="0.25">
      <c r="A3" s="6"/>
      <c r="B3" s="6"/>
      <c r="C3" s="27" t="s">
        <v>9</v>
      </c>
      <c r="D3" s="27" t="s">
        <v>10</v>
      </c>
      <c r="E3" s="11"/>
      <c r="F3" s="11"/>
      <c r="G3" s="11"/>
      <c r="H3" s="6"/>
      <c r="I3" s="6"/>
      <c r="J3" s="6"/>
      <c r="K3" s="6"/>
      <c r="L3" s="6"/>
      <c r="M3" s="6"/>
      <c r="N3" s="6"/>
      <c r="O3" s="6"/>
      <c r="P3" s="6"/>
      <c r="Q3" s="6"/>
      <c r="R3" s="6"/>
      <c r="S3" s="6"/>
      <c r="T3" s="6"/>
      <c r="U3" s="6"/>
      <c r="V3" s="6"/>
      <c r="W3" s="6"/>
      <c r="X3" s="6"/>
      <c r="Y3" s="6"/>
      <c r="Z3" s="6"/>
      <c r="AA3" s="6"/>
      <c r="AB3" s="6"/>
      <c r="AC3" s="6"/>
      <c r="AD3" s="6"/>
      <c r="AE3" s="6"/>
      <c r="AF3" s="6"/>
      <c r="AG3" s="6"/>
    </row>
    <row r="4" spans="1:35" x14ac:dyDescent="0.25">
      <c r="A4" s="6"/>
      <c r="B4" s="6"/>
      <c r="C4" s="27" t="s">
        <v>11</v>
      </c>
      <c r="D4" s="27" t="s">
        <v>12</v>
      </c>
      <c r="E4" s="11"/>
      <c r="F4" s="11"/>
      <c r="G4" s="27" t="s">
        <v>13</v>
      </c>
      <c r="H4" s="6"/>
      <c r="I4" s="6"/>
      <c r="J4" s="6"/>
      <c r="K4" s="6"/>
      <c r="L4" s="6"/>
      <c r="M4" s="6"/>
      <c r="N4" s="6"/>
      <c r="O4" s="6"/>
      <c r="P4" s="6"/>
      <c r="Q4" s="6"/>
      <c r="R4" s="6"/>
      <c r="S4" s="6"/>
      <c r="T4" s="6"/>
      <c r="U4" s="6"/>
      <c r="V4" s="6"/>
      <c r="W4" s="6"/>
      <c r="X4" s="6"/>
      <c r="Y4" s="6"/>
      <c r="Z4" s="6"/>
      <c r="AA4" s="6"/>
      <c r="AB4" s="6"/>
      <c r="AC4" s="6"/>
      <c r="AD4" s="6"/>
      <c r="AE4" s="6"/>
      <c r="AF4" s="6"/>
      <c r="AG4" s="6"/>
    </row>
    <row r="5" spans="1:35" x14ac:dyDescent="0.25">
      <c r="A5" s="6"/>
      <c r="B5" s="6"/>
      <c r="C5" s="27" t="s">
        <v>14</v>
      </c>
      <c r="D5" s="27" t="s">
        <v>15</v>
      </c>
      <c r="E5" s="11"/>
      <c r="F5" s="11"/>
      <c r="G5" s="11"/>
      <c r="H5" s="6"/>
      <c r="I5" s="6"/>
      <c r="J5" s="6"/>
      <c r="K5" s="6"/>
      <c r="L5" s="6"/>
      <c r="M5" s="6"/>
      <c r="N5" s="6"/>
      <c r="O5" s="6"/>
      <c r="P5" s="6"/>
      <c r="Q5" s="6"/>
      <c r="R5" s="6"/>
      <c r="S5" s="6"/>
      <c r="T5" s="6"/>
      <c r="U5" s="6"/>
      <c r="V5" s="6"/>
      <c r="W5" s="6"/>
      <c r="X5" s="6"/>
      <c r="Y5" s="6"/>
      <c r="Z5" s="6"/>
      <c r="AA5" s="6"/>
      <c r="AB5" s="6"/>
      <c r="AC5" s="6"/>
      <c r="AD5" s="6"/>
      <c r="AE5" s="6"/>
      <c r="AF5" s="6"/>
      <c r="AG5" s="6"/>
    </row>
    <row r="6" spans="1:35" x14ac:dyDescent="0.25">
      <c r="A6" s="6"/>
      <c r="B6" s="6"/>
      <c r="C6" s="27" t="s">
        <v>16</v>
      </c>
      <c r="D6" s="11"/>
      <c r="E6" s="27" t="s">
        <v>17</v>
      </c>
      <c r="F6" s="11"/>
      <c r="G6" s="11"/>
      <c r="H6" s="6"/>
      <c r="I6" s="6"/>
      <c r="J6" s="6"/>
      <c r="K6" s="6"/>
      <c r="L6" s="6"/>
      <c r="M6" s="6"/>
      <c r="N6" s="6"/>
      <c r="O6" s="6"/>
      <c r="P6" s="6"/>
      <c r="Q6" s="6"/>
      <c r="R6" s="6"/>
      <c r="S6" s="6"/>
      <c r="T6" s="6"/>
      <c r="U6" s="6"/>
      <c r="V6" s="6"/>
      <c r="W6" s="6"/>
      <c r="X6" s="6"/>
      <c r="Y6" s="6"/>
      <c r="Z6" s="6"/>
      <c r="AA6" s="6"/>
      <c r="AB6" s="6"/>
      <c r="AC6" s="6"/>
      <c r="AD6" s="6"/>
      <c r="AE6" s="6"/>
      <c r="AF6" s="6"/>
      <c r="AG6" s="6"/>
    </row>
    <row r="7" spans="1:35" x14ac:dyDescent="0.25">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row>
    <row r="8" spans="1:35" x14ac:dyDescent="0.25">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I8" s="5"/>
    </row>
    <row r="9" spans="1:35" x14ac:dyDescent="0.25">
      <c r="A9" s="6"/>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I9" s="5"/>
    </row>
    <row r="10" spans="1:35" ht="15.75" x14ac:dyDescent="0.25">
      <c r="A10" s="9" t="s">
        <v>18</v>
      </c>
      <c r="B10" s="12" t="s">
        <v>19</v>
      </c>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3" t="s">
        <v>20</v>
      </c>
      <c r="AG10" s="10"/>
      <c r="AI10" s="5"/>
    </row>
    <row r="11" spans="1:35" x14ac:dyDescent="0.25">
      <c r="A11" s="6"/>
      <c r="B11" s="14" t="s">
        <v>21</v>
      </c>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3" t="s">
        <v>22</v>
      </c>
      <c r="AG11" s="10"/>
      <c r="AI11" s="5"/>
    </row>
    <row r="12" spans="1:35" x14ac:dyDescent="0.25">
      <c r="A12" s="6"/>
      <c r="B12" s="14"/>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3" t="s">
        <v>23</v>
      </c>
      <c r="AG12" s="10"/>
      <c r="AI12" s="5"/>
    </row>
    <row r="13" spans="1:35" ht="61.5" thickBot="1" x14ac:dyDescent="0.3">
      <c r="A13" s="6"/>
      <c r="B13" s="16" t="s">
        <v>24</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17" t="s">
        <v>25</v>
      </c>
      <c r="AG13" s="10"/>
    </row>
    <row r="14" spans="1:35" ht="15.75" thickTop="1" x14ac:dyDescent="0.25">
      <c r="A14" s="6"/>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row>
    <row r="15" spans="1:35" ht="24.75" x14ac:dyDescent="0.25">
      <c r="A15" s="6"/>
      <c r="B15" s="18" t="s">
        <v>2</v>
      </c>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I15" s="5"/>
    </row>
    <row r="16" spans="1:35" ht="36.75" x14ac:dyDescent="0.25">
      <c r="A16" s="6"/>
      <c r="B16" s="18" t="s">
        <v>26</v>
      </c>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I16" s="5"/>
    </row>
    <row r="17" spans="1:35" ht="24.75" x14ac:dyDescent="0.25">
      <c r="A17" s="9" t="s">
        <v>27</v>
      </c>
      <c r="B17" s="19" t="s">
        <v>28</v>
      </c>
      <c r="C17" s="20">
        <v>86.924255000000002</v>
      </c>
      <c r="D17" s="20">
        <v>87.748610999999997</v>
      </c>
      <c r="E17" s="20">
        <v>88.618674999999996</v>
      </c>
      <c r="F17" s="20">
        <v>89.519981000000001</v>
      </c>
      <c r="G17" s="20">
        <v>90.411308000000005</v>
      </c>
      <c r="H17" s="20">
        <v>91.302132</v>
      </c>
      <c r="I17" s="20">
        <v>92.198265000000006</v>
      </c>
      <c r="J17" s="20">
        <v>93.091507000000007</v>
      </c>
      <c r="K17" s="20">
        <v>93.970618999999999</v>
      </c>
      <c r="L17" s="20">
        <v>94.836555000000004</v>
      </c>
      <c r="M17" s="20">
        <v>95.694557000000003</v>
      </c>
      <c r="N17" s="20">
        <v>96.533203</v>
      </c>
      <c r="O17" s="20">
        <v>97.347885000000005</v>
      </c>
      <c r="P17" s="20">
        <v>98.154381000000001</v>
      </c>
      <c r="Q17" s="20">
        <v>98.959145000000007</v>
      </c>
      <c r="R17" s="20">
        <v>99.757239999999996</v>
      </c>
      <c r="S17" s="20">
        <v>100.55006400000001</v>
      </c>
      <c r="T17" s="20">
        <v>101.334656</v>
      </c>
      <c r="U17" s="20">
        <v>102.12499200000001</v>
      </c>
      <c r="V17" s="20">
        <v>102.91761</v>
      </c>
      <c r="W17" s="20">
        <v>103.69783</v>
      </c>
      <c r="X17" s="20">
        <v>104.47331200000001</v>
      </c>
      <c r="Y17" s="20">
        <v>105.24597199999999</v>
      </c>
      <c r="Z17" s="20">
        <v>106.016052</v>
      </c>
      <c r="AA17" s="20">
        <v>106.78051000000001</v>
      </c>
      <c r="AB17" s="20">
        <v>107.538147</v>
      </c>
      <c r="AC17" s="20">
        <v>108.286224</v>
      </c>
      <c r="AD17" s="20">
        <v>109.022423</v>
      </c>
      <c r="AE17" s="20">
        <v>109.74867999999999</v>
      </c>
      <c r="AF17" s="21">
        <v>8.3619999999999996E-3</v>
      </c>
      <c r="AG17" s="10"/>
    </row>
    <row r="18" spans="1:35" ht="36.75" x14ac:dyDescent="0.25">
      <c r="A18" s="9" t="s">
        <v>29</v>
      </c>
      <c r="B18" s="19" t="s">
        <v>30</v>
      </c>
      <c r="C18" s="20">
        <v>32.842151999999999</v>
      </c>
      <c r="D18" s="20">
        <v>33.209229000000001</v>
      </c>
      <c r="E18" s="20">
        <v>33.535468999999999</v>
      </c>
      <c r="F18" s="20">
        <v>33.858150000000002</v>
      </c>
      <c r="G18" s="20">
        <v>34.181629000000001</v>
      </c>
      <c r="H18" s="20">
        <v>34.507632999999998</v>
      </c>
      <c r="I18" s="20">
        <v>34.834254999999999</v>
      </c>
      <c r="J18" s="20">
        <v>35.155056000000002</v>
      </c>
      <c r="K18" s="20">
        <v>35.465130000000002</v>
      </c>
      <c r="L18" s="20">
        <v>35.769081</v>
      </c>
      <c r="M18" s="20">
        <v>36.071800000000003</v>
      </c>
      <c r="N18" s="20">
        <v>36.366607999999999</v>
      </c>
      <c r="O18" s="20">
        <v>36.650593000000001</v>
      </c>
      <c r="P18" s="20">
        <v>36.930110999999997</v>
      </c>
      <c r="Q18" s="20">
        <v>37.212017000000003</v>
      </c>
      <c r="R18" s="20">
        <v>37.496158999999999</v>
      </c>
      <c r="S18" s="20">
        <v>37.783923999999999</v>
      </c>
      <c r="T18" s="20">
        <v>38.073307</v>
      </c>
      <c r="U18" s="20">
        <v>38.36647</v>
      </c>
      <c r="V18" s="20">
        <v>38.656506</v>
      </c>
      <c r="W18" s="20">
        <v>38.941955999999998</v>
      </c>
      <c r="X18" s="20">
        <v>39.223990999999998</v>
      </c>
      <c r="Y18" s="20">
        <v>39.501944999999999</v>
      </c>
      <c r="Z18" s="20">
        <v>39.776778999999998</v>
      </c>
      <c r="AA18" s="20">
        <v>40.048442999999999</v>
      </c>
      <c r="AB18" s="20">
        <v>40.322777000000002</v>
      </c>
      <c r="AC18" s="20">
        <v>40.595905000000002</v>
      </c>
      <c r="AD18" s="20">
        <v>40.869537000000001</v>
      </c>
      <c r="AE18" s="20">
        <v>41.144089000000001</v>
      </c>
      <c r="AF18" s="21">
        <v>8.0809999999999996E-3</v>
      </c>
      <c r="AG18" s="10"/>
      <c r="AI18" s="5"/>
    </row>
    <row r="19" spans="1:35" ht="24.75" x14ac:dyDescent="0.25">
      <c r="A19" s="9" t="s">
        <v>31</v>
      </c>
      <c r="B19" s="19" t="s">
        <v>32</v>
      </c>
      <c r="C19" s="20">
        <v>6.6483759999999998</v>
      </c>
      <c r="D19" s="20">
        <v>6.6544350000000003</v>
      </c>
      <c r="E19" s="20">
        <v>6.6577469999999996</v>
      </c>
      <c r="F19" s="20">
        <v>6.6602829999999997</v>
      </c>
      <c r="G19" s="20">
        <v>6.66859</v>
      </c>
      <c r="H19" s="20">
        <v>6.680898</v>
      </c>
      <c r="I19" s="20">
        <v>6.6957050000000002</v>
      </c>
      <c r="J19" s="20">
        <v>6.7098389999999997</v>
      </c>
      <c r="K19" s="20">
        <v>6.7178110000000002</v>
      </c>
      <c r="L19" s="20">
        <v>6.7220909999999998</v>
      </c>
      <c r="M19" s="20">
        <v>6.7270110000000001</v>
      </c>
      <c r="N19" s="20">
        <v>6.7340980000000004</v>
      </c>
      <c r="O19" s="20">
        <v>6.7406730000000001</v>
      </c>
      <c r="P19" s="20">
        <v>6.7449050000000002</v>
      </c>
      <c r="Q19" s="20">
        <v>6.7499500000000001</v>
      </c>
      <c r="R19" s="20">
        <v>6.7524220000000001</v>
      </c>
      <c r="S19" s="20">
        <v>6.7519479999999996</v>
      </c>
      <c r="T19" s="20">
        <v>6.7501660000000001</v>
      </c>
      <c r="U19" s="20">
        <v>6.7508609999999996</v>
      </c>
      <c r="V19" s="20">
        <v>6.7531869999999996</v>
      </c>
      <c r="W19" s="20">
        <v>6.7562660000000001</v>
      </c>
      <c r="X19" s="20">
        <v>6.759341</v>
      </c>
      <c r="Y19" s="20">
        <v>6.7618809999999998</v>
      </c>
      <c r="Z19" s="20">
        <v>6.7638369999999997</v>
      </c>
      <c r="AA19" s="20">
        <v>6.7644349999999998</v>
      </c>
      <c r="AB19" s="20">
        <v>6.7655010000000004</v>
      </c>
      <c r="AC19" s="20">
        <v>6.7664489999999997</v>
      </c>
      <c r="AD19" s="20">
        <v>6.7667669999999998</v>
      </c>
      <c r="AE19" s="20">
        <v>6.7672350000000003</v>
      </c>
      <c r="AF19" s="21">
        <v>6.3299999999999999E-4</v>
      </c>
      <c r="AG19" s="10"/>
      <c r="AI19" s="5"/>
    </row>
    <row r="20" spans="1:35" x14ac:dyDescent="0.25">
      <c r="A20" s="9" t="s">
        <v>33</v>
      </c>
      <c r="B20" s="18" t="s">
        <v>34</v>
      </c>
      <c r="C20" s="22">
        <v>126.41477999999999</v>
      </c>
      <c r="D20" s="22">
        <v>127.612274</v>
      </c>
      <c r="E20" s="22">
        <v>128.81189000000001</v>
      </c>
      <c r="F20" s="22">
        <v>130.03840600000001</v>
      </c>
      <c r="G20" s="22">
        <v>131.26153600000001</v>
      </c>
      <c r="H20" s="22">
        <v>132.49066199999999</v>
      </c>
      <c r="I20" s="22">
        <v>133.72822600000001</v>
      </c>
      <c r="J20" s="22">
        <v>134.95640599999999</v>
      </c>
      <c r="K20" s="22">
        <v>136.153549</v>
      </c>
      <c r="L20" s="22">
        <v>137.32772800000001</v>
      </c>
      <c r="M20" s="22">
        <v>138.49336199999999</v>
      </c>
      <c r="N20" s="22">
        <v>139.63391100000001</v>
      </c>
      <c r="O20" s="22">
        <v>140.73915099999999</v>
      </c>
      <c r="P20" s="22">
        <v>141.82939099999999</v>
      </c>
      <c r="Q20" s="22">
        <v>142.92111199999999</v>
      </c>
      <c r="R20" s="22">
        <v>144.00582900000001</v>
      </c>
      <c r="S20" s="22">
        <v>145.085938</v>
      </c>
      <c r="T20" s="22">
        <v>146.15812700000001</v>
      </c>
      <c r="U20" s="22">
        <v>147.24231</v>
      </c>
      <c r="V20" s="22">
        <v>148.32730100000001</v>
      </c>
      <c r="W20" s="22">
        <v>149.39605700000001</v>
      </c>
      <c r="X20" s="22">
        <v>150.45663500000001</v>
      </c>
      <c r="Y20" s="22">
        <v>151.50981100000001</v>
      </c>
      <c r="Z20" s="22">
        <v>152.55667099999999</v>
      </c>
      <c r="AA20" s="22">
        <v>153.59338399999999</v>
      </c>
      <c r="AB20" s="22">
        <v>154.62643399999999</v>
      </c>
      <c r="AC20" s="22">
        <v>155.64857499999999</v>
      </c>
      <c r="AD20" s="22">
        <v>156.658737</v>
      </c>
      <c r="AE20" s="22">
        <v>157.66000399999999</v>
      </c>
      <c r="AF20" s="23">
        <v>7.92E-3</v>
      </c>
      <c r="AG20" s="10"/>
    </row>
    <row r="21" spans="1:35" x14ac:dyDescent="0.25">
      <c r="A21" s="6"/>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row>
    <row r="22" spans="1:35" ht="48.75" x14ac:dyDescent="0.25">
      <c r="A22" s="9" t="s">
        <v>35</v>
      </c>
      <c r="B22" s="18" t="s">
        <v>36</v>
      </c>
      <c r="C22" s="26">
        <v>1798.9157709999999</v>
      </c>
      <c r="D22" s="26">
        <v>1803.520874</v>
      </c>
      <c r="E22" s="26">
        <v>1808.4263920000001</v>
      </c>
      <c r="F22" s="26">
        <v>1813.318481</v>
      </c>
      <c r="G22" s="26">
        <v>1818.0804439999999</v>
      </c>
      <c r="H22" s="26">
        <v>1822.7229</v>
      </c>
      <c r="I22" s="26">
        <v>1827.2777100000001</v>
      </c>
      <c r="J22" s="26">
        <v>1831.8000489999999</v>
      </c>
      <c r="K22" s="26">
        <v>1836.3393550000001</v>
      </c>
      <c r="L22" s="26">
        <v>1840.849487</v>
      </c>
      <c r="M22" s="26">
        <v>1845.2855219999999</v>
      </c>
      <c r="N22" s="26">
        <v>1849.6773679999999</v>
      </c>
      <c r="O22" s="26">
        <v>1854.0607910000001</v>
      </c>
      <c r="P22" s="26">
        <v>1858.411255</v>
      </c>
      <c r="Q22" s="26">
        <v>1862.6759030000001</v>
      </c>
      <c r="R22" s="26">
        <v>1866.8663329999999</v>
      </c>
      <c r="S22" s="26">
        <v>1870.9754640000001</v>
      </c>
      <c r="T22" s="26">
        <v>1875.0113530000001</v>
      </c>
      <c r="U22" s="26">
        <v>1878.957764</v>
      </c>
      <c r="V22" s="26">
        <v>1882.868408</v>
      </c>
      <c r="W22" s="26">
        <v>1886.739746</v>
      </c>
      <c r="X22" s="26">
        <v>1890.5778809999999</v>
      </c>
      <c r="Y22" s="26">
        <v>1894.3920900000001</v>
      </c>
      <c r="Z22" s="26">
        <v>1898.1798100000001</v>
      </c>
      <c r="AA22" s="26">
        <v>1901.9388429999999</v>
      </c>
      <c r="AB22" s="26">
        <v>1905.62085</v>
      </c>
      <c r="AC22" s="26">
        <v>1909.2523189999999</v>
      </c>
      <c r="AD22" s="26">
        <v>1912.822876</v>
      </c>
      <c r="AE22" s="26">
        <v>1916.330322</v>
      </c>
      <c r="AF22" s="23">
        <v>2.261E-3</v>
      </c>
      <c r="AG22" s="10"/>
      <c r="AI22" s="5"/>
    </row>
    <row r="23" spans="1:35" x14ac:dyDescent="0.25">
      <c r="A23" s="6"/>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I23" s="5"/>
    </row>
    <row r="24" spans="1:35" ht="24.75" x14ac:dyDescent="0.25">
      <c r="A24" s="6"/>
      <c r="B24" s="18" t="s">
        <v>37</v>
      </c>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I24" s="5"/>
    </row>
    <row r="25" spans="1:35" ht="36.75" x14ac:dyDescent="0.25">
      <c r="A25" s="6"/>
      <c r="B25" s="18" t="s">
        <v>38</v>
      </c>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I25" s="5"/>
    </row>
    <row r="26" spans="1:35" ht="48.75" x14ac:dyDescent="0.25">
      <c r="A26" s="9" t="s">
        <v>39</v>
      </c>
      <c r="B26" s="19" t="s">
        <v>40</v>
      </c>
      <c r="C26" s="25">
        <v>93.909476999999995</v>
      </c>
      <c r="D26" s="25">
        <v>92.769119000000003</v>
      </c>
      <c r="E26" s="25">
        <v>89.479934999999998</v>
      </c>
      <c r="F26" s="25">
        <v>89.052955999999995</v>
      </c>
      <c r="G26" s="25">
        <v>88.647407999999999</v>
      </c>
      <c r="H26" s="25">
        <v>88.231392</v>
      </c>
      <c r="I26" s="25">
        <v>87.719673</v>
      </c>
      <c r="J26" s="25">
        <v>87.082458000000003</v>
      </c>
      <c r="K26" s="25">
        <v>86.372932000000006</v>
      </c>
      <c r="L26" s="25">
        <v>85.637900999999999</v>
      </c>
      <c r="M26" s="25">
        <v>84.930008000000001</v>
      </c>
      <c r="N26" s="25">
        <v>84.330368000000007</v>
      </c>
      <c r="O26" s="25">
        <v>83.726021000000003</v>
      </c>
      <c r="P26" s="25">
        <v>83.229088000000004</v>
      </c>
      <c r="Q26" s="25">
        <v>82.803543000000005</v>
      </c>
      <c r="R26" s="25">
        <v>82.429969999999997</v>
      </c>
      <c r="S26" s="25">
        <v>82.039726000000002</v>
      </c>
      <c r="T26" s="25">
        <v>81.693481000000006</v>
      </c>
      <c r="U26" s="25">
        <v>81.360573000000002</v>
      </c>
      <c r="V26" s="25">
        <v>81.060019999999994</v>
      </c>
      <c r="W26" s="25">
        <v>80.817672999999999</v>
      </c>
      <c r="X26" s="25">
        <v>80.633194000000003</v>
      </c>
      <c r="Y26" s="25">
        <v>80.500007999999994</v>
      </c>
      <c r="Z26" s="25">
        <v>80.389549000000002</v>
      </c>
      <c r="AA26" s="25">
        <v>80.279944999999998</v>
      </c>
      <c r="AB26" s="25">
        <v>80.223388999999997</v>
      </c>
      <c r="AC26" s="25">
        <v>80.211196999999999</v>
      </c>
      <c r="AD26" s="25">
        <v>80.229491999999993</v>
      </c>
      <c r="AE26" s="25">
        <v>80.285049000000001</v>
      </c>
      <c r="AF26" s="21">
        <v>-5.5830000000000003E-3</v>
      </c>
      <c r="AG26" s="10"/>
      <c r="AI26" s="5"/>
    </row>
    <row r="27" spans="1:35" ht="60.75" x14ac:dyDescent="0.25">
      <c r="A27" s="9" t="s">
        <v>41</v>
      </c>
      <c r="B27" s="19" t="s">
        <v>42</v>
      </c>
      <c r="C27" s="25">
        <v>93.023323000000005</v>
      </c>
      <c r="D27" s="25">
        <v>91.801674000000006</v>
      </c>
      <c r="E27" s="25">
        <v>88.420021000000006</v>
      </c>
      <c r="F27" s="25">
        <v>87.901168999999996</v>
      </c>
      <c r="G27" s="25">
        <v>87.405547999999996</v>
      </c>
      <c r="H27" s="25">
        <v>86.898582000000005</v>
      </c>
      <c r="I27" s="25">
        <v>86.294922</v>
      </c>
      <c r="J27" s="25">
        <v>85.563857999999996</v>
      </c>
      <c r="K27" s="25">
        <v>84.758437999999998</v>
      </c>
      <c r="L27" s="25">
        <v>83.924873000000005</v>
      </c>
      <c r="M27" s="25">
        <v>83.114104999999995</v>
      </c>
      <c r="N27" s="25">
        <v>82.411513999999997</v>
      </c>
      <c r="O27" s="25">
        <v>81.703484000000003</v>
      </c>
      <c r="P27" s="25">
        <v>81.117576999999997</v>
      </c>
      <c r="Q27" s="25">
        <v>80.600104999999999</v>
      </c>
      <c r="R27" s="25">
        <v>80.131668000000005</v>
      </c>
      <c r="S27" s="25">
        <v>79.641068000000004</v>
      </c>
      <c r="T27" s="25">
        <v>79.188064999999995</v>
      </c>
      <c r="U27" s="25">
        <v>78.743117999999996</v>
      </c>
      <c r="V27" s="25">
        <v>78.324791000000005</v>
      </c>
      <c r="W27" s="25">
        <v>77.958663999999999</v>
      </c>
      <c r="X27" s="25">
        <v>77.644553999999999</v>
      </c>
      <c r="Y27" s="25">
        <v>77.377632000000006</v>
      </c>
      <c r="Z27" s="25">
        <v>77.127983</v>
      </c>
      <c r="AA27" s="25">
        <v>76.874870000000001</v>
      </c>
      <c r="AB27" s="25">
        <v>76.670601000000005</v>
      </c>
      <c r="AC27" s="25">
        <v>76.504470999999995</v>
      </c>
      <c r="AD27" s="25">
        <v>76.365882999999997</v>
      </c>
      <c r="AE27" s="25">
        <v>76.260413999999997</v>
      </c>
      <c r="AF27" s="21">
        <v>-7.071E-3</v>
      </c>
      <c r="AG27" s="10"/>
      <c r="AI27" s="5"/>
    </row>
    <row r="28" spans="1:35" ht="48.75" x14ac:dyDescent="0.25">
      <c r="A28" s="6"/>
      <c r="B28" s="18" t="s">
        <v>43</v>
      </c>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I28" s="5"/>
    </row>
    <row r="29" spans="1:35" ht="48.75" x14ac:dyDescent="0.25">
      <c r="A29" s="9" t="s">
        <v>44</v>
      </c>
      <c r="B29" s="19" t="s">
        <v>40</v>
      </c>
      <c r="C29" s="25">
        <v>52.203377000000003</v>
      </c>
      <c r="D29" s="25">
        <v>51.437781999999999</v>
      </c>
      <c r="E29" s="25">
        <v>49.479443000000003</v>
      </c>
      <c r="F29" s="25">
        <v>49.110489000000001</v>
      </c>
      <c r="G29" s="25">
        <v>48.758792999999997</v>
      </c>
      <c r="H29" s="25">
        <v>48.406364000000004</v>
      </c>
      <c r="I29" s="25">
        <v>48.005661000000003</v>
      </c>
      <c r="J29" s="25">
        <v>47.539284000000002</v>
      </c>
      <c r="K29" s="25">
        <v>47.035389000000002</v>
      </c>
      <c r="L29" s="25">
        <v>46.520859000000002</v>
      </c>
      <c r="M29" s="25">
        <v>46.025402</v>
      </c>
      <c r="N29" s="25">
        <v>45.591934000000002</v>
      </c>
      <c r="O29" s="25">
        <v>45.158183999999999</v>
      </c>
      <c r="P29" s="25">
        <v>44.785075999999997</v>
      </c>
      <c r="Q29" s="25">
        <v>44.454079</v>
      </c>
      <c r="R29" s="25">
        <v>44.15419</v>
      </c>
      <c r="S29" s="25">
        <v>43.848636999999997</v>
      </c>
      <c r="T29" s="25">
        <v>43.569595</v>
      </c>
      <c r="U29" s="25">
        <v>43.300902999999998</v>
      </c>
      <c r="V29" s="25">
        <v>43.051346000000002</v>
      </c>
      <c r="W29" s="25">
        <v>42.834560000000003</v>
      </c>
      <c r="X29" s="25">
        <v>42.650024000000002</v>
      </c>
      <c r="Y29" s="25">
        <v>42.493847000000002</v>
      </c>
      <c r="Z29" s="25">
        <v>42.350861000000002</v>
      </c>
      <c r="AA29" s="25">
        <v>42.209533999999998</v>
      </c>
      <c r="AB29" s="25">
        <v>42.098292999999998</v>
      </c>
      <c r="AC29" s="25">
        <v>42.011837</v>
      </c>
      <c r="AD29" s="25">
        <v>41.942982000000001</v>
      </c>
      <c r="AE29" s="25">
        <v>41.895203000000002</v>
      </c>
      <c r="AF29" s="21">
        <v>-7.8250000000000004E-3</v>
      </c>
      <c r="AG29" s="10"/>
      <c r="AI29" s="5"/>
    </row>
    <row r="30" spans="1:35" ht="60.75" x14ac:dyDescent="0.25">
      <c r="A30" s="9" t="s">
        <v>45</v>
      </c>
      <c r="B30" s="19" t="s">
        <v>42</v>
      </c>
      <c r="C30" s="25">
        <v>51.710773000000003</v>
      </c>
      <c r="D30" s="25">
        <v>50.901363000000003</v>
      </c>
      <c r="E30" s="25">
        <v>48.893349000000001</v>
      </c>
      <c r="F30" s="25">
        <v>48.475307000000001</v>
      </c>
      <c r="G30" s="25">
        <v>48.075733</v>
      </c>
      <c r="H30" s="25">
        <v>47.675148</v>
      </c>
      <c r="I30" s="25">
        <v>47.225948000000002</v>
      </c>
      <c r="J30" s="25">
        <v>46.710258000000003</v>
      </c>
      <c r="K30" s="25">
        <v>46.156193000000002</v>
      </c>
      <c r="L30" s="25">
        <v>45.590297999999997</v>
      </c>
      <c r="M30" s="25">
        <v>45.041325000000001</v>
      </c>
      <c r="N30" s="25">
        <v>44.554535000000001</v>
      </c>
      <c r="O30" s="25">
        <v>44.067314000000003</v>
      </c>
      <c r="P30" s="25">
        <v>43.648884000000002</v>
      </c>
      <c r="Q30" s="25">
        <v>43.271141</v>
      </c>
      <c r="R30" s="25">
        <v>42.923088</v>
      </c>
      <c r="S30" s="25">
        <v>42.566600999999999</v>
      </c>
      <c r="T30" s="25">
        <v>42.233378999999999</v>
      </c>
      <c r="U30" s="25">
        <v>41.907867000000003</v>
      </c>
      <c r="V30" s="25">
        <v>41.598655999999998</v>
      </c>
      <c r="W30" s="25">
        <v>41.319248000000002</v>
      </c>
      <c r="X30" s="25">
        <v>41.069217999999999</v>
      </c>
      <c r="Y30" s="25">
        <v>40.845627</v>
      </c>
      <c r="Z30" s="25">
        <v>40.632603000000003</v>
      </c>
      <c r="AA30" s="25">
        <v>40.419212000000002</v>
      </c>
      <c r="AB30" s="25">
        <v>40.233921000000002</v>
      </c>
      <c r="AC30" s="25">
        <v>40.070380999999998</v>
      </c>
      <c r="AD30" s="25">
        <v>39.923133999999997</v>
      </c>
      <c r="AE30" s="25">
        <v>39.795025000000003</v>
      </c>
      <c r="AF30" s="21">
        <v>-9.3109999999999998E-3</v>
      </c>
      <c r="AG30" s="10"/>
      <c r="AI30" s="5"/>
    </row>
    <row r="31" spans="1:35" x14ac:dyDescent="0.25">
      <c r="A31" s="6"/>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I31" s="5"/>
    </row>
    <row r="32" spans="1:35" ht="36.75" x14ac:dyDescent="0.25">
      <c r="A32" s="6"/>
      <c r="B32" s="18" t="s">
        <v>3</v>
      </c>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I32" s="5"/>
    </row>
    <row r="33" spans="1:35" ht="24.75" x14ac:dyDescent="0.25">
      <c r="A33" s="6"/>
      <c r="B33" s="18" t="s">
        <v>46</v>
      </c>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I33" s="5"/>
    </row>
    <row r="34" spans="1:35" ht="24.75" x14ac:dyDescent="0.25">
      <c r="A34" s="9" t="s">
        <v>47</v>
      </c>
      <c r="B34" s="19" t="s">
        <v>48</v>
      </c>
      <c r="C34" s="20">
        <v>0.74561999999999995</v>
      </c>
      <c r="D34" s="20">
        <v>0.74402500000000005</v>
      </c>
      <c r="E34" s="20">
        <v>0.65757200000000005</v>
      </c>
      <c r="F34" s="20">
        <v>0.65694900000000001</v>
      </c>
      <c r="G34" s="20">
        <v>0.65573199999999998</v>
      </c>
      <c r="H34" s="20">
        <v>0.65321499999999999</v>
      </c>
      <c r="I34" s="20">
        <v>0.64940799999999999</v>
      </c>
      <c r="J34" s="20">
        <v>0.64433799999999997</v>
      </c>
      <c r="K34" s="20">
        <v>0.63785099999999995</v>
      </c>
      <c r="L34" s="20">
        <v>0.63049299999999997</v>
      </c>
      <c r="M34" s="20">
        <v>0.62302299999999999</v>
      </c>
      <c r="N34" s="20">
        <v>0.61513200000000001</v>
      </c>
      <c r="O34" s="20">
        <v>0.606908</v>
      </c>
      <c r="P34" s="20">
        <v>0.59983799999999998</v>
      </c>
      <c r="Q34" s="20">
        <v>0.59312200000000004</v>
      </c>
      <c r="R34" s="20">
        <v>0.58654700000000004</v>
      </c>
      <c r="S34" s="20">
        <v>0.57942300000000002</v>
      </c>
      <c r="T34" s="20">
        <v>0.57227499999999998</v>
      </c>
      <c r="U34" s="20">
        <v>0.56561099999999997</v>
      </c>
      <c r="V34" s="20">
        <v>0.55932499999999996</v>
      </c>
      <c r="W34" s="20">
        <v>0.55341399999999996</v>
      </c>
      <c r="X34" s="20">
        <v>0.54783000000000004</v>
      </c>
      <c r="Y34" s="20">
        <v>0.54221399999999997</v>
      </c>
      <c r="Z34" s="20">
        <v>0.53667600000000004</v>
      </c>
      <c r="AA34" s="20">
        <v>0.53138099999999999</v>
      </c>
      <c r="AB34" s="20">
        <v>0.526393</v>
      </c>
      <c r="AC34" s="20">
        <v>0.52143200000000001</v>
      </c>
      <c r="AD34" s="20">
        <v>0.51668800000000004</v>
      </c>
      <c r="AE34" s="20">
        <v>0.51238399999999995</v>
      </c>
      <c r="AF34" s="21">
        <v>-1.3309E-2</v>
      </c>
      <c r="AG34" s="10"/>
      <c r="AI34" s="5"/>
    </row>
    <row r="35" spans="1:35" ht="24.75" x14ac:dyDescent="0.25">
      <c r="A35" s="9" t="s">
        <v>49</v>
      </c>
      <c r="B35" s="19" t="s">
        <v>50</v>
      </c>
      <c r="C35" s="20">
        <v>0.85358699999999998</v>
      </c>
      <c r="D35" s="20">
        <v>0.73519199999999996</v>
      </c>
      <c r="E35" s="20">
        <v>0.89090899999999995</v>
      </c>
      <c r="F35" s="20">
        <v>0.91105000000000003</v>
      </c>
      <c r="G35" s="20">
        <v>0.93018100000000004</v>
      </c>
      <c r="H35" s="20">
        <v>0.95014200000000004</v>
      </c>
      <c r="I35" s="20">
        <v>0.96970900000000004</v>
      </c>
      <c r="J35" s="20">
        <v>0.98822399999999999</v>
      </c>
      <c r="K35" s="20">
        <v>1.0044709999999999</v>
      </c>
      <c r="L35" s="20">
        <v>1.019774</v>
      </c>
      <c r="M35" s="20">
        <v>1.0362020000000001</v>
      </c>
      <c r="N35" s="20">
        <v>1.052583</v>
      </c>
      <c r="O35" s="20">
        <v>1.069291</v>
      </c>
      <c r="P35" s="20">
        <v>1.088333</v>
      </c>
      <c r="Q35" s="20">
        <v>1.1091219999999999</v>
      </c>
      <c r="R35" s="20">
        <v>1.130924</v>
      </c>
      <c r="S35" s="20">
        <v>1.152515</v>
      </c>
      <c r="T35" s="20">
        <v>1.1745490000000001</v>
      </c>
      <c r="U35" s="20">
        <v>1.1969080000000001</v>
      </c>
      <c r="V35" s="20">
        <v>1.2194160000000001</v>
      </c>
      <c r="W35" s="20">
        <v>1.2425580000000001</v>
      </c>
      <c r="X35" s="20">
        <v>1.266365</v>
      </c>
      <c r="Y35" s="20">
        <v>1.29112</v>
      </c>
      <c r="Z35" s="20">
        <v>1.3168</v>
      </c>
      <c r="AA35" s="20">
        <v>1.344624</v>
      </c>
      <c r="AB35" s="20">
        <v>1.373569</v>
      </c>
      <c r="AC35" s="20">
        <v>1.4030819999999999</v>
      </c>
      <c r="AD35" s="20">
        <v>1.4325289999999999</v>
      </c>
      <c r="AE35" s="20">
        <v>1.4631479999999999</v>
      </c>
      <c r="AF35" s="21">
        <v>1.9432999999999999E-2</v>
      </c>
      <c r="AG35" s="10"/>
      <c r="AI35" s="5"/>
    </row>
    <row r="36" spans="1:35" ht="24.75" x14ac:dyDescent="0.25">
      <c r="A36" s="9" t="s">
        <v>51</v>
      </c>
      <c r="B36" s="19" t="s">
        <v>52</v>
      </c>
      <c r="C36" s="20">
        <v>0.59979700000000002</v>
      </c>
      <c r="D36" s="20">
        <v>0.59884499999999996</v>
      </c>
      <c r="E36" s="20">
        <v>0.59878600000000004</v>
      </c>
      <c r="F36" s="20">
        <v>0.59958199999999995</v>
      </c>
      <c r="G36" s="20">
        <v>0.59953599999999996</v>
      </c>
      <c r="H36" s="20">
        <v>0.59912500000000002</v>
      </c>
      <c r="I36" s="20">
        <v>0.59802</v>
      </c>
      <c r="J36" s="20">
        <v>0.596113</v>
      </c>
      <c r="K36" s="20">
        <v>0.59322299999999994</v>
      </c>
      <c r="L36" s="20">
        <v>0.58991099999999996</v>
      </c>
      <c r="M36" s="20">
        <v>0.58684700000000001</v>
      </c>
      <c r="N36" s="20">
        <v>0.58612399999999998</v>
      </c>
      <c r="O36" s="20">
        <v>0.58614599999999994</v>
      </c>
      <c r="P36" s="20">
        <v>0.58855199999999996</v>
      </c>
      <c r="Q36" s="20">
        <v>0.59146399999999999</v>
      </c>
      <c r="R36" s="20">
        <v>0.59436500000000003</v>
      </c>
      <c r="S36" s="20">
        <v>0.59693099999999999</v>
      </c>
      <c r="T36" s="20">
        <v>0.59932099999999999</v>
      </c>
      <c r="U36" s="20">
        <v>0.60179499999999997</v>
      </c>
      <c r="V36" s="20">
        <v>0.604464</v>
      </c>
      <c r="W36" s="20">
        <v>0.60740400000000005</v>
      </c>
      <c r="X36" s="20">
        <v>0.61058400000000002</v>
      </c>
      <c r="Y36" s="20">
        <v>0.61373800000000001</v>
      </c>
      <c r="Z36" s="20">
        <v>0.61683500000000002</v>
      </c>
      <c r="AA36" s="20">
        <v>0.620251</v>
      </c>
      <c r="AB36" s="20">
        <v>0.62392099999999995</v>
      </c>
      <c r="AC36" s="20">
        <v>0.62766699999999997</v>
      </c>
      <c r="AD36" s="20">
        <v>0.63161800000000001</v>
      </c>
      <c r="AE36" s="20">
        <v>0.63607999999999998</v>
      </c>
      <c r="AF36" s="21">
        <v>2.0999999999999999E-3</v>
      </c>
      <c r="AG36" s="10"/>
      <c r="AI36" s="5"/>
    </row>
    <row r="37" spans="1:35" ht="36.75" x14ac:dyDescent="0.25">
      <c r="A37" s="9" t="s">
        <v>53</v>
      </c>
      <c r="B37" s="19" t="s">
        <v>54</v>
      </c>
      <c r="C37" s="20">
        <v>0.29555799999999999</v>
      </c>
      <c r="D37" s="20">
        <v>0.293987</v>
      </c>
      <c r="E37" s="20">
        <v>0.29266799999999998</v>
      </c>
      <c r="F37" s="20">
        <v>0.29163</v>
      </c>
      <c r="G37" s="20">
        <v>0.29078300000000001</v>
      </c>
      <c r="H37" s="20">
        <v>0.29015800000000003</v>
      </c>
      <c r="I37" s="20">
        <v>0.28977799999999998</v>
      </c>
      <c r="J37" s="20">
        <v>0.28961500000000001</v>
      </c>
      <c r="K37" s="20">
        <v>0.289659</v>
      </c>
      <c r="L37" s="20">
        <v>0.28998600000000002</v>
      </c>
      <c r="M37" s="20">
        <v>0.29063</v>
      </c>
      <c r="N37" s="20">
        <v>0.29157</v>
      </c>
      <c r="O37" s="20">
        <v>0.29279500000000003</v>
      </c>
      <c r="P37" s="20">
        <v>0.29434300000000002</v>
      </c>
      <c r="Q37" s="20">
        <v>0.29624200000000001</v>
      </c>
      <c r="R37" s="20">
        <v>0.29844700000000002</v>
      </c>
      <c r="S37" s="20">
        <v>0.30096000000000001</v>
      </c>
      <c r="T37" s="20">
        <v>0.30374499999999999</v>
      </c>
      <c r="U37" s="20">
        <v>0.30684800000000001</v>
      </c>
      <c r="V37" s="20">
        <v>0.310249</v>
      </c>
      <c r="W37" s="20">
        <v>0.313888</v>
      </c>
      <c r="X37" s="20">
        <v>0.31748199999999999</v>
      </c>
      <c r="Y37" s="20">
        <v>0.32102399999999998</v>
      </c>
      <c r="Z37" s="20">
        <v>0.32450699999999999</v>
      </c>
      <c r="AA37" s="20">
        <v>0.32791500000000001</v>
      </c>
      <c r="AB37" s="20">
        <v>0.33124999999999999</v>
      </c>
      <c r="AC37" s="20">
        <v>0.33449600000000002</v>
      </c>
      <c r="AD37" s="20">
        <v>0.33764499999999997</v>
      </c>
      <c r="AE37" s="20">
        <v>0.340702</v>
      </c>
      <c r="AF37" s="21">
        <v>5.0899999999999999E-3</v>
      </c>
      <c r="AG37" s="10"/>
      <c r="AI37" s="5"/>
    </row>
    <row r="38" spans="1:35" x14ac:dyDescent="0.25">
      <c r="A38" s="9" t="s">
        <v>55</v>
      </c>
      <c r="B38" s="19" t="s">
        <v>56</v>
      </c>
      <c r="C38" s="20">
        <v>5.5863000000000003E-2</v>
      </c>
      <c r="D38" s="20">
        <v>5.6202000000000002E-2</v>
      </c>
      <c r="E38" s="20">
        <v>5.6536000000000003E-2</v>
      </c>
      <c r="F38" s="20">
        <v>5.6875000000000002E-2</v>
      </c>
      <c r="G38" s="20">
        <v>5.7204999999999999E-2</v>
      </c>
      <c r="H38" s="20">
        <v>5.7529999999999998E-2</v>
      </c>
      <c r="I38" s="20">
        <v>5.7847999999999997E-2</v>
      </c>
      <c r="J38" s="20">
        <v>5.8138000000000002E-2</v>
      </c>
      <c r="K38" s="20">
        <v>5.8390999999999998E-2</v>
      </c>
      <c r="L38" s="20">
        <v>5.8604000000000003E-2</v>
      </c>
      <c r="M38" s="20">
        <v>5.8781E-2</v>
      </c>
      <c r="N38" s="20">
        <v>5.8965999999999998E-2</v>
      </c>
      <c r="O38" s="20">
        <v>5.917E-2</v>
      </c>
      <c r="P38" s="20">
        <v>5.9403999999999998E-2</v>
      </c>
      <c r="Q38" s="20">
        <v>5.9679999999999997E-2</v>
      </c>
      <c r="R38" s="20">
        <v>5.9996000000000001E-2</v>
      </c>
      <c r="S38" s="20">
        <v>6.0304000000000003E-2</v>
      </c>
      <c r="T38" s="20">
        <v>6.0601000000000002E-2</v>
      </c>
      <c r="U38" s="20">
        <v>6.0894999999999998E-2</v>
      </c>
      <c r="V38" s="20">
        <v>6.1182E-2</v>
      </c>
      <c r="W38" s="20">
        <v>6.1454000000000002E-2</v>
      </c>
      <c r="X38" s="20">
        <v>6.1713999999999998E-2</v>
      </c>
      <c r="Y38" s="20">
        <v>6.1963999999999998E-2</v>
      </c>
      <c r="Z38" s="20">
        <v>6.2203000000000001E-2</v>
      </c>
      <c r="AA38" s="20">
        <v>6.2434000000000003E-2</v>
      </c>
      <c r="AB38" s="20">
        <v>6.2659000000000006E-2</v>
      </c>
      <c r="AC38" s="20">
        <v>6.2880000000000005E-2</v>
      </c>
      <c r="AD38" s="20">
        <v>6.3098000000000001E-2</v>
      </c>
      <c r="AE38" s="20">
        <v>6.3319E-2</v>
      </c>
      <c r="AF38" s="21">
        <v>4.4850000000000003E-3</v>
      </c>
      <c r="AG38" s="10"/>
      <c r="AI38" s="5"/>
    </row>
    <row r="39" spans="1:35" ht="24.75" x14ac:dyDescent="0.25">
      <c r="A39" s="9" t="s">
        <v>57</v>
      </c>
      <c r="B39" s="19" t="s">
        <v>58</v>
      </c>
      <c r="C39" s="20">
        <v>0.222467</v>
      </c>
      <c r="D39" s="20">
        <v>0.227024</v>
      </c>
      <c r="E39" s="20">
        <v>0.23189100000000001</v>
      </c>
      <c r="F39" s="20">
        <v>0.23729500000000001</v>
      </c>
      <c r="G39" s="20">
        <v>0.242448</v>
      </c>
      <c r="H39" s="20">
        <v>0.24726600000000001</v>
      </c>
      <c r="I39" s="20">
        <v>0.25179299999999999</v>
      </c>
      <c r="J39" s="20">
        <v>0.25596000000000002</v>
      </c>
      <c r="K39" s="20">
        <v>0.25967099999999999</v>
      </c>
      <c r="L39" s="20">
        <v>0.263071</v>
      </c>
      <c r="M39" s="20">
        <v>0.26643600000000001</v>
      </c>
      <c r="N39" s="20">
        <v>0.26939200000000002</v>
      </c>
      <c r="O39" s="20">
        <v>0.27234199999999997</v>
      </c>
      <c r="P39" s="20">
        <v>0.275723</v>
      </c>
      <c r="Q39" s="20">
        <v>0.27934199999999998</v>
      </c>
      <c r="R39" s="20">
        <v>0.28279900000000002</v>
      </c>
      <c r="S39" s="20">
        <v>0.28596300000000002</v>
      </c>
      <c r="T39" s="20">
        <v>0.28907500000000003</v>
      </c>
      <c r="U39" s="20">
        <v>0.29220600000000002</v>
      </c>
      <c r="V39" s="20">
        <v>0.29541099999999998</v>
      </c>
      <c r="W39" s="20">
        <v>0.29872300000000002</v>
      </c>
      <c r="X39" s="20">
        <v>0.30215999999999998</v>
      </c>
      <c r="Y39" s="20">
        <v>0.30563499999999999</v>
      </c>
      <c r="Z39" s="20">
        <v>0.30910900000000002</v>
      </c>
      <c r="AA39" s="20">
        <v>0.31273000000000001</v>
      </c>
      <c r="AB39" s="20">
        <v>0.31651000000000001</v>
      </c>
      <c r="AC39" s="20">
        <v>0.32030700000000001</v>
      </c>
      <c r="AD39" s="20">
        <v>0.32417200000000002</v>
      </c>
      <c r="AE39" s="20">
        <v>0.32827800000000001</v>
      </c>
      <c r="AF39" s="21">
        <v>1.3993E-2</v>
      </c>
      <c r="AG39" s="10"/>
    </row>
    <row r="40" spans="1:35" x14ac:dyDescent="0.25">
      <c r="A40" s="9" t="s">
        <v>59</v>
      </c>
      <c r="B40" s="19" t="s">
        <v>60</v>
      </c>
      <c r="C40" s="20">
        <v>6.9006999999999999E-2</v>
      </c>
      <c r="D40" s="20">
        <v>6.8849999999999995E-2</v>
      </c>
      <c r="E40" s="20">
        <v>6.8686999999999998E-2</v>
      </c>
      <c r="F40" s="20">
        <v>6.8515999999999994E-2</v>
      </c>
      <c r="G40" s="20">
        <v>6.8318000000000004E-2</v>
      </c>
      <c r="H40" s="20">
        <v>6.8104999999999999E-2</v>
      </c>
      <c r="I40" s="20">
        <v>6.7921999999999996E-2</v>
      </c>
      <c r="J40" s="20">
        <v>6.7761000000000002E-2</v>
      </c>
      <c r="K40" s="20">
        <v>6.7614999999999995E-2</v>
      </c>
      <c r="L40" s="20">
        <v>6.7486000000000004E-2</v>
      </c>
      <c r="M40" s="20">
        <v>6.7377000000000006E-2</v>
      </c>
      <c r="N40" s="20">
        <v>6.7287E-2</v>
      </c>
      <c r="O40" s="20">
        <v>6.7215999999999998E-2</v>
      </c>
      <c r="P40" s="20">
        <v>6.7169000000000006E-2</v>
      </c>
      <c r="Q40" s="20">
        <v>6.7158999999999996E-2</v>
      </c>
      <c r="R40" s="20">
        <v>6.7178000000000002E-2</v>
      </c>
      <c r="S40" s="20">
        <v>6.7228999999999997E-2</v>
      </c>
      <c r="T40" s="20">
        <v>6.7310999999999996E-2</v>
      </c>
      <c r="U40" s="20">
        <v>6.7431000000000005E-2</v>
      </c>
      <c r="V40" s="20">
        <v>6.7596000000000003E-2</v>
      </c>
      <c r="W40" s="20">
        <v>6.7793999999999993E-2</v>
      </c>
      <c r="X40" s="20">
        <v>6.8035999999999999E-2</v>
      </c>
      <c r="Y40" s="20">
        <v>6.8325999999999998E-2</v>
      </c>
      <c r="Z40" s="20">
        <v>6.8666000000000005E-2</v>
      </c>
      <c r="AA40" s="20">
        <v>6.9053000000000003E-2</v>
      </c>
      <c r="AB40" s="20">
        <v>6.9481000000000001E-2</v>
      </c>
      <c r="AC40" s="20">
        <v>6.9903999999999994E-2</v>
      </c>
      <c r="AD40" s="20">
        <v>7.0319000000000007E-2</v>
      </c>
      <c r="AE40" s="20">
        <v>7.0729E-2</v>
      </c>
      <c r="AF40" s="21">
        <v>8.8099999999999995E-4</v>
      </c>
      <c r="AG40" s="10"/>
      <c r="AI40" s="5"/>
    </row>
    <row r="41" spans="1:35" x14ac:dyDescent="0.25">
      <c r="A41" s="9" t="s">
        <v>61</v>
      </c>
      <c r="B41" s="19" t="s">
        <v>62</v>
      </c>
      <c r="C41" s="20">
        <v>0.22927</v>
      </c>
      <c r="D41" s="20">
        <v>0.21315999999999999</v>
      </c>
      <c r="E41" s="20">
        <v>0.20679400000000001</v>
      </c>
      <c r="F41" s="20">
        <v>0.20512900000000001</v>
      </c>
      <c r="G41" s="20">
        <v>0.20519999999999999</v>
      </c>
      <c r="H41" s="20">
        <v>0.206404</v>
      </c>
      <c r="I41" s="20">
        <v>0.20832999999999999</v>
      </c>
      <c r="J41" s="20">
        <v>0.210226</v>
      </c>
      <c r="K41" s="20">
        <v>0.209704</v>
      </c>
      <c r="L41" s="20">
        <v>0.20916399999999999</v>
      </c>
      <c r="M41" s="20">
        <v>0.20885500000000001</v>
      </c>
      <c r="N41" s="20">
        <v>0.208568</v>
      </c>
      <c r="O41" s="20">
        <v>0.208536</v>
      </c>
      <c r="P41" s="20">
        <v>0.20901600000000001</v>
      </c>
      <c r="Q41" s="20">
        <v>0.20962700000000001</v>
      </c>
      <c r="R41" s="20">
        <v>0.210178</v>
      </c>
      <c r="S41" s="20">
        <v>0.210558</v>
      </c>
      <c r="T41" s="20">
        <v>0.210954</v>
      </c>
      <c r="U41" s="20">
        <v>0.207703</v>
      </c>
      <c r="V41" s="20">
        <v>0.205012</v>
      </c>
      <c r="W41" s="20">
        <v>0.20291100000000001</v>
      </c>
      <c r="X41" s="20">
        <v>0.20146700000000001</v>
      </c>
      <c r="Y41" s="20">
        <v>0.200848</v>
      </c>
      <c r="Z41" s="20">
        <v>0.20064000000000001</v>
      </c>
      <c r="AA41" s="20">
        <v>0.20059199999999999</v>
      </c>
      <c r="AB41" s="20">
        <v>0.20072999999999999</v>
      </c>
      <c r="AC41" s="20">
        <v>0.200991</v>
      </c>
      <c r="AD41" s="20">
        <v>0.20142299999999999</v>
      </c>
      <c r="AE41" s="20">
        <v>0.20205600000000001</v>
      </c>
      <c r="AF41" s="21">
        <v>-4.5030000000000001E-3</v>
      </c>
      <c r="AG41" s="10"/>
      <c r="AI41" s="5"/>
    </row>
    <row r="42" spans="1:35" ht="36.75" x14ac:dyDescent="0.25">
      <c r="A42" s="9" t="s">
        <v>63</v>
      </c>
      <c r="B42" s="19" t="s">
        <v>64</v>
      </c>
      <c r="C42" s="20">
        <v>3.7489000000000001E-2</v>
      </c>
      <c r="D42" s="20">
        <v>3.7812999999999999E-2</v>
      </c>
      <c r="E42" s="20">
        <v>3.8143999999999997E-2</v>
      </c>
      <c r="F42" s="20">
        <v>3.8485999999999999E-2</v>
      </c>
      <c r="G42" s="20">
        <v>3.8827E-2</v>
      </c>
      <c r="H42" s="20">
        <v>3.9168000000000001E-2</v>
      </c>
      <c r="I42" s="20">
        <v>3.9518999999999999E-2</v>
      </c>
      <c r="J42" s="20">
        <v>3.9875000000000001E-2</v>
      </c>
      <c r="K42" s="20">
        <v>4.0245999999999997E-2</v>
      </c>
      <c r="L42" s="20">
        <v>4.0617E-2</v>
      </c>
      <c r="M42" s="20">
        <v>4.0992000000000001E-2</v>
      </c>
      <c r="N42" s="20">
        <v>4.1364999999999999E-2</v>
      </c>
      <c r="O42" s="20">
        <v>4.1732999999999999E-2</v>
      </c>
      <c r="P42" s="20">
        <v>4.2098999999999998E-2</v>
      </c>
      <c r="Q42" s="20">
        <v>4.2465000000000003E-2</v>
      </c>
      <c r="R42" s="20">
        <v>4.2827999999999998E-2</v>
      </c>
      <c r="S42" s="20">
        <v>4.3187000000000003E-2</v>
      </c>
      <c r="T42" s="20">
        <v>4.3541999999999997E-2</v>
      </c>
      <c r="U42" s="20">
        <v>4.3898E-2</v>
      </c>
      <c r="V42" s="20">
        <v>4.4252E-2</v>
      </c>
      <c r="W42" s="20">
        <v>4.4599E-2</v>
      </c>
      <c r="X42" s="20">
        <v>4.4942000000000003E-2</v>
      </c>
      <c r="Y42" s="20">
        <v>4.5282000000000003E-2</v>
      </c>
      <c r="Z42" s="20">
        <v>4.5619E-2</v>
      </c>
      <c r="AA42" s="20">
        <v>4.5952E-2</v>
      </c>
      <c r="AB42" s="20">
        <v>4.6282999999999998E-2</v>
      </c>
      <c r="AC42" s="20">
        <v>4.6611E-2</v>
      </c>
      <c r="AD42" s="20">
        <v>4.6935999999999999E-2</v>
      </c>
      <c r="AE42" s="20">
        <v>4.7258000000000001E-2</v>
      </c>
      <c r="AF42" s="21">
        <v>8.3049999999999999E-3</v>
      </c>
      <c r="AG42" s="10"/>
      <c r="AI42" s="5"/>
    </row>
    <row r="43" spans="1:35" ht="36.75" x14ac:dyDescent="0.25">
      <c r="A43" s="9" t="s">
        <v>65</v>
      </c>
      <c r="B43" s="19" t="s">
        <v>66</v>
      </c>
      <c r="C43" s="20">
        <v>2.7618E-2</v>
      </c>
      <c r="D43" s="20">
        <v>2.8063999999999999E-2</v>
      </c>
      <c r="E43" s="20">
        <v>2.8506E-2</v>
      </c>
      <c r="F43" s="20">
        <v>2.8944999999999999E-2</v>
      </c>
      <c r="G43" s="20">
        <v>2.937E-2</v>
      </c>
      <c r="H43" s="20">
        <v>2.9781999999999999E-2</v>
      </c>
      <c r="I43" s="20">
        <v>3.0232999999999999E-2</v>
      </c>
      <c r="J43" s="20">
        <v>3.0721999999999999E-2</v>
      </c>
      <c r="K43" s="20">
        <v>3.1241999999999999E-2</v>
      </c>
      <c r="L43" s="20">
        <v>3.1796999999999999E-2</v>
      </c>
      <c r="M43" s="20">
        <v>3.2391999999999997E-2</v>
      </c>
      <c r="N43" s="20">
        <v>3.3027000000000001E-2</v>
      </c>
      <c r="O43" s="20">
        <v>3.3702000000000003E-2</v>
      </c>
      <c r="P43" s="20">
        <v>3.4373000000000001E-2</v>
      </c>
      <c r="Q43" s="20">
        <v>3.5042999999999998E-2</v>
      </c>
      <c r="R43" s="20">
        <v>3.5709999999999999E-2</v>
      </c>
      <c r="S43" s="20">
        <v>3.6374999999999998E-2</v>
      </c>
      <c r="T43" s="20">
        <v>3.7035999999999999E-2</v>
      </c>
      <c r="U43" s="20">
        <v>3.7698000000000002E-2</v>
      </c>
      <c r="V43" s="20">
        <v>3.8358999999999997E-2</v>
      </c>
      <c r="W43" s="20">
        <v>3.9015000000000001E-2</v>
      </c>
      <c r="X43" s="20">
        <v>3.9667000000000001E-2</v>
      </c>
      <c r="Y43" s="20">
        <v>4.0315999999999998E-2</v>
      </c>
      <c r="Z43" s="20">
        <v>4.0961999999999998E-2</v>
      </c>
      <c r="AA43" s="20">
        <v>4.1605000000000003E-2</v>
      </c>
      <c r="AB43" s="20">
        <v>4.2244999999999998E-2</v>
      </c>
      <c r="AC43" s="20">
        <v>4.2882000000000003E-2</v>
      </c>
      <c r="AD43" s="20">
        <v>4.3513999999999997E-2</v>
      </c>
      <c r="AE43" s="20">
        <v>4.4143000000000002E-2</v>
      </c>
      <c r="AF43" s="21">
        <v>1.6889999999999999E-2</v>
      </c>
      <c r="AG43" s="10"/>
      <c r="AI43" s="5"/>
    </row>
    <row r="44" spans="1:35" ht="72.75" x14ac:dyDescent="0.25">
      <c r="A44" s="9" t="s">
        <v>67</v>
      </c>
      <c r="B44" s="19" t="s">
        <v>68</v>
      </c>
      <c r="C44" s="20">
        <v>0.18509200000000001</v>
      </c>
      <c r="D44" s="20">
        <v>0.181559</v>
      </c>
      <c r="E44" s="20">
        <v>0.178365</v>
      </c>
      <c r="F44" s="20">
        <v>0.17569199999999999</v>
      </c>
      <c r="G44" s="20">
        <v>0.17295099999999999</v>
      </c>
      <c r="H44" s="20">
        <v>0.17014299999999999</v>
      </c>
      <c r="I44" s="20">
        <v>0.16719800000000001</v>
      </c>
      <c r="J44" s="20">
        <v>0.16413900000000001</v>
      </c>
      <c r="K44" s="20">
        <v>0.16098699999999999</v>
      </c>
      <c r="L44" s="20">
        <v>0.15786700000000001</v>
      </c>
      <c r="M44" s="20">
        <v>0.154866</v>
      </c>
      <c r="N44" s="20">
        <v>0.151867</v>
      </c>
      <c r="O44" s="20">
        <v>0.14899799999999999</v>
      </c>
      <c r="P44" s="20">
        <v>0.14658499999999999</v>
      </c>
      <c r="Q44" s="20">
        <v>0.14447299999999999</v>
      </c>
      <c r="R44" s="20">
        <v>0.142566</v>
      </c>
      <c r="S44" s="20">
        <v>0.14076</v>
      </c>
      <c r="T44" s="20">
        <v>0.13918900000000001</v>
      </c>
      <c r="U44" s="20">
        <v>0.13791</v>
      </c>
      <c r="V44" s="20">
        <v>0.136911</v>
      </c>
      <c r="W44" s="20">
        <v>0.13620699999999999</v>
      </c>
      <c r="X44" s="20">
        <v>0.13575499999999999</v>
      </c>
      <c r="Y44" s="20">
        <v>0.13553699999999999</v>
      </c>
      <c r="Z44" s="20">
        <v>0.13555200000000001</v>
      </c>
      <c r="AA44" s="20">
        <v>0.13580200000000001</v>
      </c>
      <c r="AB44" s="20">
        <v>0.136265</v>
      </c>
      <c r="AC44" s="20">
        <v>0.13685</v>
      </c>
      <c r="AD44" s="20">
        <v>0.13759299999999999</v>
      </c>
      <c r="AE44" s="20">
        <v>0.13852700000000001</v>
      </c>
      <c r="AF44" s="21">
        <v>-1.0296E-2</v>
      </c>
      <c r="AG44" s="10"/>
      <c r="AI44" s="5"/>
    </row>
    <row r="45" spans="1:35" ht="72.75" x14ac:dyDescent="0.25">
      <c r="A45" s="9" t="s">
        <v>69</v>
      </c>
      <c r="B45" s="19" t="s">
        <v>70</v>
      </c>
      <c r="C45" s="20">
        <v>0.120106</v>
      </c>
      <c r="D45" s="20">
        <v>0.118562</v>
      </c>
      <c r="E45" s="20">
        <v>0.11693099999999999</v>
      </c>
      <c r="F45" s="20">
        <v>0.11536299999999999</v>
      </c>
      <c r="G45" s="20">
        <v>0.113493</v>
      </c>
      <c r="H45" s="20">
        <v>0.111328</v>
      </c>
      <c r="I45" s="20">
        <v>0.108857</v>
      </c>
      <c r="J45" s="20">
        <v>0.106117</v>
      </c>
      <c r="K45" s="20">
        <v>0.103168</v>
      </c>
      <c r="L45" s="20">
        <v>0.100088</v>
      </c>
      <c r="M45" s="20">
        <v>9.6979999999999997E-2</v>
      </c>
      <c r="N45" s="20">
        <v>9.3785999999999994E-2</v>
      </c>
      <c r="O45" s="20">
        <v>9.0609999999999996E-2</v>
      </c>
      <c r="P45" s="20">
        <v>8.7647000000000003E-2</v>
      </c>
      <c r="Q45" s="20">
        <v>8.4848000000000007E-2</v>
      </c>
      <c r="R45" s="20">
        <v>8.2132999999999998E-2</v>
      </c>
      <c r="S45" s="20">
        <v>7.9492999999999994E-2</v>
      </c>
      <c r="T45" s="20">
        <v>7.7007999999999993E-2</v>
      </c>
      <c r="U45" s="20">
        <v>7.4726000000000001E-2</v>
      </c>
      <c r="V45" s="20">
        <v>7.2651999999999994E-2</v>
      </c>
      <c r="W45" s="20">
        <v>7.0824999999999999E-2</v>
      </c>
      <c r="X45" s="20">
        <v>6.9226999999999997E-2</v>
      </c>
      <c r="Y45" s="20">
        <v>6.7875000000000005E-2</v>
      </c>
      <c r="Z45" s="20">
        <v>6.6753000000000007E-2</v>
      </c>
      <c r="AA45" s="20">
        <v>6.5956000000000001E-2</v>
      </c>
      <c r="AB45" s="20">
        <v>6.5417000000000003E-2</v>
      </c>
      <c r="AC45" s="20">
        <v>6.5087000000000006E-2</v>
      </c>
      <c r="AD45" s="20">
        <v>6.4992999999999995E-2</v>
      </c>
      <c r="AE45" s="20">
        <v>6.5106999999999998E-2</v>
      </c>
      <c r="AF45" s="21">
        <v>-2.1631999999999998E-2</v>
      </c>
      <c r="AG45" s="10"/>
      <c r="AI45" s="5"/>
    </row>
    <row r="46" spans="1:35" ht="60.75" x14ac:dyDescent="0.25">
      <c r="A46" s="9" t="s">
        <v>71</v>
      </c>
      <c r="B46" s="19" t="s">
        <v>72</v>
      </c>
      <c r="C46" s="20">
        <v>8.9175000000000004E-2</v>
      </c>
      <c r="D46" s="20">
        <v>8.8249999999999995E-2</v>
      </c>
      <c r="E46" s="20">
        <v>7.9128000000000004E-2</v>
      </c>
      <c r="F46" s="20">
        <v>8.0093999999999999E-2</v>
      </c>
      <c r="G46" s="20">
        <v>8.0979999999999996E-2</v>
      </c>
      <c r="H46" s="20">
        <v>8.1729999999999997E-2</v>
      </c>
      <c r="I46" s="20">
        <v>8.2280000000000006E-2</v>
      </c>
      <c r="J46" s="20">
        <v>8.2540000000000002E-2</v>
      </c>
      <c r="K46" s="20">
        <v>8.2561999999999997E-2</v>
      </c>
      <c r="L46" s="20">
        <v>8.2343E-2</v>
      </c>
      <c r="M46" s="20">
        <v>8.1923999999999997E-2</v>
      </c>
      <c r="N46" s="20">
        <v>8.1309000000000006E-2</v>
      </c>
      <c r="O46" s="20">
        <v>8.0431000000000002E-2</v>
      </c>
      <c r="P46" s="20">
        <v>7.9390000000000002E-2</v>
      </c>
      <c r="Q46" s="20">
        <v>7.8254000000000004E-2</v>
      </c>
      <c r="R46" s="20">
        <v>7.7045000000000002E-2</v>
      </c>
      <c r="S46" s="20">
        <v>7.5693999999999997E-2</v>
      </c>
      <c r="T46" s="20">
        <v>7.4348999999999998E-2</v>
      </c>
      <c r="U46" s="20">
        <v>7.3050000000000004E-2</v>
      </c>
      <c r="V46" s="20">
        <v>7.1817000000000006E-2</v>
      </c>
      <c r="W46" s="20">
        <v>7.0639999999999994E-2</v>
      </c>
      <c r="X46" s="20">
        <v>6.9587999999999997E-2</v>
      </c>
      <c r="Y46" s="20">
        <v>6.8662000000000001E-2</v>
      </c>
      <c r="Z46" s="20">
        <v>6.7822999999999994E-2</v>
      </c>
      <c r="AA46" s="20">
        <v>6.7005999999999996E-2</v>
      </c>
      <c r="AB46" s="20">
        <v>6.6321000000000005E-2</v>
      </c>
      <c r="AC46" s="20">
        <v>6.5775E-2</v>
      </c>
      <c r="AD46" s="20">
        <v>6.5343999999999999E-2</v>
      </c>
      <c r="AE46" s="20">
        <v>6.4996999999999999E-2</v>
      </c>
      <c r="AF46" s="21">
        <v>-1.1231E-2</v>
      </c>
      <c r="AG46" s="10"/>
      <c r="AI46" s="5"/>
    </row>
    <row r="47" spans="1:35" ht="24.75" x14ac:dyDescent="0.25">
      <c r="A47" s="9" t="s">
        <v>73</v>
      </c>
      <c r="B47" s="19" t="s">
        <v>74</v>
      </c>
      <c r="C47" s="20">
        <v>1.7289920000000001</v>
      </c>
      <c r="D47" s="20">
        <v>1.778594</v>
      </c>
      <c r="E47" s="20">
        <v>1.805526</v>
      </c>
      <c r="F47" s="20">
        <v>1.8416680000000001</v>
      </c>
      <c r="G47" s="20">
        <v>1.877618</v>
      </c>
      <c r="H47" s="20">
        <v>1.9181360000000001</v>
      </c>
      <c r="I47" s="20">
        <v>1.9534260000000001</v>
      </c>
      <c r="J47" s="20">
        <v>1.984526</v>
      </c>
      <c r="K47" s="20">
        <v>2.015298</v>
      </c>
      <c r="L47" s="20">
        <v>2.045995</v>
      </c>
      <c r="M47" s="20">
        <v>2.0771999999999999</v>
      </c>
      <c r="N47" s="20">
        <v>2.1083090000000002</v>
      </c>
      <c r="O47" s="20">
        <v>2.1370680000000002</v>
      </c>
      <c r="P47" s="20">
        <v>2.1696040000000001</v>
      </c>
      <c r="Q47" s="20">
        <v>2.2045029999999999</v>
      </c>
      <c r="R47" s="20">
        <v>2.2416749999999999</v>
      </c>
      <c r="S47" s="20">
        <v>2.277666</v>
      </c>
      <c r="T47" s="20">
        <v>2.3144999999999998</v>
      </c>
      <c r="U47" s="20">
        <v>2.3536220000000001</v>
      </c>
      <c r="V47" s="20">
        <v>2.393605</v>
      </c>
      <c r="W47" s="20">
        <v>2.4362240000000002</v>
      </c>
      <c r="X47" s="20">
        <v>2.4803709999999999</v>
      </c>
      <c r="Y47" s="20">
        <v>2.5261019999999998</v>
      </c>
      <c r="Z47" s="20">
        <v>2.5735540000000001</v>
      </c>
      <c r="AA47" s="20">
        <v>2.6229239999999998</v>
      </c>
      <c r="AB47" s="20">
        <v>2.6745640000000002</v>
      </c>
      <c r="AC47" s="20">
        <v>2.727255</v>
      </c>
      <c r="AD47" s="20">
        <v>2.7817340000000002</v>
      </c>
      <c r="AE47" s="20">
        <v>2.8402690000000002</v>
      </c>
      <c r="AF47" s="21">
        <v>1.7885000000000002E-2</v>
      </c>
      <c r="AG47" s="10"/>
    </row>
    <row r="48" spans="1:35" ht="36.75" x14ac:dyDescent="0.25">
      <c r="A48" s="9" t="s">
        <v>75</v>
      </c>
      <c r="B48" s="18" t="s">
        <v>76</v>
      </c>
      <c r="C48" s="22">
        <v>5.2596420000000004</v>
      </c>
      <c r="D48" s="22">
        <v>5.1701290000000002</v>
      </c>
      <c r="E48" s="22">
        <v>5.2504400000000002</v>
      </c>
      <c r="F48" s="22">
        <v>5.3072759999999999</v>
      </c>
      <c r="G48" s="22">
        <v>5.3626420000000001</v>
      </c>
      <c r="H48" s="22">
        <v>5.4222320000000002</v>
      </c>
      <c r="I48" s="22">
        <v>5.4743199999999996</v>
      </c>
      <c r="J48" s="22">
        <v>5.5182950000000002</v>
      </c>
      <c r="K48" s="22">
        <v>5.5540880000000001</v>
      </c>
      <c r="L48" s="22">
        <v>5.5871940000000002</v>
      </c>
      <c r="M48" s="22">
        <v>5.6225040000000002</v>
      </c>
      <c r="N48" s="22">
        <v>5.6592840000000004</v>
      </c>
      <c r="O48" s="22">
        <v>5.694947</v>
      </c>
      <c r="P48" s="22">
        <v>5.742076</v>
      </c>
      <c r="Q48" s="22">
        <v>5.7953429999999999</v>
      </c>
      <c r="R48" s="22">
        <v>5.8523889999999996</v>
      </c>
      <c r="S48" s="22">
        <v>5.9070590000000003</v>
      </c>
      <c r="T48" s="22">
        <v>5.9634539999999996</v>
      </c>
      <c r="U48" s="22">
        <v>6.0202999999999998</v>
      </c>
      <c r="V48" s="22">
        <v>6.0802500000000004</v>
      </c>
      <c r="W48" s="22">
        <v>6.1456559999999998</v>
      </c>
      <c r="X48" s="22">
        <v>6.2151889999999996</v>
      </c>
      <c r="Y48" s="22">
        <v>6.2886449999999998</v>
      </c>
      <c r="Z48" s="22">
        <v>6.3656980000000001</v>
      </c>
      <c r="AA48" s="22">
        <v>6.4482220000000003</v>
      </c>
      <c r="AB48" s="22">
        <v>6.5356100000000001</v>
      </c>
      <c r="AC48" s="22">
        <v>6.6252180000000003</v>
      </c>
      <c r="AD48" s="22">
        <v>6.7176070000000001</v>
      </c>
      <c r="AE48" s="22">
        <v>6.816999</v>
      </c>
      <c r="AF48" s="23">
        <v>9.306E-3</v>
      </c>
      <c r="AG48" s="10"/>
      <c r="AI48" s="5"/>
    </row>
    <row r="49" spans="1:35" ht="48.75" x14ac:dyDescent="0.25">
      <c r="A49" s="9" t="s">
        <v>77</v>
      </c>
      <c r="B49" s="19" t="s">
        <v>78</v>
      </c>
      <c r="C49" s="20">
        <v>0.112023</v>
      </c>
      <c r="D49" s="20">
        <v>0.123458</v>
      </c>
      <c r="E49" s="20">
        <v>0.13652900000000001</v>
      </c>
      <c r="F49" s="20">
        <v>0.14977699999999999</v>
      </c>
      <c r="G49" s="20">
        <v>0.16300899999999999</v>
      </c>
      <c r="H49" s="20">
        <v>0.17658499999999999</v>
      </c>
      <c r="I49" s="20">
        <v>0.19053</v>
      </c>
      <c r="J49" s="20">
        <v>0.20494499999999999</v>
      </c>
      <c r="K49" s="20">
        <v>0.21981999999999999</v>
      </c>
      <c r="L49" s="20">
        <v>0.23524600000000001</v>
      </c>
      <c r="M49" s="20">
        <v>0.25148999999999999</v>
      </c>
      <c r="N49" s="20">
        <v>0.26793699999999998</v>
      </c>
      <c r="O49" s="20">
        <v>0.28465000000000001</v>
      </c>
      <c r="P49" s="20">
        <v>0.29947400000000002</v>
      </c>
      <c r="Q49" s="20">
        <v>0.31491799999999998</v>
      </c>
      <c r="R49" s="20">
        <v>0.33096799999999998</v>
      </c>
      <c r="S49" s="20">
        <v>0.34801199999999999</v>
      </c>
      <c r="T49" s="20">
        <v>0.36618699999999998</v>
      </c>
      <c r="U49" s="20">
        <v>0.38540000000000002</v>
      </c>
      <c r="V49" s="20">
        <v>0.40570899999999999</v>
      </c>
      <c r="W49" s="20">
        <v>0.427124</v>
      </c>
      <c r="X49" s="20">
        <v>0.44966</v>
      </c>
      <c r="Y49" s="20">
        <v>0.47307100000000002</v>
      </c>
      <c r="Z49" s="20">
        <v>0.49757400000000002</v>
      </c>
      <c r="AA49" s="20">
        <v>0.52299700000000005</v>
      </c>
      <c r="AB49" s="20">
        <v>0.54935500000000004</v>
      </c>
      <c r="AC49" s="20">
        <v>0.57694599999999996</v>
      </c>
      <c r="AD49" s="20">
        <v>0.60526800000000003</v>
      </c>
      <c r="AE49" s="20">
        <v>0.63452399999999998</v>
      </c>
      <c r="AF49" s="21">
        <v>6.3893000000000005E-2</v>
      </c>
      <c r="AG49" s="10"/>
      <c r="AI49" s="5"/>
    </row>
    <row r="50" spans="1:35" ht="36.75" x14ac:dyDescent="0.25">
      <c r="A50" s="9" t="s">
        <v>79</v>
      </c>
      <c r="B50" s="18" t="s">
        <v>80</v>
      </c>
      <c r="C50" s="22">
        <v>5.1476179999999996</v>
      </c>
      <c r="D50" s="22">
        <v>5.0466709999999999</v>
      </c>
      <c r="E50" s="22">
        <v>5.1139109999999999</v>
      </c>
      <c r="F50" s="22">
        <v>5.1574989999999996</v>
      </c>
      <c r="G50" s="22">
        <v>5.1996339999999996</v>
      </c>
      <c r="H50" s="22">
        <v>5.2456469999999999</v>
      </c>
      <c r="I50" s="22">
        <v>5.2837899999999998</v>
      </c>
      <c r="J50" s="22">
        <v>5.3133499999999998</v>
      </c>
      <c r="K50" s="22">
        <v>5.3342679999999998</v>
      </c>
      <c r="L50" s="22">
        <v>5.3519490000000003</v>
      </c>
      <c r="M50" s="22">
        <v>5.3710139999999997</v>
      </c>
      <c r="N50" s="22">
        <v>5.3913460000000004</v>
      </c>
      <c r="O50" s="22">
        <v>5.4102969999999999</v>
      </c>
      <c r="P50" s="22">
        <v>5.4426019999999999</v>
      </c>
      <c r="Q50" s="22">
        <v>5.4804250000000003</v>
      </c>
      <c r="R50" s="22">
        <v>5.5214210000000001</v>
      </c>
      <c r="S50" s="22">
        <v>5.5590469999999996</v>
      </c>
      <c r="T50" s="22">
        <v>5.5972670000000004</v>
      </c>
      <c r="U50" s="22">
        <v>5.6349</v>
      </c>
      <c r="V50" s="22">
        <v>5.6745409999999996</v>
      </c>
      <c r="W50" s="22">
        <v>5.7185319999999997</v>
      </c>
      <c r="X50" s="22">
        <v>5.7655289999999999</v>
      </c>
      <c r="Y50" s="22">
        <v>5.8155739999999998</v>
      </c>
      <c r="Z50" s="22">
        <v>5.8681239999999999</v>
      </c>
      <c r="AA50" s="22">
        <v>5.9252250000000002</v>
      </c>
      <c r="AB50" s="22">
        <v>5.9862549999999999</v>
      </c>
      <c r="AC50" s="22">
        <v>6.0482719999999999</v>
      </c>
      <c r="AD50" s="22">
        <v>6.1123390000000004</v>
      </c>
      <c r="AE50" s="22">
        <v>6.1824750000000002</v>
      </c>
      <c r="AF50" s="23">
        <v>6.5640000000000004E-3</v>
      </c>
      <c r="AG50" s="10"/>
      <c r="AI50" s="5"/>
    </row>
    <row r="51" spans="1:35" x14ac:dyDescent="0.25">
      <c r="A51" s="6"/>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I51" s="5"/>
    </row>
    <row r="52" spans="1:35" ht="24.75" x14ac:dyDescent="0.25">
      <c r="A52" s="6"/>
      <c r="B52" s="18" t="s">
        <v>81</v>
      </c>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row>
    <row r="53" spans="1:35" ht="24.75" x14ac:dyDescent="0.25">
      <c r="A53" s="9" t="s">
        <v>82</v>
      </c>
      <c r="B53" s="19" t="s">
        <v>48</v>
      </c>
      <c r="C53" s="20">
        <v>3.7369300000000001</v>
      </c>
      <c r="D53" s="20">
        <v>3.7861340000000001</v>
      </c>
      <c r="E53" s="20">
        <v>3.5242059999999999</v>
      </c>
      <c r="F53" s="20">
        <v>3.5347719999999998</v>
      </c>
      <c r="G53" s="20">
        <v>3.5407920000000002</v>
      </c>
      <c r="H53" s="20">
        <v>3.5382799999999999</v>
      </c>
      <c r="I53" s="20">
        <v>3.5293040000000002</v>
      </c>
      <c r="J53" s="20">
        <v>3.510945</v>
      </c>
      <c r="K53" s="20">
        <v>3.4878969999999998</v>
      </c>
      <c r="L53" s="20">
        <v>3.4622350000000002</v>
      </c>
      <c r="M53" s="20">
        <v>3.4365359999999998</v>
      </c>
      <c r="N53" s="20">
        <v>3.41919</v>
      </c>
      <c r="O53" s="20">
        <v>3.3989539999999998</v>
      </c>
      <c r="P53" s="20">
        <v>3.379413</v>
      </c>
      <c r="Q53" s="20">
        <v>3.362053</v>
      </c>
      <c r="R53" s="20">
        <v>3.3461120000000002</v>
      </c>
      <c r="S53" s="20">
        <v>3.3294380000000001</v>
      </c>
      <c r="T53" s="20">
        <v>3.3147989999999998</v>
      </c>
      <c r="U53" s="20">
        <v>3.3015089999999998</v>
      </c>
      <c r="V53" s="20">
        <v>3.2886820000000001</v>
      </c>
      <c r="W53" s="20">
        <v>3.2766220000000001</v>
      </c>
      <c r="X53" s="20">
        <v>3.2663669999999998</v>
      </c>
      <c r="Y53" s="20">
        <v>3.2576480000000001</v>
      </c>
      <c r="Z53" s="20">
        <v>3.2478159999999998</v>
      </c>
      <c r="AA53" s="20">
        <v>3.2346270000000001</v>
      </c>
      <c r="AB53" s="20">
        <v>3.2227749999999999</v>
      </c>
      <c r="AC53" s="20">
        <v>3.212637</v>
      </c>
      <c r="AD53" s="20">
        <v>3.2025510000000001</v>
      </c>
      <c r="AE53" s="20">
        <v>3.191122</v>
      </c>
      <c r="AF53" s="21">
        <v>-5.6230000000000004E-3</v>
      </c>
      <c r="AG53" s="10"/>
      <c r="AI53" s="5"/>
    </row>
    <row r="54" spans="1:35" ht="24.75" x14ac:dyDescent="0.25">
      <c r="A54" s="9" t="s">
        <v>83</v>
      </c>
      <c r="B54" s="19" t="s">
        <v>50</v>
      </c>
      <c r="C54" s="20">
        <v>5.8888000000000003E-2</v>
      </c>
      <c r="D54" s="20">
        <v>5.0529999999999999E-2</v>
      </c>
      <c r="E54" s="20">
        <v>5.9461E-2</v>
      </c>
      <c r="F54" s="20">
        <v>5.9824000000000002E-2</v>
      </c>
      <c r="G54" s="20">
        <v>6.0086000000000001E-2</v>
      </c>
      <c r="H54" s="20">
        <v>6.0236999999999999E-2</v>
      </c>
      <c r="I54" s="20">
        <v>6.0283000000000003E-2</v>
      </c>
      <c r="J54" s="20">
        <v>6.0234999999999997E-2</v>
      </c>
      <c r="K54" s="20">
        <v>6.0099E-2</v>
      </c>
      <c r="L54" s="20">
        <v>5.9889999999999999E-2</v>
      </c>
      <c r="M54" s="20">
        <v>5.9665999999999997E-2</v>
      </c>
      <c r="N54" s="20">
        <v>5.9420000000000001E-2</v>
      </c>
      <c r="O54" s="20">
        <v>5.9214999999999997E-2</v>
      </c>
      <c r="P54" s="20">
        <v>5.9098999999999999E-2</v>
      </c>
      <c r="Q54" s="20">
        <v>5.9116000000000002E-2</v>
      </c>
      <c r="R54" s="20">
        <v>5.9265999999999999E-2</v>
      </c>
      <c r="S54" s="20">
        <v>5.9430999999999998E-2</v>
      </c>
      <c r="T54" s="20">
        <v>5.9636000000000002E-2</v>
      </c>
      <c r="U54" s="20">
        <v>5.9840999999999998E-2</v>
      </c>
      <c r="V54" s="20">
        <v>6.0023E-2</v>
      </c>
      <c r="W54" s="20">
        <v>6.0231E-2</v>
      </c>
      <c r="X54" s="20">
        <v>6.0454000000000001E-2</v>
      </c>
      <c r="Y54" s="20">
        <v>6.0706000000000003E-2</v>
      </c>
      <c r="Z54" s="20">
        <v>6.0935999999999997E-2</v>
      </c>
      <c r="AA54" s="20">
        <v>6.1136999999999997E-2</v>
      </c>
      <c r="AB54" s="20">
        <v>6.1339999999999999E-2</v>
      </c>
      <c r="AC54" s="20">
        <v>6.1596999999999999E-2</v>
      </c>
      <c r="AD54" s="20">
        <v>6.1870000000000001E-2</v>
      </c>
      <c r="AE54" s="20">
        <v>6.2121999999999997E-2</v>
      </c>
      <c r="AF54" s="21">
        <v>1.9109999999999999E-3</v>
      </c>
      <c r="AG54" s="10"/>
      <c r="AI54" s="5"/>
    </row>
    <row r="55" spans="1:35" ht="24.75" x14ac:dyDescent="0.25">
      <c r="A55" s="9" t="s">
        <v>84</v>
      </c>
      <c r="B55" s="19" t="s">
        <v>52</v>
      </c>
      <c r="C55" s="20">
        <v>0.98298799999999997</v>
      </c>
      <c r="D55" s="20">
        <v>0.980209</v>
      </c>
      <c r="E55" s="20">
        <v>0.98977099999999996</v>
      </c>
      <c r="F55" s="20">
        <v>1.0055149999999999</v>
      </c>
      <c r="G55" s="20">
        <v>1.0222389999999999</v>
      </c>
      <c r="H55" s="20">
        <v>1.038243</v>
      </c>
      <c r="I55" s="20">
        <v>1.0537510000000001</v>
      </c>
      <c r="J55" s="20">
        <v>1.066705</v>
      </c>
      <c r="K55" s="20">
        <v>1.078192</v>
      </c>
      <c r="L55" s="20">
        <v>1.087593</v>
      </c>
      <c r="M55" s="20">
        <v>1.096298</v>
      </c>
      <c r="N55" s="20">
        <v>1.1049169999999999</v>
      </c>
      <c r="O55" s="20">
        <v>1.1131009999999999</v>
      </c>
      <c r="P55" s="20">
        <v>1.121259</v>
      </c>
      <c r="Q55" s="20">
        <v>1.1294930000000001</v>
      </c>
      <c r="R55" s="20">
        <v>1.13727</v>
      </c>
      <c r="S55" s="20">
        <v>1.1440520000000001</v>
      </c>
      <c r="T55" s="20">
        <v>1.1511439999999999</v>
      </c>
      <c r="U55" s="20">
        <v>1.158029</v>
      </c>
      <c r="V55" s="20">
        <v>1.1645909999999999</v>
      </c>
      <c r="W55" s="20">
        <v>1.1712849999999999</v>
      </c>
      <c r="X55" s="20">
        <v>1.178668</v>
      </c>
      <c r="Y55" s="20">
        <v>1.186804</v>
      </c>
      <c r="Z55" s="20">
        <v>1.1945509999999999</v>
      </c>
      <c r="AA55" s="20">
        <v>1.1994590000000001</v>
      </c>
      <c r="AB55" s="20">
        <v>1.205508</v>
      </c>
      <c r="AC55" s="20">
        <v>1.2130890000000001</v>
      </c>
      <c r="AD55" s="20">
        <v>1.221263</v>
      </c>
      <c r="AE55" s="20">
        <v>1.2289669999999999</v>
      </c>
      <c r="AF55" s="21">
        <v>8.0079999999999995E-3</v>
      </c>
      <c r="AG55" s="10"/>
      <c r="AI55" s="5"/>
    </row>
    <row r="56" spans="1:35" x14ac:dyDescent="0.25">
      <c r="A56" s="9" t="s">
        <v>85</v>
      </c>
      <c r="B56" s="19" t="s">
        <v>56</v>
      </c>
      <c r="C56" s="20">
        <v>0.10353900000000001</v>
      </c>
      <c r="D56" s="20">
        <v>0.10372099999999999</v>
      </c>
      <c r="E56" s="20">
        <v>0.10392999999999999</v>
      </c>
      <c r="F56" s="20">
        <v>0.104173</v>
      </c>
      <c r="G56" s="20">
        <v>0.104412</v>
      </c>
      <c r="H56" s="20">
        <v>0.10465000000000001</v>
      </c>
      <c r="I56" s="20">
        <v>0.10492</v>
      </c>
      <c r="J56" s="20">
        <v>0.105265</v>
      </c>
      <c r="K56" s="20">
        <v>0.10567799999999999</v>
      </c>
      <c r="L56" s="20">
        <v>0.10617600000000001</v>
      </c>
      <c r="M56" s="20">
        <v>0.10677300000000001</v>
      </c>
      <c r="N56" s="20">
        <v>0.107469</v>
      </c>
      <c r="O56" s="20">
        <v>0.108208</v>
      </c>
      <c r="P56" s="20">
        <v>0.109004</v>
      </c>
      <c r="Q56" s="20">
        <v>0.10985200000000001</v>
      </c>
      <c r="R56" s="20">
        <v>0.11074299999999999</v>
      </c>
      <c r="S56" s="20">
        <v>0.111655</v>
      </c>
      <c r="T56" s="20">
        <v>0.11258700000000001</v>
      </c>
      <c r="U56" s="20">
        <v>0.113552</v>
      </c>
      <c r="V56" s="20">
        <v>0.11454499999999999</v>
      </c>
      <c r="W56" s="20">
        <v>0.11555799999999999</v>
      </c>
      <c r="X56" s="20">
        <v>0.116595</v>
      </c>
      <c r="Y56" s="20">
        <v>0.117656</v>
      </c>
      <c r="Z56" s="20">
        <v>0.11873599999999999</v>
      </c>
      <c r="AA56" s="20">
        <v>0.119822</v>
      </c>
      <c r="AB56" s="20">
        <v>0.120911</v>
      </c>
      <c r="AC56" s="20">
        <v>0.121992</v>
      </c>
      <c r="AD56" s="20">
        <v>0.123053</v>
      </c>
      <c r="AE56" s="20">
        <v>0.12409000000000001</v>
      </c>
      <c r="AF56" s="21">
        <v>6.4869999999999997E-3</v>
      </c>
      <c r="AG56" s="10"/>
      <c r="AI56" s="5"/>
    </row>
    <row r="57" spans="1:35" ht="24.75" x14ac:dyDescent="0.25">
      <c r="A57" s="9" t="s">
        <v>86</v>
      </c>
      <c r="B57" s="19" t="s">
        <v>58</v>
      </c>
      <c r="C57" s="20">
        <v>3.9712999999999998E-2</v>
      </c>
      <c r="D57" s="20">
        <v>4.0030999999999997E-2</v>
      </c>
      <c r="E57" s="20">
        <v>4.0827000000000002E-2</v>
      </c>
      <c r="F57" s="20">
        <v>4.1871999999999999E-2</v>
      </c>
      <c r="G57" s="20">
        <v>4.2965000000000003E-2</v>
      </c>
      <c r="H57" s="20">
        <v>4.4041999999999998E-2</v>
      </c>
      <c r="I57" s="20">
        <v>4.5060000000000003E-2</v>
      </c>
      <c r="J57" s="20">
        <v>4.5927000000000003E-2</v>
      </c>
      <c r="K57" s="20">
        <v>4.6698000000000003E-2</v>
      </c>
      <c r="L57" s="20">
        <v>4.7412999999999997E-2</v>
      </c>
      <c r="M57" s="20">
        <v>4.8115999999999999E-2</v>
      </c>
      <c r="N57" s="20">
        <v>4.879E-2</v>
      </c>
      <c r="O57" s="20">
        <v>4.9444000000000002E-2</v>
      </c>
      <c r="P57" s="20">
        <v>5.008E-2</v>
      </c>
      <c r="Q57" s="20">
        <v>5.0721000000000002E-2</v>
      </c>
      <c r="R57" s="20">
        <v>5.1386000000000001E-2</v>
      </c>
      <c r="S57" s="20">
        <v>5.2047999999999997E-2</v>
      </c>
      <c r="T57" s="20">
        <v>5.2755000000000003E-2</v>
      </c>
      <c r="U57" s="20">
        <v>5.3475000000000002E-2</v>
      </c>
      <c r="V57" s="20">
        <v>5.4198000000000003E-2</v>
      </c>
      <c r="W57" s="20">
        <v>5.4938000000000001E-2</v>
      </c>
      <c r="X57" s="20">
        <v>5.5710999999999997E-2</v>
      </c>
      <c r="Y57" s="20">
        <v>5.6512E-2</v>
      </c>
      <c r="Z57" s="20">
        <v>5.7282E-2</v>
      </c>
      <c r="AA57" s="20">
        <v>5.7895000000000002E-2</v>
      </c>
      <c r="AB57" s="20">
        <v>5.8550999999999999E-2</v>
      </c>
      <c r="AC57" s="20">
        <v>5.9274E-2</v>
      </c>
      <c r="AD57" s="20">
        <v>6.0025000000000002E-2</v>
      </c>
      <c r="AE57" s="20">
        <v>6.0749999999999998E-2</v>
      </c>
      <c r="AF57" s="21">
        <v>1.5298000000000001E-2</v>
      </c>
      <c r="AG57" s="10"/>
      <c r="AI57" s="5"/>
    </row>
    <row r="58" spans="1:35" ht="24.75" x14ac:dyDescent="0.25">
      <c r="A58" s="9" t="s">
        <v>87</v>
      </c>
      <c r="B58" s="19" t="s">
        <v>88</v>
      </c>
      <c r="C58" s="20">
        <v>0.22733500000000001</v>
      </c>
      <c r="D58" s="20">
        <v>0.225826</v>
      </c>
      <c r="E58" s="20">
        <v>0.22627800000000001</v>
      </c>
      <c r="F58" s="20">
        <v>0.22780500000000001</v>
      </c>
      <c r="G58" s="20">
        <v>0.22943</v>
      </c>
      <c r="H58" s="20">
        <v>0.23081199999999999</v>
      </c>
      <c r="I58" s="20">
        <v>0.23187099999999999</v>
      </c>
      <c r="J58" s="20">
        <v>0.23214099999999999</v>
      </c>
      <c r="K58" s="20">
        <v>0.23191100000000001</v>
      </c>
      <c r="L58" s="20">
        <v>0.23139599999999999</v>
      </c>
      <c r="M58" s="20">
        <v>0.23083100000000001</v>
      </c>
      <c r="N58" s="20">
        <v>0.23017299999999999</v>
      </c>
      <c r="O58" s="20">
        <v>0.22950300000000001</v>
      </c>
      <c r="P58" s="20">
        <v>0.22885800000000001</v>
      </c>
      <c r="Q58" s="20">
        <v>0.22833500000000001</v>
      </c>
      <c r="R58" s="20">
        <v>0.22784299999999999</v>
      </c>
      <c r="S58" s="20">
        <v>0.227266</v>
      </c>
      <c r="T58" s="20">
        <v>0.22681899999999999</v>
      </c>
      <c r="U58" s="20">
        <v>0.226353</v>
      </c>
      <c r="V58" s="20">
        <v>0.225855</v>
      </c>
      <c r="W58" s="20">
        <v>0.225413</v>
      </c>
      <c r="X58" s="20">
        <v>0.22509299999999999</v>
      </c>
      <c r="Y58" s="20">
        <v>0.22487799999999999</v>
      </c>
      <c r="Z58" s="20">
        <v>0.22455700000000001</v>
      </c>
      <c r="AA58" s="20">
        <v>0.22354599999999999</v>
      </c>
      <c r="AB58" s="20">
        <v>0.222772</v>
      </c>
      <c r="AC58" s="20">
        <v>0.22233800000000001</v>
      </c>
      <c r="AD58" s="20">
        <v>0.22208800000000001</v>
      </c>
      <c r="AE58" s="20">
        <v>0.22178899999999999</v>
      </c>
      <c r="AF58" s="21">
        <v>-8.8199999999999997E-4</v>
      </c>
      <c r="AG58" s="10"/>
      <c r="AI58" s="5"/>
    </row>
    <row r="59" spans="1:35" ht="36.75" x14ac:dyDescent="0.25">
      <c r="A59" s="9" t="s">
        <v>89</v>
      </c>
      <c r="B59" s="18" t="s">
        <v>90</v>
      </c>
      <c r="C59" s="22">
        <v>5.1493919999999997</v>
      </c>
      <c r="D59" s="22">
        <v>5.1864509999999999</v>
      </c>
      <c r="E59" s="22">
        <v>4.9444739999999996</v>
      </c>
      <c r="F59" s="22">
        <v>4.9739610000000001</v>
      </c>
      <c r="G59" s="22">
        <v>4.9999250000000002</v>
      </c>
      <c r="H59" s="22">
        <v>5.0162659999999999</v>
      </c>
      <c r="I59" s="22">
        <v>5.0251890000000001</v>
      </c>
      <c r="J59" s="22">
        <v>5.021217</v>
      </c>
      <c r="K59" s="22">
        <v>5.0104759999999997</v>
      </c>
      <c r="L59" s="22">
        <v>4.9947030000000003</v>
      </c>
      <c r="M59" s="22">
        <v>4.9782209999999996</v>
      </c>
      <c r="N59" s="22">
        <v>4.9699590000000002</v>
      </c>
      <c r="O59" s="22">
        <v>4.9584260000000002</v>
      </c>
      <c r="P59" s="22">
        <v>4.9477130000000002</v>
      </c>
      <c r="Q59" s="22">
        <v>4.9395699999999998</v>
      </c>
      <c r="R59" s="22">
        <v>4.9326210000000001</v>
      </c>
      <c r="S59" s="22">
        <v>4.9238910000000002</v>
      </c>
      <c r="T59" s="22">
        <v>4.9177400000000002</v>
      </c>
      <c r="U59" s="22">
        <v>4.9127590000000003</v>
      </c>
      <c r="V59" s="22">
        <v>4.9078949999999999</v>
      </c>
      <c r="W59" s="22">
        <v>4.9040470000000003</v>
      </c>
      <c r="X59" s="22">
        <v>4.9028879999999999</v>
      </c>
      <c r="Y59" s="22">
        <v>4.904204</v>
      </c>
      <c r="Z59" s="22">
        <v>4.9038760000000003</v>
      </c>
      <c r="AA59" s="22">
        <v>4.8964850000000002</v>
      </c>
      <c r="AB59" s="22">
        <v>4.8918569999999999</v>
      </c>
      <c r="AC59" s="22">
        <v>4.8909269999999996</v>
      </c>
      <c r="AD59" s="22">
        <v>4.8908509999999996</v>
      </c>
      <c r="AE59" s="22">
        <v>4.8888410000000002</v>
      </c>
      <c r="AF59" s="23">
        <v>-1.853E-3</v>
      </c>
      <c r="AG59" s="10"/>
    </row>
    <row r="60" spans="1:35" x14ac:dyDescent="0.25">
      <c r="A60" s="6"/>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I60" s="5"/>
    </row>
    <row r="61" spans="1:35" ht="24.75" x14ac:dyDescent="0.25">
      <c r="A61" s="6"/>
      <c r="B61" s="18" t="s">
        <v>91</v>
      </c>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I61" s="5"/>
    </row>
    <row r="62" spans="1:35" ht="24.75" x14ac:dyDescent="0.25">
      <c r="A62" s="9" t="s">
        <v>92</v>
      </c>
      <c r="B62" s="19" t="s">
        <v>48</v>
      </c>
      <c r="C62" s="20">
        <v>0.38192500000000001</v>
      </c>
      <c r="D62" s="20">
        <v>0.38353599999999999</v>
      </c>
      <c r="E62" s="20">
        <v>0.32749</v>
      </c>
      <c r="F62" s="20">
        <v>0.323264</v>
      </c>
      <c r="G62" s="20">
        <v>0.31815500000000002</v>
      </c>
      <c r="H62" s="20">
        <v>0.31265199999999999</v>
      </c>
      <c r="I62" s="20">
        <v>0.30687900000000001</v>
      </c>
      <c r="J62" s="20">
        <v>0.300867</v>
      </c>
      <c r="K62" s="20">
        <v>0.29493999999999998</v>
      </c>
      <c r="L62" s="20">
        <v>0.289076</v>
      </c>
      <c r="M62" s="20">
        <v>0.28336600000000001</v>
      </c>
      <c r="N62" s="20">
        <v>0.27821800000000002</v>
      </c>
      <c r="O62" s="20">
        <v>0.273003</v>
      </c>
      <c r="P62" s="20">
        <v>0.26784599999999997</v>
      </c>
      <c r="Q62" s="20">
        <v>0.26289899999999999</v>
      </c>
      <c r="R62" s="20">
        <v>0.25812299999999999</v>
      </c>
      <c r="S62" s="20">
        <v>0.25350699999999998</v>
      </c>
      <c r="T62" s="20">
        <v>0.24901699999999999</v>
      </c>
      <c r="U62" s="20">
        <v>0.24471499999999999</v>
      </c>
      <c r="V62" s="20">
        <v>0.240453</v>
      </c>
      <c r="W62" s="20">
        <v>0.236259</v>
      </c>
      <c r="X62" s="20">
        <v>0.232016</v>
      </c>
      <c r="Y62" s="20">
        <v>0.22792000000000001</v>
      </c>
      <c r="Z62" s="20">
        <v>0.223829</v>
      </c>
      <c r="AA62" s="20">
        <v>0.219666</v>
      </c>
      <c r="AB62" s="20">
        <v>0.21551799999999999</v>
      </c>
      <c r="AC62" s="20">
        <v>0.21145800000000001</v>
      </c>
      <c r="AD62" s="20">
        <v>0.20741999999999999</v>
      </c>
      <c r="AE62" s="20">
        <v>0.203485</v>
      </c>
      <c r="AF62" s="21">
        <v>-2.2235999999999999E-2</v>
      </c>
      <c r="AG62" s="10"/>
      <c r="AI62" s="5"/>
    </row>
    <row r="63" spans="1:35" ht="24.75" x14ac:dyDescent="0.25">
      <c r="A63" s="9" t="s">
        <v>93</v>
      </c>
      <c r="B63" s="19" t="s">
        <v>52</v>
      </c>
      <c r="C63" s="20">
        <v>4.3041000000000003E-2</v>
      </c>
      <c r="D63" s="20">
        <v>4.0314999999999997E-2</v>
      </c>
      <c r="E63" s="20">
        <v>3.8573000000000003E-2</v>
      </c>
      <c r="F63" s="20">
        <v>3.7465999999999999E-2</v>
      </c>
      <c r="G63" s="20">
        <v>3.6442000000000002E-2</v>
      </c>
      <c r="H63" s="20">
        <v>3.5552E-2</v>
      </c>
      <c r="I63" s="20">
        <v>3.4810000000000001E-2</v>
      </c>
      <c r="J63" s="20">
        <v>3.4218999999999999E-2</v>
      </c>
      <c r="K63" s="20">
        <v>3.3803E-2</v>
      </c>
      <c r="L63" s="20">
        <v>3.3316999999999999E-2</v>
      </c>
      <c r="M63" s="20">
        <v>3.2805000000000001E-2</v>
      </c>
      <c r="N63" s="20">
        <v>3.227E-2</v>
      </c>
      <c r="O63" s="20">
        <v>3.1734999999999999E-2</v>
      </c>
      <c r="P63" s="20">
        <v>3.1182000000000001E-2</v>
      </c>
      <c r="Q63" s="20">
        <v>3.0637000000000001E-2</v>
      </c>
      <c r="R63" s="20">
        <v>3.0092000000000001E-2</v>
      </c>
      <c r="S63" s="20">
        <v>2.9555999999999999E-2</v>
      </c>
      <c r="T63" s="20">
        <v>2.9034000000000001E-2</v>
      </c>
      <c r="U63" s="20">
        <v>2.8531000000000001E-2</v>
      </c>
      <c r="V63" s="20">
        <v>2.8038E-2</v>
      </c>
      <c r="W63" s="20">
        <v>2.7574000000000001E-2</v>
      </c>
      <c r="X63" s="20">
        <v>2.7129E-2</v>
      </c>
      <c r="Y63" s="20">
        <v>2.6714999999999999E-2</v>
      </c>
      <c r="Z63" s="20">
        <v>2.6321000000000001E-2</v>
      </c>
      <c r="AA63" s="20">
        <v>2.5933000000000001E-2</v>
      </c>
      <c r="AB63" s="20">
        <v>2.5562999999999999E-2</v>
      </c>
      <c r="AC63" s="20">
        <v>2.5212999999999999E-2</v>
      </c>
      <c r="AD63" s="20">
        <v>2.4871000000000001E-2</v>
      </c>
      <c r="AE63" s="20">
        <v>2.4542000000000001E-2</v>
      </c>
      <c r="AF63" s="21">
        <v>-1.9862999999999999E-2</v>
      </c>
      <c r="AG63" s="10"/>
      <c r="AI63" s="5"/>
    </row>
    <row r="64" spans="1:35" ht="24.75" x14ac:dyDescent="0.25">
      <c r="A64" s="9" t="s">
        <v>94</v>
      </c>
      <c r="B64" s="19" t="s">
        <v>95</v>
      </c>
      <c r="C64" s="20">
        <v>7.5310000000000004E-3</v>
      </c>
      <c r="D64" s="20">
        <v>7.3670000000000003E-3</v>
      </c>
      <c r="E64" s="20">
        <v>7.3299999999999997E-3</v>
      </c>
      <c r="F64" s="20">
        <v>7.3689999999999997E-3</v>
      </c>
      <c r="G64" s="20">
        <v>7.3889999999999997E-3</v>
      </c>
      <c r="H64" s="20">
        <v>7.3969999999999999E-3</v>
      </c>
      <c r="I64" s="20">
        <v>7.3959999999999998E-3</v>
      </c>
      <c r="J64" s="20">
        <v>7.3850000000000001E-3</v>
      </c>
      <c r="K64" s="20">
        <v>7.3699999999999998E-3</v>
      </c>
      <c r="L64" s="20">
        <v>7.3499999999999998E-3</v>
      </c>
      <c r="M64" s="20">
        <v>7.3309999999999998E-3</v>
      </c>
      <c r="N64" s="20">
        <v>7.3119999999999999E-3</v>
      </c>
      <c r="O64" s="20">
        <v>7.293E-3</v>
      </c>
      <c r="P64" s="20">
        <v>7.2750000000000002E-3</v>
      </c>
      <c r="Q64" s="20">
        <v>7.2570000000000004E-3</v>
      </c>
      <c r="R64" s="20">
        <v>7.2389999999999998E-3</v>
      </c>
      <c r="S64" s="20">
        <v>7.2220000000000001E-3</v>
      </c>
      <c r="T64" s="20">
        <v>7.2049999999999996E-3</v>
      </c>
      <c r="U64" s="20">
        <v>7.1890000000000001E-3</v>
      </c>
      <c r="V64" s="20">
        <v>7.1710000000000003E-3</v>
      </c>
      <c r="W64" s="20">
        <v>7.1549999999999999E-3</v>
      </c>
      <c r="X64" s="20">
        <v>7.1390000000000004E-3</v>
      </c>
      <c r="Y64" s="20">
        <v>7.1250000000000003E-3</v>
      </c>
      <c r="Z64" s="20">
        <v>7.1110000000000001E-3</v>
      </c>
      <c r="AA64" s="20">
        <v>7.0930000000000003E-3</v>
      </c>
      <c r="AB64" s="20">
        <v>7.0759999999999998E-3</v>
      </c>
      <c r="AC64" s="20">
        <v>7.0609999999999996E-3</v>
      </c>
      <c r="AD64" s="20">
        <v>7.0470000000000003E-3</v>
      </c>
      <c r="AE64" s="20">
        <v>7.0330000000000002E-3</v>
      </c>
      <c r="AF64" s="21">
        <v>-2.4420000000000002E-3</v>
      </c>
      <c r="AG64" s="10"/>
      <c r="AI64" s="5"/>
    </row>
    <row r="65" spans="1:35" ht="36.75" x14ac:dyDescent="0.25">
      <c r="A65" s="9" t="s">
        <v>96</v>
      </c>
      <c r="B65" s="18" t="s">
        <v>90</v>
      </c>
      <c r="C65" s="22">
        <v>0.43249700000000002</v>
      </c>
      <c r="D65" s="22">
        <v>0.43121700000000002</v>
      </c>
      <c r="E65" s="22">
        <v>0.37339299999999997</v>
      </c>
      <c r="F65" s="22">
        <v>0.36809900000000001</v>
      </c>
      <c r="G65" s="22">
        <v>0.36198599999999997</v>
      </c>
      <c r="H65" s="22">
        <v>0.355601</v>
      </c>
      <c r="I65" s="22">
        <v>0.34908499999999998</v>
      </c>
      <c r="J65" s="22">
        <v>0.34247100000000003</v>
      </c>
      <c r="K65" s="22">
        <v>0.336113</v>
      </c>
      <c r="L65" s="22">
        <v>0.32974399999999998</v>
      </c>
      <c r="M65" s="22">
        <v>0.32350200000000001</v>
      </c>
      <c r="N65" s="22">
        <v>0.317799</v>
      </c>
      <c r="O65" s="22">
        <v>0.31203199999999998</v>
      </c>
      <c r="P65" s="22">
        <v>0.30630299999999999</v>
      </c>
      <c r="Q65" s="22">
        <v>0.30079400000000001</v>
      </c>
      <c r="R65" s="22">
        <v>0.29545399999999999</v>
      </c>
      <c r="S65" s="22">
        <v>0.29028399999999999</v>
      </c>
      <c r="T65" s="22">
        <v>0.28525600000000001</v>
      </c>
      <c r="U65" s="22">
        <v>0.28043400000000002</v>
      </c>
      <c r="V65" s="22">
        <v>0.27566299999999999</v>
      </c>
      <c r="W65" s="22">
        <v>0.27098800000000001</v>
      </c>
      <c r="X65" s="22">
        <v>0.26628299999999999</v>
      </c>
      <c r="Y65" s="22">
        <v>0.26175999999999999</v>
      </c>
      <c r="Z65" s="22">
        <v>0.25726100000000002</v>
      </c>
      <c r="AA65" s="22">
        <v>0.25269200000000003</v>
      </c>
      <c r="AB65" s="22">
        <v>0.24818499999999999</v>
      </c>
      <c r="AC65" s="22">
        <v>0.24379000000000001</v>
      </c>
      <c r="AD65" s="22">
        <v>0.239424</v>
      </c>
      <c r="AE65" s="22">
        <v>0.23517399999999999</v>
      </c>
      <c r="AF65" s="23">
        <v>-2.1524000000000001E-2</v>
      </c>
      <c r="AG65" s="10"/>
      <c r="AI65" s="5"/>
    </row>
    <row r="66" spans="1:35" x14ac:dyDescent="0.25">
      <c r="A66" s="6"/>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I66" s="5"/>
    </row>
    <row r="67" spans="1:35" x14ac:dyDescent="0.25">
      <c r="A67" s="6"/>
      <c r="B67" s="18" t="s">
        <v>97</v>
      </c>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I67" s="5"/>
    </row>
    <row r="68" spans="1:35" ht="24.75" x14ac:dyDescent="0.25">
      <c r="A68" s="9" t="s">
        <v>98</v>
      </c>
      <c r="B68" s="19" t="s">
        <v>48</v>
      </c>
      <c r="C68" s="20">
        <v>0.340393</v>
      </c>
      <c r="D68" s="20">
        <v>0.32860299999999998</v>
      </c>
      <c r="E68" s="20">
        <v>0.298348</v>
      </c>
      <c r="F68" s="20">
        <v>0.29450799999999999</v>
      </c>
      <c r="G68" s="20">
        <v>0.29172100000000001</v>
      </c>
      <c r="H68" s="20">
        <v>0.28928799999999999</v>
      </c>
      <c r="I68" s="20">
        <v>0.28668399999999999</v>
      </c>
      <c r="J68" s="20">
        <v>0.283808</v>
      </c>
      <c r="K68" s="20">
        <v>0.28064499999999998</v>
      </c>
      <c r="L68" s="20">
        <v>0.27730500000000002</v>
      </c>
      <c r="M68" s="20">
        <v>0.27384999999999998</v>
      </c>
      <c r="N68" s="20">
        <v>0.27067099999999999</v>
      </c>
      <c r="O68" s="20">
        <v>0.26741599999999999</v>
      </c>
      <c r="P68" s="20">
        <v>0.26435500000000001</v>
      </c>
      <c r="Q68" s="20">
        <v>0.26152700000000001</v>
      </c>
      <c r="R68" s="20">
        <v>0.25891500000000001</v>
      </c>
      <c r="S68" s="20">
        <v>0.25636999999999999</v>
      </c>
      <c r="T68" s="20">
        <v>0.25396800000000003</v>
      </c>
      <c r="U68" s="20">
        <v>0.25170300000000001</v>
      </c>
      <c r="V68" s="20">
        <v>0.24954599999999999</v>
      </c>
      <c r="W68" s="20">
        <v>0.247417</v>
      </c>
      <c r="X68" s="20">
        <v>0.24538499999999999</v>
      </c>
      <c r="Y68" s="20">
        <v>0.24345900000000001</v>
      </c>
      <c r="Z68" s="20">
        <v>0.241594</v>
      </c>
      <c r="AA68" s="20">
        <v>0.239707</v>
      </c>
      <c r="AB68" s="20">
        <v>0.23788400000000001</v>
      </c>
      <c r="AC68" s="20">
        <v>0.23608100000000001</v>
      </c>
      <c r="AD68" s="20">
        <v>0.23432800000000001</v>
      </c>
      <c r="AE68" s="20">
        <v>0.23263400000000001</v>
      </c>
      <c r="AF68" s="21">
        <v>-1.3502E-2</v>
      </c>
      <c r="AG68" s="10"/>
      <c r="AI68" s="5"/>
    </row>
    <row r="69" spans="1:35" ht="24.75" x14ac:dyDescent="0.25">
      <c r="A69" s="9" t="s">
        <v>99</v>
      </c>
      <c r="B69" s="19" t="s">
        <v>52</v>
      </c>
      <c r="C69" s="20">
        <v>6.0220999999999997E-2</v>
      </c>
      <c r="D69" s="20">
        <v>5.7038999999999999E-2</v>
      </c>
      <c r="E69" s="20">
        <v>5.4758000000000001E-2</v>
      </c>
      <c r="F69" s="20">
        <v>5.3261999999999997E-2</v>
      </c>
      <c r="G69" s="20">
        <v>5.2171000000000002E-2</v>
      </c>
      <c r="H69" s="20">
        <v>5.1295E-2</v>
      </c>
      <c r="I69" s="20">
        <v>5.0535999999999998E-2</v>
      </c>
      <c r="J69" s="20">
        <v>4.9869999999999998E-2</v>
      </c>
      <c r="K69" s="20">
        <v>4.9292999999999997E-2</v>
      </c>
      <c r="L69" s="20">
        <v>4.8556000000000002E-2</v>
      </c>
      <c r="M69" s="20">
        <v>4.7706999999999999E-2</v>
      </c>
      <c r="N69" s="20">
        <v>4.6803999999999998E-2</v>
      </c>
      <c r="O69" s="20">
        <v>4.5865999999999997E-2</v>
      </c>
      <c r="P69" s="20">
        <v>4.4928000000000003E-2</v>
      </c>
      <c r="Q69" s="20">
        <v>4.4021999999999999E-2</v>
      </c>
      <c r="R69" s="20">
        <v>4.3145000000000003E-2</v>
      </c>
      <c r="S69" s="20">
        <v>4.2285999999999997E-2</v>
      </c>
      <c r="T69" s="20">
        <v>4.1473000000000003E-2</v>
      </c>
      <c r="U69" s="20">
        <v>4.0703999999999997E-2</v>
      </c>
      <c r="V69" s="20">
        <v>3.9976999999999999E-2</v>
      </c>
      <c r="W69" s="20">
        <v>3.9300000000000002E-2</v>
      </c>
      <c r="X69" s="20">
        <v>3.8684999999999997E-2</v>
      </c>
      <c r="Y69" s="20">
        <v>3.8130999999999998E-2</v>
      </c>
      <c r="Z69" s="20">
        <v>3.7622999999999997E-2</v>
      </c>
      <c r="AA69" s="20">
        <v>3.7130000000000003E-2</v>
      </c>
      <c r="AB69" s="20">
        <v>3.6677000000000001E-2</v>
      </c>
      <c r="AC69" s="20">
        <v>3.6255999999999997E-2</v>
      </c>
      <c r="AD69" s="20">
        <v>3.5862999999999999E-2</v>
      </c>
      <c r="AE69" s="20">
        <v>3.5496E-2</v>
      </c>
      <c r="AF69" s="21">
        <v>-1.8702E-2</v>
      </c>
      <c r="AG69" s="10"/>
      <c r="AI69" s="5"/>
    </row>
    <row r="70" spans="1:35" x14ac:dyDescent="0.25">
      <c r="A70" s="9" t="s">
        <v>100</v>
      </c>
      <c r="B70" s="19" t="s">
        <v>56</v>
      </c>
      <c r="C70" s="20">
        <v>1.6931000000000002E-2</v>
      </c>
      <c r="D70" s="20">
        <v>1.6749E-2</v>
      </c>
      <c r="E70" s="20">
        <v>1.6560999999999999E-2</v>
      </c>
      <c r="F70" s="20">
        <v>1.6368000000000001E-2</v>
      </c>
      <c r="G70" s="20">
        <v>1.6164999999999999E-2</v>
      </c>
      <c r="H70" s="20">
        <v>1.5948E-2</v>
      </c>
      <c r="I70" s="20">
        <v>1.5723000000000001E-2</v>
      </c>
      <c r="J70" s="20">
        <v>1.5488999999999999E-2</v>
      </c>
      <c r="K70" s="20">
        <v>1.5245E-2</v>
      </c>
      <c r="L70" s="20">
        <v>1.4994E-2</v>
      </c>
      <c r="M70" s="20">
        <v>1.4737E-2</v>
      </c>
      <c r="N70" s="20">
        <v>1.4520999999999999E-2</v>
      </c>
      <c r="O70" s="20">
        <v>1.4345E-2</v>
      </c>
      <c r="P70" s="20">
        <v>1.421E-2</v>
      </c>
      <c r="Q70" s="20">
        <v>1.4119E-2</v>
      </c>
      <c r="R70" s="20">
        <v>1.4071E-2</v>
      </c>
      <c r="S70" s="20">
        <v>1.4016000000000001E-2</v>
      </c>
      <c r="T70" s="20">
        <v>1.3956E-2</v>
      </c>
      <c r="U70" s="20">
        <v>1.389E-2</v>
      </c>
      <c r="V70" s="20">
        <v>1.3818E-2</v>
      </c>
      <c r="W70" s="20">
        <v>1.3741E-2</v>
      </c>
      <c r="X70" s="20">
        <v>1.3661E-2</v>
      </c>
      <c r="Y70" s="20">
        <v>1.3580999999999999E-2</v>
      </c>
      <c r="Z70" s="20">
        <v>1.3502E-2</v>
      </c>
      <c r="AA70" s="20">
        <v>1.3427E-2</v>
      </c>
      <c r="AB70" s="20">
        <v>1.3357000000000001E-2</v>
      </c>
      <c r="AC70" s="20">
        <v>1.3292999999999999E-2</v>
      </c>
      <c r="AD70" s="20">
        <v>1.3233E-2</v>
      </c>
      <c r="AE70" s="20">
        <v>1.3174999999999999E-2</v>
      </c>
      <c r="AF70" s="21">
        <v>-8.9169999999999996E-3</v>
      </c>
      <c r="AG70" s="10"/>
      <c r="AI70" s="5"/>
    </row>
    <row r="71" spans="1:35" ht="24.75" x14ac:dyDescent="0.25">
      <c r="A71" s="9" t="s">
        <v>101</v>
      </c>
      <c r="B71" s="19" t="s">
        <v>102</v>
      </c>
      <c r="C71" s="20">
        <v>7.3539999999999994E-2</v>
      </c>
      <c r="D71" s="20">
        <v>7.3881000000000002E-2</v>
      </c>
      <c r="E71" s="20">
        <v>7.5037999999999994E-2</v>
      </c>
      <c r="F71" s="20">
        <v>7.6966999999999994E-2</v>
      </c>
      <c r="G71" s="20">
        <v>7.9217999999999997E-2</v>
      </c>
      <c r="H71" s="20">
        <v>8.1564999999999999E-2</v>
      </c>
      <c r="I71" s="20">
        <v>8.3859000000000003E-2</v>
      </c>
      <c r="J71" s="20">
        <v>8.6046999999999998E-2</v>
      </c>
      <c r="K71" s="20">
        <v>8.8106000000000004E-2</v>
      </c>
      <c r="L71" s="20">
        <v>9.0053999999999995E-2</v>
      </c>
      <c r="M71" s="20">
        <v>9.1918E-2</v>
      </c>
      <c r="N71" s="20">
        <v>9.3709000000000001E-2</v>
      </c>
      <c r="O71" s="20">
        <v>9.5459000000000002E-2</v>
      </c>
      <c r="P71" s="20">
        <v>9.7230999999999998E-2</v>
      </c>
      <c r="Q71" s="20">
        <v>9.9066000000000001E-2</v>
      </c>
      <c r="R71" s="20">
        <v>0.10094500000000001</v>
      </c>
      <c r="S71" s="20">
        <v>0.102823</v>
      </c>
      <c r="T71" s="20">
        <v>0.104744</v>
      </c>
      <c r="U71" s="20">
        <v>0.10668800000000001</v>
      </c>
      <c r="V71" s="20">
        <v>0.10864500000000001</v>
      </c>
      <c r="W71" s="20">
        <v>0.110621</v>
      </c>
      <c r="X71" s="20">
        <v>0.112653</v>
      </c>
      <c r="Y71" s="20">
        <v>0.114748</v>
      </c>
      <c r="Z71" s="20">
        <v>0.116869</v>
      </c>
      <c r="AA71" s="20">
        <v>0.118934</v>
      </c>
      <c r="AB71" s="20">
        <v>0.121035</v>
      </c>
      <c r="AC71" s="20">
        <v>0.12316199999999999</v>
      </c>
      <c r="AD71" s="20">
        <v>0.12532199999999999</v>
      </c>
      <c r="AE71" s="20">
        <v>0.12750900000000001</v>
      </c>
      <c r="AF71" s="21">
        <v>1.985E-2</v>
      </c>
      <c r="AG71" s="10"/>
      <c r="AI71" s="5"/>
    </row>
    <row r="72" spans="1:35" ht="36.75" x14ac:dyDescent="0.25">
      <c r="A72" s="9" t="s">
        <v>103</v>
      </c>
      <c r="B72" s="18" t="s">
        <v>90</v>
      </c>
      <c r="C72" s="22">
        <v>0.49108499999999999</v>
      </c>
      <c r="D72" s="22">
        <v>0.47627199999999997</v>
      </c>
      <c r="E72" s="22">
        <v>0.44470500000000002</v>
      </c>
      <c r="F72" s="22">
        <v>0.44110500000000002</v>
      </c>
      <c r="G72" s="22">
        <v>0.43927500000000003</v>
      </c>
      <c r="H72" s="22">
        <v>0.43809599999999999</v>
      </c>
      <c r="I72" s="22">
        <v>0.43680099999999999</v>
      </c>
      <c r="J72" s="22">
        <v>0.43521399999999999</v>
      </c>
      <c r="K72" s="22">
        <v>0.43328899999999998</v>
      </c>
      <c r="L72" s="22">
        <v>0.43090899999999999</v>
      </c>
      <c r="M72" s="22">
        <v>0.42821300000000001</v>
      </c>
      <c r="N72" s="22">
        <v>0.425705</v>
      </c>
      <c r="O72" s="22">
        <v>0.42308499999999999</v>
      </c>
      <c r="P72" s="22">
        <v>0.42072399999999999</v>
      </c>
      <c r="Q72" s="22">
        <v>0.418734</v>
      </c>
      <c r="R72" s="22">
        <v>0.417076</v>
      </c>
      <c r="S72" s="22">
        <v>0.415495</v>
      </c>
      <c r="T72" s="22">
        <v>0.41414200000000001</v>
      </c>
      <c r="U72" s="22">
        <v>0.41298400000000002</v>
      </c>
      <c r="V72" s="22">
        <v>0.41198600000000002</v>
      </c>
      <c r="W72" s="22">
        <v>0.41108</v>
      </c>
      <c r="X72" s="22">
        <v>0.410385</v>
      </c>
      <c r="Y72" s="22">
        <v>0.40991899999999998</v>
      </c>
      <c r="Z72" s="22">
        <v>0.40958800000000001</v>
      </c>
      <c r="AA72" s="22">
        <v>0.40919800000000001</v>
      </c>
      <c r="AB72" s="22">
        <v>0.40895199999999998</v>
      </c>
      <c r="AC72" s="22">
        <v>0.40879199999999999</v>
      </c>
      <c r="AD72" s="22">
        <v>0.408746</v>
      </c>
      <c r="AE72" s="22">
        <v>0.40881400000000001</v>
      </c>
      <c r="AF72" s="23">
        <v>-6.5269999999999998E-3</v>
      </c>
      <c r="AG72" s="10"/>
      <c r="AI72" s="5"/>
    </row>
    <row r="73" spans="1:35" x14ac:dyDescent="0.25">
      <c r="A73" s="6"/>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I73" s="5"/>
    </row>
    <row r="74" spans="1:35" ht="48.75" x14ac:dyDescent="0.25">
      <c r="A74" s="9" t="s">
        <v>104</v>
      </c>
      <c r="B74" s="19" t="s">
        <v>105</v>
      </c>
      <c r="C74" s="20">
        <v>0.53893199999999997</v>
      </c>
      <c r="D74" s="20">
        <v>0.57440999999999998</v>
      </c>
      <c r="E74" s="20">
        <v>0.51306799999999997</v>
      </c>
      <c r="F74" s="20">
        <v>0.48986400000000002</v>
      </c>
      <c r="G74" s="20">
        <v>0.47216399999999997</v>
      </c>
      <c r="H74" s="20">
        <v>0.45763999999999999</v>
      </c>
      <c r="I74" s="20">
        <v>0.44519999999999998</v>
      </c>
      <c r="J74" s="20">
        <v>0.435137</v>
      </c>
      <c r="K74" s="20">
        <v>0.42601699999999998</v>
      </c>
      <c r="L74" s="20">
        <v>0.41790899999999997</v>
      </c>
      <c r="M74" s="20">
        <v>0.409804</v>
      </c>
      <c r="N74" s="20">
        <v>0.40263100000000002</v>
      </c>
      <c r="O74" s="20">
        <v>0.39503899999999997</v>
      </c>
      <c r="P74" s="20">
        <v>0.38751400000000003</v>
      </c>
      <c r="Q74" s="20">
        <v>0.37993500000000002</v>
      </c>
      <c r="R74" s="20">
        <v>0.37285699999999999</v>
      </c>
      <c r="S74" s="20">
        <v>0.36608299999999999</v>
      </c>
      <c r="T74" s="20">
        <v>0.35957499999999998</v>
      </c>
      <c r="U74" s="20">
        <v>0.35324100000000003</v>
      </c>
      <c r="V74" s="20">
        <v>0.34762199999999999</v>
      </c>
      <c r="W74" s="20">
        <v>0.34207100000000001</v>
      </c>
      <c r="X74" s="20">
        <v>0.33705400000000002</v>
      </c>
      <c r="Y74" s="20">
        <v>0.332011</v>
      </c>
      <c r="Z74" s="20">
        <v>0.327538</v>
      </c>
      <c r="AA74" s="20">
        <v>0.32387199999999999</v>
      </c>
      <c r="AB74" s="20">
        <v>0.32008300000000001</v>
      </c>
      <c r="AC74" s="20">
        <v>0.31608900000000001</v>
      </c>
      <c r="AD74" s="20">
        <v>0.31211100000000003</v>
      </c>
      <c r="AE74" s="20">
        <v>0.30802400000000002</v>
      </c>
      <c r="AF74" s="21">
        <v>-1.9781E-2</v>
      </c>
      <c r="AG74" s="10"/>
      <c r="AI74" s="5"/>
    </row>
    <row r="75" spans="1:35" x14ac:dyDescent="0.25">
      <c r="A75" s="6"/>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I75" s="5"/>
    </row>
    <row r="76" spans="1:35" ht="48.75" x14ac:dyDescent="0.25">
      <c r="A76" s="6"/>
      <c r="B76" s="18" t="s">
        <v>106</v>
      </c>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I76" s="5"/>
    </row>
    <row r="77" spans="1:35" ht="24.75" x14ac:dyDescent="0.25">
      <c r="A77" s="9" t="s">
        <v>107</v>
      </c>
      <c r="B77" s="19" t="s">
        <v>108</v>
      </c>
      <c r="C77" s="20">
        <v>5.7437990000000001</v>
      </c>
      <c r="D77" s="20">
        <v>5.8167090000000004</v>
      </c>
      <c r="E77" s="20">
        <v>5.3206829999999998</v>
      </c>
      <c r="F77" s="20">
        <v>5.2993560000000004</v>
      </c>
      <c r="G77" s="20">
        <v>5.2785640000000003</v>
      </c>
      <c r="H77" s="20">
        <v>5.2510760000000003</v>
      </c>
      <c r="I77" s="20">
        <v>5.2174740000000002</v>
      </c>
      <c r="J77" s="20">
        <v>5.1750949999999998</v>
      </c>
      <c r="K77" s="20">
        <v>5.127351</v>
      </c>
      <c r="L77" s="20">
        <v>5.0770179999999998</v>
      </c>
      <c r="M77" s="20">
        <v>5.02658</v>
      </c>
      <c r="N77" s="20">
        <v>4.9858409999999997</v>
      </c>
      <c r="O77" s="20">
        <v>4.9413200000000002</v>
      </c>
      <c r="P77" s="20">
        <v>4.8989659999999997</v>
      </c>
      <c r="Q77" s="20">
        <v>4.8595360000000003</v>
      </c>
      <c r="R77" s="20">
        <v>4.8225550000000004</v>
      </c>
      <c r="S77" s="20">
        <v>4.784821</v>
      </c>
      <c r="T77" s="20">
        <v>4.7496340000000004</v>
      </c>
      <c r="U77" s="20">
        <v>4.7167779999999997</v>
      </c>
      <c r="V77" s="20">
        <v>4.6856280000000003</v>
      </c>
      <c r="W77" s="20">
        <v>4.6557829999999996</v>
      </c>
      <c r="X77" s="20">
        <v>4.628654</v>
      </c>
      <c r="Y77" s="20">
        <v>4.6032520000000003</v>
      </c>
      <c r="Z77" s="20">
        <v>4.5774530000000002</v>
      </c>
      <c r="AA77" s="20">
        <v>4.5492520000000001</v>
      </c>
      <c r="AB77" s="20">
        <v>4.522653</v>
      </c>
      <c r="AC77" s="20">
        <v>4.4976979999999998</v>
      </c>
      <c r="AD77" s="20">
        <v>4.4730980000000002</v>
      </c>
      <c r="AE77" s="20">
        <v>4.4476490000000002</v>
      </c>
      <c r="AF77" s="21">
        <v>-9.0919999999999994E-3</v>
      </c>
      <c r="AG77" s="10"/>
      <c r="AI77" s="5"/>
    </row>
    <row r="78" spans="1:35" ht="24.75" x14ac:dyDescent="0.25">
      <c r="A78" s="9" t="s">
        <v>109</v>
      </c>
      <c r="B78" s="19" t="s">
        <v>110</v>
      </c>
      <c r="C78" s="20">
        <v>0.91247500000000004</v>
      </c>
      <c r="D78" s="20">
        <v>0.78572200000000003</v>
      </c>
      <c r="E78" s="20">
        <v>0.95037000000000005</v>
      </c>
      <c r="F78" s="20">
        <v>0.97087400000000001</v>
      </c>
      <c r="G78" s="20">
        <v>0.99026800000000004</v>
      </c>
      <c r="H78" s="20">
        <v>1.0103789999999999</v>
      </c>
      <c r="I78" s="20">
        <v>1.029992</v>
      </c>
      <c r="J78" s="20">
        <v>1.048459</v>
      </c>
      <c r="K78" s="20">
        <v>1.0645690000000001</v>
      </c>
      <c r="L78" s="20">
        <v>1.079664</v>
      </c>
      <c r="M78" s="20">
        <v>1.0958680000000001</v>
      </c>
      <c r="N78" s="20">
        <v>1.1120030000000001</v>
      </c>
      <c r="O78" s="20">
        <v>1.1285069999999999</v>
      </c>
      <c r="P78" s="20">
        <v>1.147432</v>
      </c>
      <c r="Q78" s="20">
        <v>1.1682380000000001</v>
      </c>
      <c r="R78" s="20">
        <v>1.1901900000000001</v>
      </c>
      <c r="S78" s="20">
        <v>1.2119450000000001</v>
      </c>
      <c r="T78" s="20">
        <v>1.2341850000000001</v>
      </c>
      <c r="U78" s="20">
        <v>1.2567489999999999</v>
      </c>
      <c r="V78" s="20">
        <v>1.279439</v>
      </c>
      <c r="W78" s="20">
        <v>1.302789</v>
      </c>
      <c r="X78" s="20">
        <v>1.326819</v>
      </c>
      <c r="Y78" s="20">
        <v>1.351826</v>
      </c>
      <c r="Z78" s="20">
        <v>1.3777349999999999</v>
      </c>
      <c r="AA78" s="20">
        <v>1.405762</v>
      </c>
      <c r="AB78" s="20">
        <v>1.434909</v>
      </c>
      <c r="AC78" s="20">
        <v>1.4646790000000001</v>
      </c>
      <c r="AD78" s="20">
        <v>1.494399</v>
      </c>
      <c r="AE78" s="20">
        <v>1.5252699999999999</v>
      </c>
      <c r="AF78" s="21">
        <v>1.8518E-2</v>
      </c>
      <c r="AG78" s="10"/>
    </row>
    <row r="79" spans="1:35" ht="24.75" x14ac:dyDescent="0.25">
      <c r="A79" s="9" t="s">
        <v>111</v>
      </c>
      <c r="B79" s="19" t="s">
        <v>112</v>
      </c>
      <c r="C79" s="20">
        <v>1.6860470000000001</v>
      </c>
      <c r="D79" s="20">
        <v>1.6764079999999999</v>
      </c>
      <c r="E79" s="20">
        <v>1.681888</v>
      </c>
      <c r="F79" s="20">
        <v>1.6958260000000001</v>
      </c>
      <c r="G79" s="20">
        <v>1.710388</v>
      </c>
      <c r="H79" s="20">
        <v>1.7242150000000001</v>
      </c>
      <c r="I79" s="20">
        <v>1.737117</v>
      </c>
      <c r="J79" s="20">
        <v>1.746907</v>
      </c>
      <c r="K79" s="20">
        <v>1.75451</v>
      </c>
      <c r="L79" s="20">
        <v>1.759377</v>
      </c>
      <c r="M79" s="20">
        <v>1.763657</v>
      </c>
      <c r="N79" s="20">
        <v>1.7701150000000001</v>
      </c>
      <c r="O79" s="20">
        <v>1.776848</v>
      </c>
      <c r="P79" s="20">
        <v>1.7859210000000001</v>
      </c>
      <c r="Q79" s="20">
        <v>1.7956160000000001</v>
      </c>
      <c r="R79" s="20">
        <v>1.8048709999999999</v>
      </c>
      <c r="S79" s="20">
        <v>1.8128249999999999</v>
      </c>
      <c r="T79" s="20">
        <v>1.820973</v>
      </c>
      <c r="U79" s="20">
        <v>1.8290569999999999</v>
      </c>
      <c r="V79" s="20">
        <v>1.8370709999999999</v>
      </c>
      <c r="W79" s="20">
        <v>1.8455630000000001</v>
      </c>
      <c r="X79" s="20">
        <v>1.8550660000000001</v>
      </c>
      <c r="Y79" s="20">
        <v>1.865388</v>
      </c>
      <c r="Z79" s="20">
        <v>1.8753299999999999</v>
      </c>
      <c r="AA79" s="20">
        <v>1.8827719999999999</v>
      </c>
      <c r="AB79" s="20">
        <v>1.891669</v>
      </c>
      <c r="AC79" s="20">
        <v>1.9022250000000001</v>
      </c>
      <c r="AD79" s="20">
        <v>1.9136150000000001</v>
      </c>
      <c r="AE79" s="20">
        <v>1.9250860000000001</v>
      </c>
      <c r="AF79" s="21">
        <v>4.7460000000000002E-3</v>
      </c>
      <c r="AG79" s="10"/>
      <c r="AI79" s="5"/>
    </row>
    <row r="80" spans="1:35" ht="36.75" x14ac:dyDescent="0.25">
      <c r="A80" s="9" t="s">
        <v>113</v>
      </c>
      <c r="B80" s="19" t="s">
        <v>114</v>
      </c>
      <c r="C80" s="20">
        <v>0.29555799999999999</v>
      </c>
      <c r="D80" s="20">
        <v>0.293987</v>
      </c>
      <c r="E80" s="20">
        <v>0.29266799999999998</v>
      </c>
      <c r="F80" s="20">
        <v>0.29163</v>
      </c>
      <c r="G80" s="20">
        <v>0.29078300000000001</v>
      </c>
      <c r="H80" s="20">
        <v>0.29015800000000003</v>
      </c>
      <c r="I80" s="20">
        <v>0.28977799999999998</v>
      </c>
      <c r="J80" s="20">
        <v>0.28961500000000001</v>
      </c>
      <c r="K80" s="20">
        <v>0.289659</v>
      </c>
      <c r="L80" s="20">
        <v>0.28998600000000002</v>
      </c>
      <c r="M80" s="20">
        <v>0.29063</v>
      </c>
      <c r="N80" s="20">
        <v>0.29157</v>
      </c>
      <c r="O80" s="20">
        <v>0.29279500000000003</v>
      </c>
      <c r="P80" s="20">
        <v>0.29434300000000002</v>
      </c>
      <c r="Q80" s="20">
        <v>0.29624200000000001</v>
      </c>
      <c r="R80" s="20">
        <v>0.29844700000000002</v>
      </c>
      <c r="S80" s="20">
        <v>0.30096000000000001</v>
      </c>
      <c r="T80" s="20">
        <v>0.30374499999999999</v>
      </c>
      <c r="U80" s="20">
        <v>0.30684800000000001</v>
      </c>
      <c r="V80" s="20">
        <v>0.310249</v>
      </c>
      <c r="W80" s="20">
        <v>0.313888</v>
      </c>
      <c r="X80" s="20">
        <v>0.31748199999999999</v>
      </c>
      <c r="Y80" s="20">
        <v>0.32102399999999998</v>
      </c>
      <c r="Z80" s="20">
        <v>0.32450699999999999</v>
      </c>
      <c r="AA80" s="20">
        <v>0.32791500000000001</v>
      </c>
      <c r="AB80" s="20">
        <v>0.33124999999999999</v>
      </c>
      <c r="AC80" s="20">
        <v>0.33449600000000002</v>
      </c>
      <c r="AD80" s="20">
        <v>0.33764499999999997</v>
      </c>
      <c r="AE80" s="20">
        <v>0.340702</v>
      </c>
      <c r="AF80" s="21">
        <v>5.0899999999999999E-3</v>
      </c>
      <c r="AG80" s="10"/>
      <c r="AI80" s="5"/>
    </row>
    <row r="81" spans="1:35" x14ac:dyDescent="0.25">
      <c r="A81" s="9" t="s">
        <v>115</v>
      </c>
      <c r="B81" s="19" t="s">
        <v>116</v>
      </c>
      <c r="C81" s="20">
        <v>0.17633199999999999</v>
      </c>
      <c r="D81" s="20">
        <v>0.176672</v>
      </c>
      <c r="E81" s="20">
        <v>0.17702799999999999</v>
      </c>
      <c r="F81" s="20">
        <v>0.17741699999999999</v>
      </c>
      <c r="G81" s="20">
        <v>0.177783</v>
      </c>
      <c r="H81" s="20">
        <v>0.17812800000000001</v>
      </c>
      <c r="I81" s="20">
        <v>0.17849000000000001</v>
      </c>
      <c r="J81" s="20">
        <v>0.178893</v>
      </c>
      <c r="K81" s="20">
        <v>0.179315</v>
      </c>
      <c r="L81" s="20">
        <v>0.17977399999999999</v>
      </c>
      <c r="M81" s="20">
        <v>0.18029100000000001</v>
      </c>
      <c r="N81" s="20">
        <v>0.18095600000000001</v>
      </c>
      <c r="O81" s="20">
        <v>0.181724</v>
      </c>
      <c r="P81" s="20">
        <v>0.182619</v>
      </c>
      <c r="Q81" s="20">
        <v>0.18365200000000001</v>
      </c>
      <c r="R81" s="20">
        <v>0.18481</v>
      </c>
      <c r="S81" s="20">
        <v>0.185975</v>
      </c>
      <c r="T81" s="20">
        <v>0.187144</v>
      </c>
      <c r="U81" s="20">
        <v>0.188336</v>
      </c>
      <c r="V81" s="20">
        <v>0.18954399999999999</v>
      </c>
      <c r="W81" s="20">
        <v>0.190752</v>
      </c>
      <c r="X81" s="20">
        <v>0.191971</v>
      </c>
      <c r="Y81" s="20">
        <v>0.19320100000000001</v>
      </c>
      <c r="Z81" s="20">
        <v>0.194441</v>
      </c>
      <c r="AA81" s="20">
        <v>0.19568199999999999</v>
      </c>
      <c r="AB81" s="20">
        <v>0.19692699999999999</v>
      </c>
      <c r="AC81" s="20">
        <v>0.19816400000000001</v>
      </c>
      <c r="AD81" s="20">
        <v>0.19938400000000001</v>
      </c>
      <c r="AE81" s="20">
        <v>0.20058400000000001</v>
      </c>
      <c r="AF81" s="21">
        <v>4.6129999999999999E-3</v>
      </c>
      <c r="AG81" s="10"/>
      <c r="AI81" s="5"/>
    </row>
    <row r="82" spans="1:35" ht="24.75" x14ac:dyDescent="0.25">
      <c r="A82" s="9" t="s">
        <v>117</v>
      </c>
      <c r="B82" s="19" t="s">
        <v>118</v>
      </c>
      <c r="C82" s="20">
        <v>0.262179</v>
      </c>
      <c r="D82" s="20">
        <v>0.26705499999999999</v>
      </c>
      <c r="E82" s="20">
        <v>0.27271800000000002</v>
      </c>
      <c r="F82" s="20">
        <v>0.27916600000000003</v>
      </c>
      <c r="G82" s="20">
        <v>0.28541299999999997</v>
      </c>
      <c r="H82" s="20">
        <v>0.29130800000000001</v>
      </c>
      <c r="I82" s="20">
        <v>0.29685299999999998</v>
      </c>
      <c r="J82" s="20">
        <v>0.30188700000000002</v>
      </c>
      <c r="K82" s="20">
        <v>0.306369</v>
      </c>
      <c r="L82" s="20">
        <v>0.31048399999999998</v>
      </c>
      <c r="M82" s="20">
        <v>0.314552</v>
      </c>
      <c r="N82" s="20">
        <v>0.31818200000000002</v>
      </c>
      <c r="O82" s="20">
        <v>0.32178600000000002</v>
      </c>
      <c r="P82" s="20">
        <v>0.32580300000000001</v>
      </c>
      <c r="Q82" s="20">
        <v>0.330063</v>
      </c>
      <c r="R82" s="20">
        <v>0.33418500000000001</v>
      </c>
      <c r="S82" s="20">
        <v>0.33801199999999998</v>
      </c>
      <c r="T82" s="20">
        <v>0.34182899999999999</v>
      </c>
      <c r="U82" s="20">
        <v>0.34568100000000002</v>
      </c>
      <c r="V82" s="20">
        <v>0.349609</v>
      </c>
      <c r="W82" s="20">
        <v>0.353661</v>
      </c>
      <c r="X82" s="20">
        <v>0.35787099999999999</v>
      </c>
      <c r="Y82" s="20">
        <v>0.362147</v>
      </c>
      <c r="Z82" s="20">
        <v>0.36639100000000002</v>
      </c>
      <c r="AA82" s="20">
        <v>0.37062499999999998</v>
      </c>
      <c r="AB82" s="20">
        <v>0.37506099999999998</v>
      </c>
      <c r="AC82" s="20">
        <v>0.379581</v>
      </c>
      <c r="AD82" s="20">
        <v>0.38419700000000001</v>
      </c>
      <c r="AE82" s="20">
        <v>0.38902799999999998</v>
      </c>
      <c r="AF82" s="21">
        <v>1.4194E-2</v>
      </c>
      <c r="AG82" s="10"/>
      <c r="AI82" s="5"/>
    </row>
    <row r="83" spans="1:35" x14ac:dyDescent="0.25">
      <c r="A83" s="9" t="s">
        <v>119</v>
      </c>
      <c r="B83" s="19" t="s">
        <v>120</v>
      </c>
      <c r="C83" s="20">
        <v>6.9006999999999999E-2</v>
      </c>
      <c r="D83" s="20">
        <v>6.8849999999999995E-2</v>
      </c>
      <c r="E83" s="20">
        <v>6.8686999999999998E-2</v>
      </c>
      <c r="F83" s="20">
        <v>6.8515999999999994E-2</v>
      </c>
      <c r="G83" s="20">
        <v>6.8318000000000004E-2</v>
      </c>
      <c r="H83" s="20">
        <v>6.8104999999999999E-2</v>
      </c>
      <c r="I83" s="20">
        <v>6.7921999999999996E-2</v>
      </c>
      <c r="J83" s="20">
        <v>6.7761000000000002E-2</v>
      </c>
      <c r="K83" s="20">
        <v>6.7614999999999995E-2</v>
      </c>
      <c r="L83" s="20">
        <v>6.7486000000000004E-2</v>
      </c>
      <c r="M83" s="20">
        <v>6.7377000000000006E-2</v>
      </c>
      <c r="N83" s="20">
        <v>6.7287E-2</v>
      </c>
      <c r="O83" s="20">
        <v>6.7215999999999998E-2</v>
      </c>
      <c r="P83" s="20">
        <v>6.7169000000000006E-2</v>
      </c>
      <c r="Q83" s="20">
        <v>6.7158999999999996E-2</v>
      </c>
      <c r="R83" s="20">
        <v>6.7178000000000002E-2</v>
      </c>
      <c r="S83" s="20">
        <v>6.7228999999999997E-2</v>
      </c>
      <c r="T83" s="20">
        <v>6.7310999999999996E-2</v>
      </c>
      <c r="U83" s="20">
        <v>6.7431000000000005E-2</v>
      </c>
      <c r="V83" s="20">
        <v>6.7596000000000003E-2</v>
      </c>
      <c r="W83" s="20">
        <v>6.7793999999999993E-2</v>
      </c>
      <c r="X83" s="20">
        <v>6.8035999999999999E-2</v>
      </c>
      <c r="Y83" s="20">
        <v>6.8325999999999998E-2</v>
      </c>
      <c r="Z83" s="20">
        <v>6.8666000000000005E-2</v>
      </c>
      <c r="AA83" s="20">
        <v>6.9053000000000003E-2</v>
      </c>
      <c r="AB83" s="20">
        <v>6.9481000000000001E-2</v>
      </c>
      <c r="AC83" s="20">
        <v>6.9903999999999994E-2</v>
      </c>
      <c r="AD83" s="20">
        <v>7.0319000000000007E-2</v>
      </c>
      <c r="AE83" s="20">
        <v>7.0729E-2</v>
      </c>
      <c r="AF83" s="21">
        <v>8.8099999999999995E-4</v>
      </c>
      <c r="AG83" s="10"/>
      <c r="AI83" s="5"/>
    </row>
    <row r="84" spans="1:35" x14ac:dyDescent="0.25">
      <c r="A84" s="9" t="s">
        <v>121</v>
      </c>
      <c r="B84" s="19" t="s">
        <v>122</v>
      </c>
      <c r="C84" s="20">
        <v>0.22927</v>
      </c>
      <c r="D84" s="20">
        <v>0.21315999999999999</v>
      </c>
      <c r="E84" s="20">
        <v>0.20679400000000001</v>
      </c>
      <c r="F84" s="20">
        <v>0.20512900000000001</v>
      </c>
      <c r="G84" s="20">
        <v>0.20519999999999999</v>
      </c>
      <c r="H84" s="20">
        <v>0.206404</v>
      </c>
      <c r="I84" s="20">
        <v>0.20832999999999999</v>
      </c>
      <c r="J84" s="20">
        <v>0.210226</v>
      </c>
      <c r="K84" s="20">
        <v>0.209704</v>
      </c>
      <c r="L84" s="20">
        <v>0.20916399999999999</v>
      </c>
      <c r="M84" s="20">
        <v>0.20885500000000001</v>
      </c>
      <c r="N84" s="20">
        <v>0.208568</v>
      </c>
      <c r="O84" s="20">
        <v>0.208536</v>
      </c>
      <c r="P84" s="20">
        <v>0.20901600000000001</v>
      </c>
      <c r="Q84" s="20">
        <v>0.20962700000000001</v>
      </c>
      <c r="R84" s="20">
        <v>0.210178</v>
      </c>
      <c r="S84" s="20">
        <v>0.210558</v>
      </c>
      <c r="T84" s="20">
        <v>0.210954</v>
      </c>
      <c r="U84" s="20">
        <v>0.207703</v>
      </c>
      <c r="V84" s="20">
        <v>0.205012</v>
      </c>
      <c r="W84" s="20">
        <v>0.20291100000000001</v>
      </c>
      <c r="X84" s="20">
        <v>0.20146700000000001</v>
      </c>
      <c r="Y84" s="20">
        <v>0.200848</v>
      </c>
      <c r="Z84" s="20">
        <v>0.20064000000000001</v>
      </c>
      <c r="AA84" s="20">
        <v>0.20059199999999999</v>
      </c>
      <c r="AB84" s="20">
        <v>0.20072999999999999</v>
      </c>
      <c r="AC84" s="20">
        <v>0.200991</v>
      </c>
      <c r="AD84" s="20">
        <v>0.20142299999999999</v>
      </c>
      <c r="AE84" s="20">
        <v>0.20205600000000001</v>
      </c>
      <c r="AF84" s="21">
        <v>-4.5030000000000001E-3</v>
      </c>
      <c r="AG84" s="10"/>
      <c r="AI84" s="5"/>
    </row>
    <row r="85" spans="1:35" ht="36.75" x14ac:dyDescent="0.25">
      <c r="A85" s="9" t="s">
        <v>123</v>
      </c>
      <c r="B85" s="19" t="s">
        <v>124</v>
      </c>
      <c r="C85" s="20">
        <v>3.7489000000000001E-2</v>
      </c>
      <c r="D85" s="20">
        <v>3.7812999999999999E-2</v>
      </c>
      <c r="E85" s="20">
        <v>3.8143999999999997E-2</v>
      </c>
      <c r="F85" s="20">
        <v>3.8485999999999999E-2</v>
      </c>
      <c r="G85" s="20">
        <v>3.8827E-2</v>
      </c>
      <c r="H85" s="20">
        <v>3.9168000000000001E-2</v>
      </c>
      <c r="I85" s="20">
        <v>3.9518999999999999E-2</v>
      </c>
      <c r="J85" s="20">
        <v>3.9875000000000001E-2</v>
      </c>
      <c r="K85" s="20">
        <v>4.0245999999999997E-2</v>
      </c>
      <c r="L85" s="20">
        <v>4.0617E-2</v>
      </c>
      <c r="M85" s="20">
        <v>4.0992000000000001E-2</v>
      </c>
      <c r="N85" s="20">
        <v>4.1364999999999999E-2</v>
      </c>
      <c r="O85" s="20">
        <v>4.1732999999999999E-2</v>
      </c>
      <c r="P85" s="20">
        <v>4.2098999999999998E-2</v>
      </c>
      <c r="Q85" s="20">
        <v>4.2465000000000003E-2</v>
      </c>
      <c r="R85" s="20">
        <v>4.2827999999999998E-2</v>
      </c>
      <c r="S85" s="20">
        <v>4.3187000000000003E-2</v>
      </c>
      <c r="T85" s="20">
        <v>4.3541999999999997E-2</v>
      </c>
      <c r="U85" s="20">
        <v>4.3898E-2</v>
      </c>
      <c r="V85" s="20">
        <v>4.4252E-2</v>
      </c>
      <c r="W85" s="20">
        <v>4.4599E-2</v>
      </c>
      <c r="X85" s="20">
        <v>4.4942000000000003E-2</v>
      </c>
      <c r="Y85" s="20">
        <v>4.5282000000000003E-2</v>
      </c>
      <c r="Z85" s="20">
        <v>4.5619E-2</v>
      </c>
      <c r="AA85" s="20">
        <v>4.5952E-2</v>
      </c>
      <c r="AB85" s="20">
        <v>4.6282999999999998E-2</v>
      </c>
      <c r="AC85" s="20">
        <v>4.6611E-2</v>
      </c>
      <c r="AD85" s="20">
        <v>4.6935999999999999E-2</v>
      </c>
      <c r="AE85" s="20">
        <v>4.7258000000000001E-2</v>
      </c>
      <c r="AF85" s="21">
        <v>8.3049999999999999E-3</v>
      </c>
      <c r="AG85" s="10"/>
      <c r="AI85" s="5"/>
    </row>
    <row r="86" spans="1:35" ht="36.75" x14ac:dyDescent="0.25">
      <c r="A86" s="9" t="s">
        <v>125</v>
      </c>
      <c r="B86" s="19" t="s">
        <v>126</v>
      </c>
      <c r="C86" s="20">
        <v>2.7618E-2</v>
      </c>
      <c r="D86" s="20">
        <v>2.8063999999999999E-2</v>
      </c>
      <c r="E86" s="20">
        <v>2.8506E-2</v>
      </c>
      <c r="F86" s="20">
        <v>2.8944999999999999E-2</v>
      </c>
      <c r="G86" s="20">
        <v>2.937E-2</v>
      </c>
      <c r="H86" s="20">
        <v>2.9781999999999999E-2</v>
      </c>
      <c r="I86" s="20">
        <v>3.0232999999999999E-2</v>
      </c>
      <c r="J86" s="20">
        <v>3.0721999999999999E-2</v>
      </c>
      <c r="K86" s="20">
        <v>3.1241999999999999E-2</v>
      </c>
      <c r="L86" s="20">
        <v>3.1796999999999999E-2</v>
      </c>
      <c r="M86" s="20">
        <v>3.2391999999999997E-2</v>
      </c>
      <c r="N86" s="20">
        <v>3.3027000000000001E-2</v>
      </c>
      <c r="O86" s="20">
        <v>3.3702000000000003E-2</v>
      </c>
      <c r="P86" s="20">
        <v>3.4373000000000001E-2</v>
      </c>
      <c r="Q86" s="20">
        <v>3.5042999999999998E-2</v>
      </c>
      <c r="R86" s="20">
        <v>3.5709999999999999E-2</v>
      </c>
      <c r="S86" s="20">
        <v>3.6374999999999998E-2</v>
      </c>
      <c r="T86" s="20">
        <v>3.7035999999999999E-2</v>
      </c>
      <c r="U86" s="20">
        <v>3.7698000000000002E-2</v>
      </c>
      <c r="V86" s="20">
        <v>3.8358999999999997E-2</v>
      </c>
      <c r="W86" s="20">
        <v>3.9015000000000001E-2</v>
      </c>
      <c r="X86" s="20">
        <v>3.9667000000000001E-2</v>
      </c>
      <c r="Y86" s="20">
        <v>4.0315999999999998E-2</v>
      </c>
      <c r="Z86" s="20">
        <v>4.0961999999999998E-2</v>
      </c>
      <c r="AA86" s="20">
        <v>4.1605000000000003E-2</v>
      </c>
      <c r="AB86" s="20">
        <v>4.2244999999999998E-2</v>
      </c>
      <c r="AC86" s="20">
        <v>4.2882000000000003E-2</v>
      </c>
      <c r="AD86" s="20">
        <v>4.3513999999999997E-2</v>
      </c>
      <c r="AE86" s="20">
        <v>4.4143000000000002E-2</v>
      </c>
      <c r="AF86" s="21">
        <v>1.6889999999999999E-2</v>
      </c>
      <c r="AG86" s="10"/>
      <c r="AI86" s="5"/>
    </row>
    <row r="87" spans="1:35" ht="72.75" x14ac:dyDescent="0.25">
      <c r="A87" s="9" t="s">
        <v>127</v>
      </c>
      <c r="B87" s="19" t="s">
        <v>128</v>
      </c>
      <c r="C87" s="20">
        <v>0.18509200000000001</v>
      </c>
      <c r="D87" s="20">
        <v>0.181559</v>
      </c>
      <c r="E87" s="20">
        <v>0.178365</v>
      </c>
      <c r="F87" s="20">
        <v>0.17569199999999999</v>
      </c>
      <c r="G87" s="20">
        <v>0.17295099999999999</v>
      </c>
      <c r="H87" s="20">
        <v>0.17014299999999999</v>
      </c>
      <c r="I87" s="20">
        <v>0.16719800000000001</v>
      </c>
      <c r="J87" s="20">
        <v>0.16413900000000001</v>
      </c>
      <c r="K87" s="20">
        <v>0.16098699999999999</v>
      </c>
      <c r="L87" s="20">
        <v>0.15786700000000001</v>
      </c>
      <c r="M87" s="20">
        <v>0.154866</v>
      </c>
      <c r="N87" s="20">
        <v>0.151867</v>
      </c>
      <c r="O87" s="20">
        <v>0.14899799999999999</v>
      </c>
      <c r="P87" s="20">
        <v>0.14658499999999999</v>
      </c>
      <c r="Q87" s="20">
        <v>0.14447299999999999</v>
      </c>
      <c r="R87" s="20">
        <v>0.142566</v>
      </c>
      <c r="S87" s="20">
        <v>0.14076</v>
      </c>
      <c r="T87" s="20">
        <v>0.13918900000000001</v>
      </c>
      <c r="U87" s="20">
        <v>0.13791</v>
      </c>
      <c r="V87" s="20">
        <v>0.136911</v>
      </c>
      <c r="W87" s="20">
        <v>0.13620699999999999</v>
      </c>
      <c r="X87" s="20">
        <v>0.13575499999999999</v>
      </c>
      <c r="Y87" s="20">
        <v>0.13553699999999999</v>
      </c>
      <c r="Z87" s="20">
        <v>0.13555200000000001</v>
      </c>
      <c r="AA87" s="20">
        <v>0.13580200000000001</v>
      </c>
      <c r="AB87" s="20">
        <v>0.136265</v>
      </c>
      <c r="AC87" s="20">
        <v>0.13685</v>
      </c>
      <c r="AD87" s="20">
        <v>0.13759299999999999</v>
      </c>
      <c r="AE87" s="20">
        <v>0.13852700000000001</v>
      </c>
      <c r="AF87" s="21">
        <v>-1.0296E-2</v>
      </c>
      <c r="AG87" s="10"/>
      <c r="AI87" s="5"/>
    </row>
    <row r="88" spans="1:35" ht="72.75" x14ac:dyDescent="0.25">
      <c r="A88" s="9" t="s">
        <v>129</v>
      </c>
      <c r="B88" s="19" t="s">
        <v>130</v>
      </c>
      <c r="C88" s="20">
        <v>0.120106</v>
      </c>
      <c r="D88" s="20">
        <v>0.118562</v>
      </c>
      <c r="E88" s="20">
        <v>0.11693099999999999</v>
      </c>
      <c r="F88" s="20">
        <v>0.11536299999999999</v>
      </c>
      <c r="G88" s="20">
        <v>0.113493</v>
      </c>
      <c r="H88" s="20">
        <v>0.111328</v>
      </c>
      <c r="I88" s="20">
        <v>0.108857</v>
      </c>
      <c r="J88" s="20">
        <v>0.106117</v>
      </c>
      <c r="K88" s="20">
        <v>0.103168</v>
      </c>
      <c r="L88" s="20">
        <v>0.100088</v>
      </c>
      <c r="M88" s="20">
        <v>9.6979999999999997E-2</v>
      </c>
      <c r="N88" s="20">
        <v>9.3785999999999994E-2</v>
      </c>
      <c r="O88" s="20">
        <v>9.0609999999999996E-2</v>
      </c>
      <c r="P88" s="20">
        <v>8.7647000000000003E-2</v>
      </c>
      <c r="Q88" s="20">
        <v>8.4848000000000007E-2</v>
      </c>
      <c r="R88" s="20">
        <v>8.2132999999999998E-2</v>
      </c>
      <c r="S88" s="20">
        <v>7.9492999999999994E-2</v>
      </c>
      <c r="T88" s="20">
        <v>7.7007999999999993E-2</v>
      </c>
      <c r="U88" s="20">
        <v>7.4726000000000001E-2</v>
      </c>
      <c r="V88" s="20">
        <v>7.2651999999999994E-2</v>
      </c>
      <c r="W88" s="20">
        <v>7.0824999999999999E-2</v>
      </c>
      <c r="X88" s="20">
        <v>6.9226999999999997E-2</v>
      </c>
      <c r="Y88" s="20">
        <v>6.7875000000000005E-2</v>
      </c>
      <c r="Z88" s="20">
        <v>6.6753000000000007E-2</v>
      </c>
      <c r="AA88" s="20">
        <v>6.5956000000000001E-2</v>
      </c>
      <c r="AB88" s="20">
        <v>6.5417000000000003E-2</v>
      </c>
      <c r="AC88" s="20">
        <v>6.5087000000000006E-2</v>
      </c>
      <c r="AD88" s="20">
        <v>6.4992999999999995E-2</v>
      </c>
      <c r="AE88" s="20">
        <v>6.5106999999999998E-2</v>
      </c>
      <c r="AF88" s="21">
        <v>-2.1631999999999998E-2</v>
      </c>
      <c r="AG88" s="10"/>
      <c r="AI88" s="5"/>
    </row>
    <row r="89" spans="1:35" ht="60.75" x14ac:dyDescent="0.25">
      <c r="A89" s="9" t="s">
        <v>131</v>
      </c>
      <c r="B89" s="19" t="s">
        <v>132</v>
      </c>
      <c r="C89" s="20">
        <v>8.9175000000000004E-2</v>
      </c>
      <c r="D89" s="20">
        <v>8.8249999999999995E-2</v>
      </c>
      <c r="E89" s="20">
        <v>7.9128000000000004E-2</v>
      </c>
      <c r="F89" s="20">
        <v>8.0093999999999999E-2</v>
      </c>
      <c r="G89" s="20">
        <v>8.0979999999999996E-2</v>
      </c>
      <c r="H89" s="20">
        <v>8.1729999999999997E-2</v>
      </c>
      <c r="I89" s="20">
        <v>8.2280000000000006E-2</v>
      </c>
      <c r="J89" s="20">
        <v>8.2540000000000002E-2</v>
      </c>
      <c r="K89" s="20">
        <v>8.2561999999999997E-2</v>
      </c>
      <c r="L89" s="20">
        <v>8.2343E-2</v>
      </c>
      <c r="M89" s="20">
        <v>8.1923999999999997E-2</v>
      </c>
      <c r="N89" s="20">
        <v>8.1309000000000006E-2</v>
      </c>
      <c r="O89" s="20">
        <v>8.0431000000000002E-2</v>
      </c>
      <c r="P89" s="20">
        <v>7.9390000000000002E-2</v>
      </c>
      <c r="Q89" s="20">
        <v>7.8254000000000004E-2</v>
      </c>
      <c r="R89" s="20">
        <v>7.7045000000000002E-2</v>
      </c>
      <c r="S89" s="20">
        <v>7.5693999999999997E-2</v>
      </c>
      <c r="T89" s="20">
        <v>7.4348999999999998E-2</v>
      </c>
      <c r="U89" s="20">
        <v>7.3050000000000004E-2</v>
      </c>
      <c r="V89" s="20">
        <v>7.1817000000000006E-2</v>
      </c>
      <c r="W89" s="20">
        <v>7.0639999999999994E-2</v>
      </c>
      <c r="X89" s="20">
        <v>6.9587999999999997E-2</v>
      </c>
      <c r="Y89" s="20">
        <v>6.8662000000000001E-2</v>
      </c>
      <c r="Z89" s="20">
        <v>6.7822999999999994E-2</v>
      </c>
      <c r="AA89" s="20">
        <v>6.7005999999999996E-2</v>
      </c>
      <c r="AB89" s="20">
        <v>6.6321000000000005E-2</v>
      </c>
      <c r="AC89" s="20">
        <v>6.5775E-2</v>
      </c>
      <c r="AD89" s="20">
        <v>6.5343999999999999E-2</v>
      </c>
      <c r="AE89" s="20">
        <v>6.4996999999999999E-2</v>
      </c>
      <c r="AF89" s="21">
        <v>-1.1231E-2</v>
      </c>
      <c r="AG89" s="10"/>
      <c r="AI89" s="5"/>
    </row>
    <row r="90" spans="1:35" ht="24.75" x14ac:dyDescent="0.25">
      <c r="A90" s="9" t="s">
        <v>133</v>
      </c>
      <c r="B90" s="19" t="s">
        <v>134</v>
      </c>
      <c r="C90" s="20">
        <v>2.037398</v>
      </c>
      <c r="D90" s="20">
        <v>2.0856680000000001</v>
      </c>
      <c r="E90" s="20">
        <v>2.1141719999999999</v>
      </c>
      <c r="F90" s="20">
        <v>2.15381</v>
      </c>
      <c r="G90" s="20">
        <v>2.1936559999999998</v>
      </c>
      <c r="H90" s="20">
        <v>2.237911</v>
      </c>
      <c r="I90" s="20">
        <v>2.2765520000000001</v>
      </c>
      <c r="J90" s="20">
        <v>2.3100990000000001</v>
      </c>
      <c r="K90" s="20">
        <v>2.3426849999999999</v>
      </c>
      <c r="L90" s="20">
        <v>2.3747950000000002</v>
      </c>
      <c r="M90" s="20">
        <v>2.4072800000000001</v>
      </c>
      <c r="N90" s="20">
        <v>2.4395030000000002</v>
      </c>
      <c r="O90" s="20">
        <v>2.4693230000000002</v>
      </c>
      <c r="P90" s="20">
        <v>2.5029680000000001</v>
      </c>
      <c r="Q90" s="20">
        <v>2.5391620000000001</v>
      </c>
      <c r="R90" s="20">
        <v>2.5777019999999999</v>
      </c>
      <c r="S90" s="20">
        <v>2.614976</v>
      </c>
      <c r="T90" s="20">
        <v>2.6532680000000002</v>
      </c>
      <c r="U90" s="20">
        <v>2.693851</v>
      </c>
      <c r="V90" s="20">
        <v>2.7352759999999998</v>
      </c>
      <c r="W90" s="20">
        <v>2.7794129999999999</v>
      </c>
      <c r="X90" s="20">
        <v>2.825256</v>
      </c>
      <c r="Y90" s="20">
        <v>2.8728530000000001</v>
      </c>
      <c r="Z90" s="20">
        <v>2.9220899999999999</v>
      </c>
      <c r="AA90" s="20">
        <v>2.9724970000000002</v>
      </c>
      <c r="AB90" s="20">
        <v>3.0254470000000002</v>
      </c>
      <c r="AC90" s="20">
        <v>3.079815</v>
      </c>
      <c r="AD90" s="20">
        <v>3.1361910000000002</v>
      </c>
      <c r="AE90" s="20">
        <v>3.196599</v>
      </c>
      <c r="AF90" s="21">
        <v>1.6216000000000001E-2</v>
      </c>
      <c r="AG90" s="10"/>
      <c r="AI90" s="5"/>
    </row>
    <row r="91" spans="1:35" ht="48.75" x14ac:dyDescent="0.25">
      <c r="A91" s="9" t="s">
        <v>135</v>
      </c>
      <c r="B91" s="18" t="s">
        <v>136</v>
      </c>
      <c r="C91" s="22">
        <v>11.871544999999999</v>
      </c>
      <c r="D91" s="22">
        <v>11.838481</v>
      </c>
      <c r="E91" s="22">
        <v>11.526081</v>
      </c>
      <c r="F91" s="22">
        <v>11.580304999999999</v>
      </c>
      <c r="G91" s="22">
        <v>11.635992999999999</v>
      </c>
      <c r="H91" s="22">
        <v>11.689837000000001</v>
      </c>
      <c r="I91" s="22">
        <v>11.730596</v>
      </c>
      <c r="J91" s="22">
        <v>11.752335</v>
      </c>
      <c r="K91" s="22">
        <v>11.759981</v>
      </c>
      <c r="L91" s="22">
        <v>11.76046</v>
      </c>
      <c r="M91" s="22">
        <v>11.762243</v>
      </c>
      <c r="N91" s="22">
        <v>11.775377000000001</v>
      </c>
      <c r="O91" s="22">
        <v>11.783529</v>
      </c>
      <c r="P91" s="22">
        <v>11.804330999999999</v>
      </c>
      <c r="Q91" s="22">
        <v>11.834376000000001</v>
      </c>
      <c r="R91" s="22">
        <v>11.870398</v>
      </c>
      <c r="S91" s="22">
        <v>11.902811</v>
      </c>
      <c r="T91" s="22">
        <v>11.940166</v>
      </c>
      <c r="U91" s="22">
        <v>11.979717000000001</v>
      </c>
      <c r="V91" s="22">
        <v>12.023415</v>
      </c>
      <c r="W91" s="22">
        <v>12.073841</v>
      </c>
      <c r="X91" s="22">
        <v>12.131802</v>
      </c>
      <c r="Y91" s="22">
        <v>12.196539</v>
      </c>
      <c r="Z91" s="22">
        <v>12.263961999999999</v>
      </c>
      <c r="AA91" s="22">
        <v>12.330469000000001</v>
      </c>
      <c r="AB91" s="22">
        <v>12.404661000000001</v>
      </c>
      <c r="AC91" s="22">
        <v>12.484757999999999</v>
      </c>
      <c r="AD91" s="22">
        <v>12.568652999999999</v>
      </c>
      <c r="AE91" s="22">
        <v>12.657738</v>
      </c>
      <c r="AF91" s="23">
        <v>2.2929999999999999E-3</v>
      </c>
      <c r="AG91" s="10"/>
      <c r="AI91" s="5"/>
    </row>
    <row r="92" spans="1:35" ht="48.75" x14ac:dyDescent="0.25">
      <c r="A92" s="9" t="s">
        <v>137</v>
      </c>
      <c r="B92" s="19" t="s">
        <v>138</v>
      </c>
      <c r="C92" s="20">
        <v>0.112023</v>
      </c>
      <c r="D92" s="20">
        <v>0.123458</v>
      </c>
      <c r="E92" s="20">
        <v>0.13652900000000001</v>
      </c>
      <c r="F92" s="20">
        <v>0.14977699999999999</v>
      </c>
      <c r="G92" s="20">
        <v>0.16300899999999999</v>
      </c>
      <c r="H92" s="20">
        <v>0.17658499999999999</v>
      </c>
      <c r="I92" s="20">
        <v>0.19053</v>
      </c>
      <c r="J92" s="20">
        <v>0.20494499999999999</v>
      </c>
      <c r="K92" s="20">
        <v>0.21981999999999999</v>
      </c>
      <c r="L92" s="20">
        <v>0.23524600000000001</v>
      </c>
      <c r="M92" s="20">
        <v>0.25148999999999999</v>
      </c>
      <c r="N92" s="20">
        <v>0.26793699999999998</v>
      </c>
      <c r="O92" s="20">
        <v>0.28465000000000001</v>
      </c>
      <c r="P92" s="20">
        <v>0.29947400000000002</v>
      </c>
      <c r="Q92" s="20">
        <v>0.31491799999999998</v>
      </c>
      <c r="R92" s="20">
        <v>0.33096799999999998</v>
      </c>
      <c r="S92" s="20">
        <v>0.34801199999999999</v>
      </c>
      <c r="T92" s="20">
        <v>0.36618699999999998</v>
      </c>
      <c r="U92" s="20">
        <v>0.38540000000000002</v>
      </c>
      <c r="V92" s="20">
        <v>0.40570899999999999</v>
      </c>
      <c r="W92" s="20">
        <v>0.427124</v>
      </c>
      <c r="X92" s="20">
        <v>0.44966</v>
      </c>
      <c r="Y92" s="20">
        <v>0.47307100000000002</v>
      </c>
      <c r="Z92" s="20">
        <v>0.49757400000000002</v>
      </c>
      <c r="AA92" s="20">
        <v>0.52299700000000005</v>
      </c>
      <c r="AB92" s="20">
        <v>0.54935500000000004</v>
      </c>
      <c r="AC92" s="20">
        <v>0.57694599999999996</v>
      </c>
      <c r="AD92" s="20">
        <v>0.60526800000000003</v>
      </c>
      <c r="AE92" s="20">
        <v>0.63452399999999998</v>
      </c>
      <c r="AF92" s="21">
        <v>6.3893000000000005E-2</v>
      </c>
      <c r="AG92" s="10"/>
      <c r="AI92" s="5"/>
    </row>
    <row r="93" spans="1:35" ht="36.75" x14ac:dyDescent="0.25">
      <c r="A93" s="9" t="s">
        <v>139</v>
      </c>
      <c r="B93" s="18" t="s">
        <v>140</v>
      </c>
      <c r="C93" s="22">
        <v>11.759520999999999</v>
      </c>
      <c r="D93" s="22">
        <v>11.715023</v>
      </c>
      <c r="E93" s="22">
        <v>11.389552</v>
      </c>
      <c r="F93" s="22">
        <v>11.430529</v>
      </c>
      <c r="G93" s="22">
        <v>11.472984</v>
      </c>
      <c r="H93" s="22">
        <v>11.513251</v>
      </c>
      <c r="I93" s="22">
        <v>11.540065999999999</v>
      </c>
      <c r="J93" s="22">
        <v>11.547389000000001</v>
      </c>
      <c r="K93" s="22">
        <v>11.540160999999999</v>
      </c>
      <c r="L93" s="22">
        <v>11.525214</v>
      </c>
      <c r="M93" s="22">
        <v>11.510754</v>
      </c>
      <c r="N93" s="22">
        <v>11.507440000000001</v>
      </c>
      <c r="O93" s="22">
        <v>11.498879000000001</v>
      </c>
      <c r="P93" s="22">
        <v>11.504856</v>
      </c>
      <c r="Q93" s="22">
        <v>11.519458999999999</v>
      </c>
      <c r="R93" s="22">
        <v>11.539429</v>
      </c>
      <c r="S93" s="22">
        <v>11.554798999999999</v>
      </c>
      <c r="T93" s="22">
        <v>11.573979</v>
      </c>
      <c r="U93" s="22">
        <v>11.594315999999999</v>
      </c>
      <c r="V93" s="22">
        <v>11.617705000000001</v>
      </c>
      <c r="W93" s="22">
        <v>11.646717000000001</v>
      </c>
      <c r="X93" s="22">
        <v>11.682141</v>
      </c>
      <c r="Y93" s="22">
        <v>11.723468</v>
      </c>
      <c r="Z93" s="22">
        <v>11.766387999999999</v>
      </c>
      <c r="AA93" s="22">
        <v>11.807472000000001</v>
      </c>
      <c r="AB93" s="22">
        <v>11.855307</v>
      </c>
      <c r="AC93" s="22">
        <v>11.907812</v>
      </c>
      <c r="AD93" s="22">
        <v>11.963385000000001</v>
      </c>
      <c r="AE93" s="22">
        <v>12.023213</v>
      </c>
      <c r="AF93" s="23">
        <v>7.9199999999999995E-4</v>
      </c>
      <c r="AG93" s="10"/>
      <c r="AI93" s="5"/>
    </row>
    <row r="94" spans="1:35" x14ac:dyDescent="0.25">
      <c r="A94" s="6"/>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I94" s="5"/>
    </row>
    <row r="95" spans="1:35" ht="36.75" x14ac:dyDescent="0.25">
      <c r="A95" s="9" t="s">
        <v>141</v>
      </c>
      <c r="B95" s="18" t="s">
        <v>4</v>
      </c>
      <c r="C95" s="22">
        <v>9.4318840000000002</v>
      </c>
      <c r="D95" s="22">
        <v>9.0614460000000001</v>
      </c>
      <c r="E95" s="22">
        <v>9.2159829999999996</v>
      </c>
      <c r="F95" s="22">
        <v>9.2775800000000004</v>
      </c>
      <c r="G95" s="22">
        <v>9.2647940000000002</v>
      </c>
      <c r="H95" s="22">
        <v>9.2480410000000006</v>
      </c>
      <c r="I95" s="22">
        <v>9.2045560000000002</v>
      </c>
      <c r="J95" s="22">
        <v>9.1618700000000004</v>
      </c>
      <c r="K95" s="22">
        <v>9.1329999999999991</v>
      </c>
      <c r="L95" s="22">
        <v>9.1532210000000003</v>
      </c>
      <c r="M95" s="22">
        <v>9.2185980000000001</v>
      </c>
      <c r="N95" s="22">
        <v>9.2462999999999997</v>
      </c>
      <c r="O95" s="22">
        <v>9.3134979999999992</v>
      </c>
      <c r="P95" s="22">
        <v>9.3774160000000002</v>
      </c>
      <c r="Q95" s="22">
        <v>9.4475390000000008</v>
      </c>
      <c r="R95" s="22">
        <v>9.487012</v>
      </c>
      <c r="S95" s="22">
        <v>9.4913959999999999</v>
      </c>
      <c r="T95" s="22">
        <v>9.4915699999999994</v>
      </c>
      <c r="U95" s="22">
        <v>9.5147720000000007</v>
      </c>
      <c r="V95" s="22">
        <v>9.5577690000000004</v>
      </c>
      <c r="W95" s="22">
        <v>9.6436150000000005</v>
      </c>
      <c r="X95" s="22">
        <v>9.717905</v>
      </c>
      <c r="Y95" s="22">
        <v>9.8050350000000002</v>
      </c>
      <c r="Z95" s="22">
        <v>9.9067640000000008</v>
      </c>
      <c r="AA95" s="22">
        <v>9.9749020000000002</v>
      </c>
      <c r="AB95" s="22">
        <v>10.062101999999999</v>
      </c>
      <c r="AC95" s="22">
        <v>10.154728</v>
      </c>
      <c r="AD95" s="22">
        <v>10.235389</v>
      </c>
      <c r="AE95" s="22">
        <v>10.336385</v>
      </c>
      <c r="AF95" s="23">
        <v>3.2759999999999998E-3</v>
      </c>
      <c r="AG95" s="10"/>
      <c r="AI95" s="5"/>
    </row>
    <row r="96" spans="1:35" x14ac:dyDescent="0.25">
      <c r="A96" s="6"/>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row>
    <row r="97" spans="1:35" ht="60.75" x14ac:dyDescent="0.25">
      <c r="A97" s="6"/>
      <c r="B97" s="18" t="s">
        <v>142</v>
      </c>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I97" s="5"/>
    </row>
    <row r="98" spans="1:35" ht="24.75" x14ac:dyDescent="0.25">
      <c r="A98" s="9" t="s">
        <v>143</v>
      </c>
      <c r="B98" s="19" t="s">
        <v>108</v>
      </c>
      <c r="C98" s="20">
        <v>7.1100149999999998</v>
      </c>
      <c r="D98" s="20">
        <v>7.1526610000000002</v>
      </c>
      <c r="E98" s="20">
        <v>6.5057520000000002</v>
      </c>
      <c r="F98" s="20">
        <v>6.4811459999999999</v>
      </c>
      <c r="G98" s="20">
        <v>6.4469950000000003</v>
      </c>
      <c r="H98" s="20">
        <v>6.4027279999999998</v>
      </c>
      <c r="I98" s="20">
        <v>6.3488069999999999</v>
      </c>
      <c r="J98" s="20">
        <v>6.2861770000000003</v>
      </c>
      <c r="K98" s="20">
        <v>6.2194839999999996</v>
      </c>
      <c r="L98" s="20">
        <v>6.1553719999999998</v>
      </c>
      <c r="M98" s="20">
        <v>6.0959630000000002</v>
      </c>
      <c r="N98" s="20">
        <v>6.0408600000000003</v>
      </c>
      <c r="O98" s="20">
        <v>5.9861310000000003</v>
      </c>
      <c r="P98" s="20">
        <v>5.9325229999999998</v>
      </c>
      <c r="Q98" s="20">
        <v>5.8820589999999999</v>
      </c>
      <c r="R98" s="20">
        <v>5.8304309999999999</v>
      </c>
      <c r="S98" s="20">
        <v>5.774178</v>
      </c>
      <c r="T98" s="20">
        <v>5.7201329999999997</v>
      </c>
      <c r="U98" s="20">
        <v>5.6719030000000004</v>
      </c>
      <c r="V98" s="20">
        <v>5.6277799999999996</v>
      </c>
      <c r="W98" s="20">
        <v>5.5891190000000002</v>
      </c>
      <c r="X98" s="20">
        <v>5.5521039999999999</v>
      </c>
      <c r="Y98" s="20">
        <v>5.5174979999999998</v>
      </c>
      <c r="Z98" s="20">
        <v>5.4835640000000003</v>
      </c>
      <c r="AA98" s="20">
        <v>5.4438909999999998</v>
      </c>
      <c r="AB98" s="20">
        <v>5.4075309999999996</v>
      </c>
      <c r="AC98" s="20">
        <v>5.3732379999999997</v>
      </c>
      <c r="AD98" s="20">
        <v>5.3384010000000002</v>
      </c>
      <c r="AE98" s="20">
        <v>5.3043849999999999</v>
      </c>
      <c r="AF98" s="21">
        <v>-1.0409E-2</v>
      </c>
      <c r="AG98" s="10"/>
      <c r="AI98" s="5"/>
    </row>
    <row r="99" spans="1:35" ht="24.75" x14ac:dyDescent="0.25">
      <c r="A99" s="9" t="s">
        <v>144</v>
      </c>
      <c r="B99" s="19" t="s">
        <v>110</v>
      </c>
      <c r="C99" s="20">
        <v>2.4765199999999998</v>
      </c>
      <c r="D99" s="20">
        <v>2.1058129999999999</v>
      </c>
      <c r="E99" s="20">
        <v>2.555955</v>
      </c>
      <c r="F99" s="20">
        <v>2.6097670000000002</v>
      </c>
      <c r="G99" s="20">
        <v>2.647732</v>
      </c>
      <c r="H99" s="20">
        <v>2.6855289999999998</v>
      </c>
      <c r="I99" s="20">
        <v>2.7193200000000002</v>
      </c>
      <c r="J99" s="20">
        <v>2.7525309999999998</v>
      </c>
      <c r="K99" s="20">
        <v>2.7844319999999998</v>
      </c>
      <c r="L99" s="20">
        <v>2.8238189999999999</v>
      </c>
      <c r="M99" s="20">
        <v>2.8744489999999998</v>
      </c>
      <c r="N99" s="20">
        <v>2.9172989999999999</v>
      </c>
      <c r="O99" s="20">
        <v>2.9693239999999999</v>
      </c>
      <c r="P99" s="20">
        <v>3.0226950000000001</v>
      </c>
      <c r="Q99" s="20">
        <v>3.0803289999999999</v>
      </c>
      <c r="R99" s="20">
        <v>3.1334810000000002</v>
      </c>
      <c r="S99" s="20">
        <v>3.1798470000000001</v>
      </c>
      <c r="T99" s="20">
        <v>3.226057</v>
      </c>
      <c r="U99" s="20">
        <v>3.2779180000000001</v>
      </c>
      <c r="V99" s="20">
        <v>3.3334779999999999</v>
      </c>
      <c r="W99" s="20">
        <v>3.3983690000000002</v>
      </c>
      <c r="X99" s="20">
        <v>3.461468</v>
      </c>
      <c r="Y99" s="20">
        <v>3.5288270000000002</v>
      </c>
      <c r="Z99" s="20">
        <v>3.6009890000000002</v>
      </c>
      <c r="AA99" s="20">
        <v>3.6695880000000001</v>
      </c>
      <c r="AB99" s="20">
        <v>3.7439070000000001</v>
      </c>
      <c r="AC99" s="20">
        <v>3.820605</v>
      </c>
      <c r="AD99" s="20">
        <v>3.8934709999999999</v>
      </c>
      <c r="AE99" s="20">
        <v>3.9717359999999999</v>
      </c>
      <c r="AF99" s="21">
        <v>1.7013E-2</v>
      </c>
      <c r="AG99" s="10"/>
      <c r="AI99" s="5"/>
    </row>
    <row r="100" spans="1:35" ht="24.75" x14ac:dyDescent="0.25">
      <c r="A100" s="9" t="s">
        <v>145</v>
      </c>
      <c r="B100" s="19" t="s">
        <v>112</v>
      </c>
      <c r="C100" s="20">
        <v>2.785069</v>
      </c>
      <c r="D100" s="20">
        <v>2.7516790000000002</v>
      </c>
      <c r="E100" s="20">
        <v>2.7610139999999999</v>
      </c>
      <c r="F100" s="20">
        <v>2.7744179999999998</v>
      </c>
      <c r="G100" s="20">
        <v>2.778686</v>
      </c>
      <c r="H100" s="20">
        <v>2.7805049999999998</v>
      </c>
      <c r="I100" s="20">
        <v>2.7789269999999999</v>
      </c>
      <c r="J100" s="20">
        <v>2.7748309999999998</v>
      </c>
      <c r="K100" s="20">
        <v>2.7702309999999999</v>
      </c>
      <c r="L100" s="20">
        <v>2.7683219999999999</v>
      </c>
      <c r="M100" s="20">
        <v>2.770947</v>
      </c>
      <c r="N100" s="20">
        <v>2.7753830000000002</v>
      </c>
      <c r="O100" s="20">
        <v>2.7859159999999998</v>
      </c>
      <c r="P100" s="20">
        <v>2.8000310000000002</v>
      </c>
      <c r="Q100" s="20">
        <v>2.8152810000000001</v>
      </c>
      <c r="R100" s="20">
        <v>2.8261799999999999</v>
      </c>
      <c r="S100" s="20">
        <v>2.832077</v>
      </c>
      <c r="T100" s="20">
        <v>2.8373390000000001</v>
      </c>
      <c r="U100" s="20">
        <v>2.8452839999999999</v>
      </c>
      <c r="V100" s="20">
        <v>2.8552569999999999</v>
      </c>
      <c r="W100" s="20">
        <v>2.8699539999999999</v>
      </c>
      <c r="X100" s="20">
        <v>2.884296</v>
      </c>
      <c r="Y100" s="20">
        <v>2.9002319999999999</v>
      </c>
      <c r="Z100" s="20">
        <v>2.9167800000000002</v>
      </c>
      <c r="AA100" s="20">
        <v>2.9270330000000002</v>
      </c>
      <c r="AB100" s="20">
        <v>2.9404949999999999</v>
      </c>
      <c r="AC100" s="20">
        <v>2.9561459999999999</v>
      </c>
      <c r="AD100" s="20">
        <v>2.971393</v>
      </c>
      <c r="AE100" s="20">
        <v>2.988648</v>
      </c>
      <c r="AF100" s="21">
        <v>2.5230000000000001E-3</v>
      </c>
      <c r="AG100" s="10"/>
      <c r="AI100" s="5"/>
    </row>
    <row r="101" spans="1:35" ht="36.75" x14ac:dyDescent="0.25">
      <c r="A101" s="9" t="s">
        <v>146</v>
      </c>
      <c r="B101" s="19" t="s">
        <v>114</v>
      </c>
      <c r="C101" s="20">
        <v>0.83711599999999997</v>
      </c>
      <c r="D101" s="20">
        <v>0.82186300000000001</v>
      </c>
      <c r="E101" s="20">
        <v>0.82011000000000001</v>
      </c>
      <c r="F101" s="20">
        <v>0.81624399999999997</v>
      </c>
      <c r="G101" s="20">
        <v>0.80891999999999997</v>
      </c>
      <c r="H101" s="20">
        <v>0.80172299999999996</v>
      </c>
      <c r="I101" s="20">
        <v>0.79459900000000006</v>
      </c>
      <c r="J101" s="20">
        <v>0.78902099999999997</v>
      </c>
      <c r="K101" s="20">
        <v>0.78561499999999995</v>
      </c>
      <c r="L101" s="20">
        <v>0.78595899999999996</v>
      </c>
      <c r="M101" s="20">
        <v>0.78947999999999996</v>
      </c>
      <c r="N101" s="20">
        <v>0.79164599999999996</v>
      </c>
      <c r="O101" s="20">
        <v>0.79685099999999998</v>
      </c>
      <c r="P101" s="20">
        <v>0.80151399999999995</v>
      </c>
      <c r="Q101" s="20">
        <v>0.80695399999999995</v>
      </c>
      <c r="R101" s="20">
        <v>0.81127400000000005</v>
      </c>
      <c r="S101" s="20">
        <v>0.81484500000000004</v>
      </c>
      <c r="T101" s="20">
        <v>0.818855</v>
      </c>
      <c r="U101" s="20">
        <v>0.82500899999999999</v>
      </c>
      <c r="V101" s="20">
        <v>0.83284599999999998</v>
      </c>
      <c r="W101" s="20">
        <v>0.84326100000000004</v>
      </c>
      <c r="X101" s="20">
        <v>0.85264499999999999</v>
      </c>
      <c r="Y101" s="20">
        <v>0.862313</v>
      </c>
      <c r="Z101" s="20">
        <v>0.87239699999999998</v>
      </c>
      <c r="AA101" s="20">
        <v>0.879996</v>
      </c>
      <c r="AB101" s="20">
        <v>0.88808900000000002</v>
      </c>
      <c r="AC101" s="20">
        <v>0.89615100000000003</v>
      </c>
      <c r="AD101" s="20">
        <v>0.90310299999999999</v>
      </c>
      <c r="AE101" s="20">
        <v>0.91037599999999996</v>
      </c>
      <c r="AF101" s="21">
        <v>3.0010000000000002E-3</v>
      </c>
      <c r="AG101" s="10"/>
      <c r="AI101" s="5"/>
    </row>
    <row r="102" spans="1:35" x14ac:dyDescent="0.25">
      <c r="A102" s="9" t="s">
        <v>147</v>
      </c>
      <c r="B102" s="19" t="s">
        <v>116</v>
      </c>
      <c r="C102" s="20">
        <v>0.27869100000000002</v>
      </c>
      <c r="D102" s="20">
        <v>0.277586</v>
      </c>
      <c r="E102" s="20">
        <v>0.278916</v>
      </c>
      <c r="F102" s="20">
        <v>0.27972900000000001</v>
      </c>
      <c r="G102" s="20">
        <v>0.27971499999999999</v>
      </c>
      <c r="H102" s="20">
        <v>0.27955600000000003</v>
      </c>
      <c r="I102" s="20">
        <v>0.27926699999999999</v>
      </c>
      <c r="J102" s="20">
        <v>0.27914499999999998</v>
      </c>
      <c r="K102" s="20">
        <v>0.27929199999999998</v>
      </c>
      <c r="L102" s="20">
        <v>0.28000700000000001</v>
      </c>
      <c r="M102" s="20">
        <v>0.28118500000000002</v>
      </c>
      <c r="N102" s="20">
        <v>0.28208899999999998</v>
      </c>
      <c r="O102" s="20">
        <v>0.28358800000000001</v>
      </c>
      <c r="P102" s="20">
        <v>0.28497600000000001</v>
      </c>
      <c r="Q102" s="20">
        <v>0.28653800000000001</v>
      </c>
      <c r="R102" s="20">
        <v>0.28790199999999999</v>
      </c>
      <c r="S102" s="20">
        <v>0.28894199999999998</v>
      </c>
      <c r="T102" s="20">
        <v>0.28991400000000001</v>
      </c>
      <c r="U102" s="20">
        <v>0.29116700000000001</v>
      </c>
      <c r="V102" s="20">
        <v>0.292601</v>
      </c>
      <c r="W102" s="20">
        <v>0.29439500000000002</v>
      </c>
      <c r="X102" s="20">
        <v>0.29599999999999999</v>
      </c>
      <c r="Y102" s="20">
        <v>0.29768</v>
      </c>
      <c r="Z102" s="20">
        <v>0.29946400000000001</v>
      </c>
      <c r="AA102" s="20">
        <v>0.30079600000000001</v>
      </c>
      <c r="AB102" s="20">
        <v>0.30225800000000003</v>
      </c>
      <c r="AC102" s="20">
        <v>0.30374600000000002</v>
      </c>
      <c r="AD102" s="20">
        <v>0.30505599999999999</v>
      </c>
      <c r="AE102" s="20">
        <v>0.30645699999999998</v>
      </c>
      <c r="AF102" s="21">
        <v>3.398E-3</v>
      </c>
      <c r="AG102" s="10"/>
    </row>
    <row r="103" spans="1:35" ht="24.75" x14ac:dyDescent="0.25">
      <c r="A103" s="9" t="s">
        <v>148</v>
      </c>
      <c r="B103" s="19" t="s">
        <v>118</v>
      </c>
      <c r="C103" s="20">
        <v>0.66981000000000002</v>
      </c>
      <c r="D103" s="20">
        <v>0.67469400000000002</v>
      </c>
      <c r="E103" s="20">
        <v>0.69062800000000002</v>
      </c>
      <c r="F103" s="20">
        <v>0.70603700000000003</v>
      </c>
      <c r="G103" s="20">
        <v>0.71742399999999995</v>
      </c>
      <c r="H103" s="20">
        <v>0.72725099999999998</v>
      </c>
      <c r="I103" s="20">
        <v>0.73550199999999999</v>
      </c>
      <c r="J103" s="20">
        <v>0.743259</v>
      </c>
      <c r="K103" s="20">
        <v>0.75097999999999998</v>
      </c>
      <c r="L103" s="20">
        <v>0.76042200000000004</v>
      </c>
      <c r="M103" s="20">
        <v>0.77187300000000003</v>
      </c>
      <c r="N103" s="20">
        <v>0.780219</v>
      </c>
      <c r="O103" s="20">
        <v>0.79063000000000005</v>
      </c>
      <c r="P103" s="20">
        <v>0.80088999999999999</v>
      </c>
      <c r="Q103" s="20">
        <v>0.811639</v>
      </c>
      <c r="R103" s="20">
        <v>0.82012600000000002</v>
      </c>
      <c r="S103" s="20">
        <v>0.82628999999999997</v>
      </c>
      <c r="T103" s="20">
        <v>0.83206000000000002</v>
      </c>
      <c r="U103" s="20">
        <v>0.839117</v>
      </c>
      <c r="V103" s="20">
        <v>0.84721199999999997</v>
      </c>
      <c r="W103" s="20">
        <v>0.85745899999999997</v>
      </c>
      <c r="X103" s="20">
        <v>0.86720699999999995</v>
      </c>
      <c r="Y103" s="20">
        <v>0.87748899999999996</v>
      </c>
      <c r="Z103" s="20">
        <v>0.88828300000000004</v>
      </c>
      <c r="AA103" s="20">
        <v>0.89714099999999997</v>
      </c>
      <c r="AB103" s="20">
        <v>0.90712099999999996</v>
      </c>
      <c r="AC103" s="20">
        <v>0.91741099999999998</v>
      </c>
      <c r="AD103" s="20">
        <v>0.927091</v>
      </c>
      <c r="AE103" s="20">
        <v>0.93792699999999996</v>
      </c>
      <c r="AF103" s="21">
        <v>1.2097E-2</v>
      </c>
      <c r="AG103" s="10"/>
      <c r="AI103" s="5"/>
    </row>
    <row r="104" spans="1:35" x14ac:dyDescent="0.25">
      <c r="A104" s="9" t="s">
        <v>149</v>
      </c>
      <c r="B104" s="19" t="s">
        <v>120</v>
      </c>
      <c r="C104" s="20">
        <v>0.19544900000000001</v>
      </c>
      <c r="D104" s="20">
        <v>0.19247400000000001</v>
      </c>
      <c r="E104" s="20">
        <v>0.19247300000000001</v>
      </c>
      <c r="F104" s="20">
        <v>0.191769</v>
      </c>
      <c r="G104" s="20">
        <v>0.190053</v>
      </c>
      <c r="H104" s="20">
        <v>0.18817800000000001</v>
      </c>
      <c r="I104" s="20">
        <v>0.186248</v>
      </c>
      <c r="J104" s="20">
        <v>0.18460599999999999</v>
      </c>
      <c r="K104" s="20">
        <v>0.18338699999999999</v>
      </c>
      <c r="L104" s="20">
        <v>0.18290899999999999</v>
      </c>
      <c r="M104" s="20">
        <v>0.18302499999999999</v>
      </c>
      <c r="N104" s="20">
        <v>0.18269299999999999</v>
      </c>
      <c r="O104" s="20">
        <v>0.18293100000000001</v>
      </c>
      <c r="P104" s="20">
        <v>0.18290400000000001</v>
      </c>
      <c r="Q104" s="20">
        <v>0.18293799999999999</v>
      </c>
      <c r="R104" s="20">
        <v>0.18260999999999999</v>
      </c>
      <c r="S104" s="20">
        <v>0.18202199999999999</v>
      </c>
      <c r="T104" s="20">
        <v>0.18146000000000001</v>
      </c>
      <c r="U104" s="20">
        <v>0.18129899999999999</v>
      </c>
      <c r="V104" s="20">
        <v>0.18145800000000001</v>
      </c>
      <c r="W104" s="20">
        <v>0.18212900000000001</v>
      </c>
      <c r="X104" s="20">
        <v>0.18271999999999999</v>
      </c>
      <c r="Y104" s="20">
        <v>0.183532</v>
      </c>
      <c r="Z104" s="20">
        <v>0.18459900000000001</v>
      </c>
      <c r="AA104" s="20">
        <v>0.185312</v>
      </c>
      <c r="AB104" s="20">
        <v>0.186281</v>
      </c>
      <c r="AC104" s="20">
        <v>0.18728</v>
      </c>
      <c r="AD104" s="20">
        <v>0.188084</v>
      </c>
      <c r="AE104" s="20">
        <v>0.18899299999999999</v>
      </c>
      <c r="AF104" s="21">
        <v>-1.199E-3</v>
      </c>
      <c r="AG104" s="10"/>
      <c r="AI104" s="5"/>
    </row>
    <row r="105" spans="1:35" x14ac:dyDescent="0.25">
      <c r="A105" s="9" t="s">
        <v>150</v>
      </c>
      <c r="B105" s="19" t="s">
        <v>122</v>
      </c>
      <c r="C105" s="20">
        <v>0.64936700000000003</v>
      </c>
      <c r="D105" s="20">
        <v>0.59590500000000002</v>
      </c>
      <c r="E105" s="20">
        <v>0.57947400000000004</v>
      </c>
      <c r="F105" s="20">
        <v>0.57413700000000001</v>
      </c>
      <c r="G105" s="20">
        <v>0.57083899999999999</v>
      </c>
      <c r="H105" s="20">
        <v>0.57030599999999998</v>
      </c>
      <c r="I105" s="20">
        <v>0.57125999999999999</v>
      </c>
      <c r="J105" s="20">
        <v>0.57273600000000002</v>
      </c>
      <c r="K105" s="20">
        <v>0.56876000000000004</v>
      </c>
      <c r="L105" s="20">
        <v>0.56690600000000002</v>
      </c>
      <c r="M105" s="20">
        <v>0.56734200000000001</v>
      </c>
      <c r="N105" s="20">
        <v>0.56628500000000004</v>
      </c>
      <c r="O105" s="20">
        <v>0.56753699999999996</v>
      </c>
      <c r="P105" s="20">
        <v>0.56916199999999995</v>
      </c>
      <c r="Q105" s="20">
        <v>0.57101800000000003</v>
      </c>
      <c r="R105" s="20">
        <v>0.57133199999999995</v>
      </c>
      <c r="S105" s="20">
        <v>0.57008400000000004</v>
      </c>
      <c r="T105" s="20">
        <v>0.56870299999999996</v>
      </c>
      <c r="U105" s="20">
        <v>0.55844300000000002</v>
      </c>
      <c r="V105" s="20">
        <v>0.550342</v>
      </c>
      <c r="W105" s="20">
        <v>0.545122</v>
      </c>
      <c r="X105" s="20">
        <v>0.54107000000000005</v>
      </c>
      <c r="Y105" s="20">
        <v>0.53950600000000004</v>
      </c>
      <c r="Z105" s="20">
        <v>0.53939599999999999</v>
      </c>
      <c r="AA105" s="20">
        <v>0.53831099999999998</v>
      </c>
      <c r="AB105" s="20">
        <v>0.53816200000000003</v>
      </c>
      <c r="AC105" s="20">
        <v>0.53847599999999995</v>
      </c>
      <c r="AD105" s="20">
        <v>0.53874900000000003</v>
      </c>
      <c r="AE105" s="20">
        <v>0.539906</v>
      </c>
      <c r="AF105" s="21">
        <v>-6.5709999999999996E-3</v>
      </c>
      <c r="AG105" s="10"/>
      <c r="AI105" s="5"/>
    </row>
    <row r="106" spans="1:35" ht="36.75" x14ac:dyDescent="0.25">
      <c r="A106" s="9" t="s">
        <v>151</v>
      </c>
      <c r="B106" s="19" t="s">
        <v>124</v>
      </c>
      <c r="C106" s="20">
        <v>0.106182</v>
      </c>
      <c r="D106" s="20">
        <v>0.105708</v>
      </c>
      <c r="E106" s="20">
        <v>0.10688499999999999</v>
      </c>
      <c r="F106" s="20">
        <v>0.107719</v>
      </c>
      <c r="G106" s="20">
        <v>0.108011</v>
      </c>
      <c r="H106" s="20">
        <v>0.108223</v>
      </c>
      <c r="I106" s="20">
        <v>0.108365</v>
      </c>
      <c r="J106" s="20">
        <v>0.10863399999999999</v>
      </c>
      <c r="K106" s="20">
        <v>0.109156</v>
      </c>
      <c r="L106" s="20">
        <v>0.110086</v>
      </c>
      <c r="M106" s="20">
        <v>0.11135200000000001</v>
      </c>
      <c r="N106" s="20">
        <v>0.11230999999999999</v>
      </c>
      <c r="O106" s="20">
        <v>0.113578</v>
      </c>
      <c r="P106" s="20">
        <v>0.114638</v>
      </c>
      <c r="Q106" s="20">
        <v>0.115674</v>
      </c>
      <c r="R106" s="20">
        <v>0.11642</v>
      </c>
      <c r="S106" s="20">
        <v>0.11692900000000001</v>
      </c>
      <c r="T106" s="20">
        <v>0.117383</v>
      </c>
      <c r="U106" s="20">
        <v>0.11802600000000001</v>
      </c>
      <c r="V106" s="20">
        <v>0.11879199999999999</v>
      </c>
      <c r="W106" s="20">
        <v>0.11981600000000001</v>
      </c>
      <c r="X106" s="20">
        <v>0.1207</v>
      </c>
      <c r="Y106" s="20">
        <v>0.12163400000000001</v>
      </c>
      <c r="Z106" s="20">
        <v>0.12264</v>
      </c>
      <c r="AA106" s="20">
        <v>0.123317</v>
      </c>
      <c r="AB106" s="20">
        <v>0.124087</v>
      </c>
      <c r="AC106" s="20">
        <v>0.124877</v>
      </c>
      <c r="AD106" s="20">
        <v>0.12554000000000001</v>
      </c>
      <c r="AE106" s="20">
        <v>0.126277</v>
      </c>
      <c r="AF106" s="21">
        <v>6.2090000000000001E-3</v>
      </c>
      <c r="AG106" s="10"/>
      <c r="AI106" s="5"/>
    </row>
    <row r="107" spans="1:35" ht="36.75" x14ac:dyDescent="0.25">
      <c r="A107" s="9" t="s">
        <v>152</v>
      </c>
      <c r="B107" s="19" t="s">
        <v>126</v>
      </c>
      <c r="C107" s="20">
        <v>7.8223000000000001E-2</v>
      </c>
      <c r="D107" s="20">
        <v>7.8455999999999998E-2</v>
      </c>
      <c r="E107" s="20">
        <v>7.9879000000000006E-2</v>
      </c>
      <c r="F107" s="20">
        <v>8.1015000000000004E-2</v>
      </c>
      <c r="G107" s="20">
        <v>8.1703999999999999E-2</v>
      </c>
      <c r="H107" s="20">
        <v>8.2288E-2</v>
      </c>
      <c r="I107" s="20">
        <v>8.2902000000000003E-2</v>
      </c>
      <c r="J107" s="20">
        <v>8.3697999999999995E-2</v>
      </c>
      <c r="K107" s="20">
        <v>8.4734000000000004E-2</v>
      </c>
      <c r="L107" s="20">
        <v>8.6179000000000006E-2</v>
      </c>
      <c r="M107" s="20">
        <v>8.7991E-2</v>
      </c>
      <c r="N107" s="20">
        <v>8.9672000000000002E-2</v>
      </c>
      <c r="O107" s="20">
        <v>9.1721999999999998E-2</v>
      </c>
      <c r="P107" s="20">
        <v>9.3600000000000003E-2</v>
      </c>
      <c r="Q107" s="20">
        <v>9.5455999999999999E-2</v>
      </c>
      <c r="R107" s="20">
        <v>9.7072000000000006E-2</v>
      </c>
      <c r="S107" s="20">
        <v>9.8484000000000002E-2</v>
      </c>
      <c r="T107" s="20">
        <v>9.9843000000000001E-2</v>
      </c>
      <c r="U107" s="20">
        <v>0.101357</v>
      </c>
      <c r="V107" s="20">
        <v>0.102973</v>
      </c>
      <c r="W107" s="20">
        <v>0.104813</v>
      </c>
      <c r="X107" s="20">
        <v>0.106531</v>
      </c>
      <c r="Y107" s="20">
        <v>0.108293</v>
      </c>
      <c r="Z107" s="20">
        <v>0.110121</v>
      </c>
      <c r="AA107" s="20">
        <v>0.111651</v>
      </c>
      <c r="AB107" s="20">
        <v>0.11326</v>
      </c>
      <c r="AC107" s="20">
        <v>0.114884</v>
      </c>
      <c r="AD107" s="20">
        <v>0.116387</v>
      </c>
      <c r="AE107" s="20">
        <v>0.117952</v>
      </c>
      <c r="AF107" s="21">
        <v>1.4777E-2</v>
      </c>
      <c r="AG107" s="10"/>
      <c r="AI107" s="5"/>
    </row>
    <row r="108" spans="1:35" ht="72.75" x14ac:dyDescent="0.25">
      <c r="A108" s="9" t="s">
        <v>153</v>
      </c>
      <c r="B108" s="19" t="s">
        <v>128</v>
      </c>
      <c r="C108" s="20">
        <v>0.52424099999999996</v>
      </c>
      <c r="D108" s="20">
        <v>0.50756000000000001</v>
      </c>
      <c r="E108" s="20">
        <v>0.49981199999999998</v>
      </c>
      <c r="F108" s="20">
        <v>0.49174499999999999</v>
      </c>
      <c r="G108" s="20">
        <v>0.48112700000000003</v>
      </c>
      <c r="H108" s="20">
        <v>0.47011500000000001</v>
      </c>
      <c r="I108" s="20">
        <v>0.45847399999999999</v>
      </c>
      <c r="J108" s="20">
        <v>0.44717800000000002</v>
      </c>
      <c r="K108" s="20">
        <v>0.43663000000000002</v>
      </c>
      <c r="L108" s="20">
        <v>0.42787199999999997</v>
      </c>
      <c r="M108" s="20">
        <v>0.42068299999999997</v>
      </c>
      <c r="N108" s="20">
        <v>0.41233599999999998</v>
      </c>
      <c r="O108" s="20">
        <v>0.40550199999999997</v>
      </c>
      <c r="P108" s="20">
        <v>0.39916000000000001</v>
      </c>
      <c r="Q108" s="20">
        <v>0.39354099999999997</v>
      </c>
      <c r="R108" s="20">
        <v>0.38753900000000002</v>
      </c>
      <c r="S108" s="20">
        <v>0.381106</v>
      </c>
      <c r="T108" s="20">
        <v>0.37523499999999999</v>
      </c>
      <c r="U108" s="20">
        <v>0.37079299999999998</v>
      </c>
      <c r="V108" s="20">
        <v>0.36753000000000002</v>
      </c>
      <c r="W108" s="20">
        <v>0.36592000000000002</v>
      </c>
      <c r="X108" s="20">
        <v>0.36459000000000003</v>
      </c>
      <c r="Y108" s="20">
        <v>0.36407099999999998</v>
      </c>
      <c r="Z108" s="20">
        <v>0.36441600000000002</v>
      </c>
      <c r="AA108" s="20">
        <v>0.36443900000000001</v>
      </c>
      <c r="AB108" s="20">
        <v>0.36532999999999999</v>
      </c>
      <c r="AC108" s="20">
        <v>0.36663499999999999</v>
      </c>
      <c r="AD108" s="20">
        <v>0.36802099999999999</v>
      </c>
      <c r="AE108" s="20">
        <v>0.37015199999999998</v>
      </c>
      <c r="AF108" s="21">
        <v>-1.2352999999999999E-2</v>
      </c>
      <c r="AG108" s="10"/>
      <c r="AI108" s="5"/>
    </row>
    <row r="109" spans="1:35" ht="72.75" x14ac:dyDescent="0.25">
      <c r="A109" s="9" t="s">
        <v>154</v>
      </c>
      <c r="B109" s="19" t="s">
        <v>130</v>
      </c>
      <c r="C109" s="20">
        <v>0.34017799999999998</v>
      </c>
      <c r="D109" s="20">
        <v>0.33145000000000002</v>
      </c>
      <c r="E109" s="20">
        <v>0.32766200000000001</v>
      </c>
      <c r="F109" s="20">
        <v>0.32289099999999998</v>
      </c>
      <c r="G109" s="20">
        <v>0.31572299999999998</v>
      </c>
      <c r="H109" s="20">
        <v>0.30760500000000002</v>
      </c>
      <c r="I109" s="20">
        <v>0.29849799999999999</v>
      </c>
      <c r="J109" s="20">
        <v>0.28910400000000003</v>
      </c>
      <c r="K109" s="20">
        <v>0.27981200000000001</v>
      </c>
      <c r="L109" s="20">
        <v>0.27127299999999999</v>
      </c>
      <c r="M109" s="20">
        <v>0.26343899999999998</v>
      </c>
      <c r="N109" s="20">
        <v>0.25463999999999998</v>
      </c>
      <c r="O109" s="20">
        <v>0.24659700000000001</v>
      </c>
      <c r="P109" s="20">
        <v>0.23866799999999999</v>
      </c>
      <c r="Q109" s="20">
        <v>0.23112199999999999</v>
      </c>
      <c r="R109" s="20">
        <v>0.22326399999999999</v>
      </c>
      <c r="S109" s="20">
        <v>0.215225</v>
      </c>
      <c r="T109" s="20">
        <v>0.20760400000000001</v>
      </c>
      <c r="U109" s="20">
        <v>0.20091200000000001</v>
      </c>
      <c r="V109" s="20">
        <v>0.19502900000000001</v>
      </c>
      <c r="W109" s="20">
        <v>0.190272</v>
      </c>
      <c r="X109" s="20">
        <v>0.18592</v>
      </c>
      <c r="Y109" s="20">
        <v>0.18232200000000001</v>
      </c>
      <c r="Z109" s="20">
        <v>0.17945700000000001</v>
      </c>
      <c r="AA109" s="20">
        <v>0.17699999999999999</v>
      </c>
      <c r="AB109" s="20">
        <v>0.17538599999999999</v>
      </c>
      <c r="AC109" s="20">
        <v>0.174376</v>
      </c>
      <c r="AD109" s="20">
        <v>0.17383799999999999</v>
      </c>
      <c r="AE109" s="20">
        <v>0.17397000000000001</v>
      </c>
      <c r="AF109" s="21">
        <v>-2.3664999999999999E-2</v>
      </c>
      <c r="AG109" s="10"/>
      <c r="AI109" s="5"/>
    </row>
    <row r="110" spans="1:35" ht="60.75" x14ac:dyDescent="0.25">
      <c r="A110" s="9" t="s">
        <v>155</v>
      </c>
      <c r="B110" s="19" t="s">
        <v>132</v>
      </c>
      <c r="C110" s="20">
        <v>0.25257299999999999</v>
      </c>
      <c r="D110" s="20">
        <v>0.24671000000000001</v>
      </c>
      <c r="E110" s="20">
        <v>0.22173100000000001</v>
      </c>
      <c r="F110" s="20">
        <v>0.22417599999999999</v>
      </c>
      <c r="G110" s="20">
        <v>0.225276</v>
      </c>
      <c r="H110" s="20">
        <v>0.225825</v>
      </c>
      <c r="I110" s="20">
        <v>0.22562099999999999</v>
      </c>
      <c r="J110" s="20">
        <v>0.22486900000000001</v>
      </c>
      <c r="K110" s="20">
        <v>0.22392599999999999</v>
      </c>
      <c r="L110" s="20">
        <v>0.22317799999999999</v>
      </c>
      <c r="M110" s="20">
        <v>0.22254199999999999</v>
      </c>
      <c r="N110" s="20">
        <v>0.22076200000000001</v>
      </c>
      <c r="O110" s="20">
        <v>0.21889700000000001</v>
      </c>
      <c r="P110" s="20">
        <v>0.21618299999999999</v>
      </c>
      <c r="Q110" s="20">
        <v>0.21316199999999999</v>
      </c>
      <c r="R110" s="20">
        <v>0.20943300000000001</v>
      </c>
      <c r="S110" s="20">
        <v>0.20494000000000001</v>
      </c>
      <c r="T110" s="20">
        <v>0.200434</v>
      </c>
      <c r="U110" s="20">
        <v>0.196406</v>
      </c>
      <c r="V110" s="20">
        <v>0.19278899999999999</v>
      </c>
      <c r="W110" s="20">
        <v>0.189775</v>
      </c>
      <c r="X110" s="20">
        <v>0.18689</v>
      </c>
      <c r="Y110" s="20">
        <v>0.18443599999999999</v>
      </c>
      <c r="Z110" s="20">
        <v>0.182334</v>
      </c>
      <c r="AA110" s="20">
        <v>0.17981900000000001</v>
      </c>
      <c r="AB110" s="20">
        <v>0.17780699999999999</v>
      </c>
      <c r="AC110" s="20">
        <v>0.17621899999999999</v>
      </c>
      <c r="AD110" s="20">
        <v>0.17477599999999999</v>
      </c>
      <c r="AE110" s="20">
        <v>0.173677</v>
      </c>
      <c r="AF110" s="21">
        <v>-1.3285999999999999E-2</v>
      </c>
      <c r="AG110" s="10"/>
      <c r="AI110" s="5"/>
    </row>
    <row r="111" spans="1:35" ht="24.75" x14ac:dyDescent="0.25">
      <c r="A111" s="9" t="s">
        <v>156</v>
      </c>
      <c r="B111" s="19" t="s">
        <v>134</v>
      </c>
      <c r="C111" s="20">
        <v>5.2054660000000004</v>
      </c>
      <c r="D111" s="20">
        <v>5.2792649999999997</v>
      </c>
      <c r="E111" s="20">
        <v>5.3680680000000001</v>
      </c>
      <c r="F111" s="20">
        <v>5.4667950000000003</v>
      </c>
      <c r="G111" s="20">
        <v>5.5393330000000001</v>
      </c>
      <c r="H111" s="20">
        <v>5.6196859999999997</v>
      </c>
      <c r="I111" s="20">
        <v>5.6796139999999999</v>
      </c>
      <c r="J111" s="20">
        <v>5.7321720000000003</v>
      </c>
      <c r="K111" s="20">
        <v>5.7932949999999996</v>
      </c>
      <c r="L111" s="20">
        <v>5.8741300000000001</v>
      </c>
      <c r="M111" s="20">
        <v>5.9726720000000002</v>
      </c>
      <c r="N111" s="20">
        <v>6.0554870000000003</v>
      </c>
      <c r="O111" s="20">
        <v>6.1483489999999996</v>
      </c>
      <c r="P111" s="20">
        <v>6.2413259999999999</v>
      </c>
      <c r="Q111" s="20">
        <v>6.3396559999999997</v>
      </c>
      <c r="R111" s="20">
        <v>6.4296220000000002</v>
      </c>
      <c r="S111" s="20">
        <v>6.5040570000000004</v>
      </c>
      <c r="T111" s="20">
        <v>6.5783399999999999</v>
      </c>
      <c r="U111" s="20">
        <v>6.6683149999999998</v>
      </c>
      <c r="V111" s="20">
        <v>6.7671700000000001</v>
      </c>
      <c r="W111" s="20">
        <v>6.8881180000000004</v>
      </c>
      <c r="X111" s="20">
        <v>7.0062930000000003</v>
      </c>
      <c r="Y111" s="20">
        <v>7.1321969999999997</v>
      </c>
      <c r="Z111" s="20">
        <v>7.2672169999999996</v>
      </c>
      <c r="AA111" s="20">
        <v>7.3884829999999999</v>
      </c>
      <c r="AB111" s="20">
        <v>7.5214470000000002</v>
      </c>
      <c r="AC111" s="20">
        <v>7.6591680000000002</v>
      </c>
      <c r="AD111" s="20">
        <v>7.7947930000000003</v>
      </c>
      <c r="AE111" s="20">
        <v>7.9456879999999996</v>
      </c>
      <c r="AF111" s="21">
        <v>1.5219E-2</v>
      </c>
      <c r="AG111" s="10"/>
      <c r="AI111" s="5"/>
    </row>
    <row r="112" spans="1:35" ht="60.75" x14ac:dyDescent="0.25">
      <c r="A112" s="9" t="s">
        <v>157</v>
      </c>
      <c r="B112" s="18" t="s">
        <v>158</v>
      </c>
      <c r="C112" s="32">
        <v>21.508896</v>
      </c>
      <c r="D112" s="32">
        <v>21.121822000000002</v>
      </c>
      <c r="E112" s="32">
        <v>20.988358000000002</v>
      </c>
      <c r="F112" s="32">
        <v>21.127586000000001</v>
      </c>
      <c r="G112" s="32">
        <v>21.191535999999999</v>
      </c>
      <c r="H112" s="32">
        <v>21.249516</v>
      </c>
      <c r="I112" s="32">
        <v>21.267403000000002</v>
      </c>
      <c r="J112" s="32">
        <v>21.267963000000002</v>
      </c>
      <c r="K112" s="32">
        <v>21.269732999999999</v>
      </c>
      <c r="L112" s="32">
        <v>21.316433</v>
      </c>
      <c r="M112" s="32">
        <v>21.412941</v>
      </c>
      <c r="N112" s="32">
        <v>21.481677999999999</v>
      </c>
      <c r="O112" s="32">
        <v>21.587553</v>
      </c>
      <c r="P112" s="32">
        <v>21.698273</v>
      </c>
      <c r="Q112" s="32">
        <v>21.825367</v>
      </c>
      <c r="R112" s="32">
        <v>21.926689</v>
      </c>
      <c r="S112" s="32">
        <v>21.989027</v>
      </c>
      <c r="T112" s="32">
        <v>22.053360000000001</v>
      </c>
      <c r="U112" s="32">
        <v>22.145949999999999</v>
      </c>
      <c r="V112" s="32">
        <v>22.265259</v>
      </c>
      <c r="W112" s="32">
        <v>22.438521999999999</v>
      </c>
      <c r="X112" s="32">
        <v>22.608433000000002</v>
      </c>
      <c r="Y112" s="32">
        <v>22.800034</v>
      </c>
      <c r="Z112" s="32">
        <v>23.011658000000001</v>
      </c>
      <c r="AA112" s="32">
        <v>23.186775000000001</v>
      </c>
      <c r="AB112" s="32">
        <v>23.391161</v>
      </c>
      <c r="AC112" s="32">
        <v>23.609210999999998</v>
      </c>
      <c r="AD112" s="32">
        <v>23.818702999999999</v>
      </c>
      <c r="AE112" s="32">
        <v>24.056145000000001</v>
      </c>
      <c r="AF112" s="33">
        <v>4.0049999999999999E-3</v>
      </c>
      <c r="AG112" s="10"/>
      <c r="AI112" s="5"/>
    </row>
    <row r="113" spans="1:35" ht="48.75" x14ac:dyDescent="0.25">
      <c r="A113" s="9" t="s">
        <v>159</v>
      </c>
      <c r="B113" s="19" t="s">
        <v>160</v>
      </c>
      <c r="C113" s="20">
        <v>0.112023</v>
      </c>
      <c r="D113" s="20">
        <v>0.123458</v>
      </c>
      <c r="E113" s="20">
        <v>0.13652900000000001</v>
      </c>
      <c r="F113" s="20">
        <v>0.14977699999999999</v>
      </c>
      <c r="G113" s="20">
        <v>0.16300899999999999</v>
      </c>
      <c r="H113" s="20">
        <v>0.17658499999999999</v>
      </c>
      <c r="I113" s="20">
        <v>0.19053</v>
      </c>
      <c r="J113" s="20">
        <v>0.20494499999999999</v>
      </c>
      <c r="K113" s="20">
        <v>0.21981999999999999</v>
      </c>
      <c r="L113" s="20">
        <v>0.23524600000000001</v>
      </c>
      <c r="M113" s="20">
        <v>0.25148999999999999</v>
      </c>
      <c r="N113" s="20">
        <v>0.26793699999999998</v>
      </c>
      <c r="O113" s="20">
        <v>0.28465000000000001</v>
      </c>
      <c r="P113" s="20">
        <v>0.29947400000000002</v>
      </c>
      <c r="Q113" s="20">
        <v>0.31491799999999998</v>
      </c>
      <c r="R113" s="20">
        <v>0.33096799999999998</v>
      </c>
      <c r="S113" s="20">
        <v>0.34801199999999999</v>
      </c>
      <c r="T113" s="20">
        <v>0.36618699999999998</v>
      </c>
      <c r="U113" s="20">
        <v>0.38540000000000002</v>
      </c>
      <c r="V113" s="20">
        <v>0.40570899999999999</v>
      </c>
      <c r="W113" s="20">
        <v>0.427124</v>
      </c>
      <c r="X113" s="20">
        <v>0.44966</v>
      </c>
      <c r="Y113" s="20">
        <v>0.47307100000000002</v>
      </c>
      <c r="Z113" s="20">
        <v>0.49757400000000002</v>
      </c>
      <c r="AA113" s="20">
        <v>0.52299700000000005</v>
      </c>
      <c r="AB113" s="20">
        <v>0.54935500000000004</v>
      </c>
      <c r="AC113" s="20">
        <v>0.57694599999999996</v>
      </c>
      <c r="AD113" s="20">
        <v>0.60526800000000003</v>
      </c>
      <c r="AE113" s="20">
        <v>0.63452399999999998</v>
      </c>
      <c r="AF113" s="21">
        <v>6.3893000000000005E-2</v>
      </c>
      <c r="AG113" s="10"/>
    </row>
    <row r="114" spans="1:35" ht="36.75" x14ac:dyDescent="0.25">
      <c r="A114" s="9" t="s">
        <v>161</v>
      </c>
      <c r="B114" s="18" t="s">
        <v>5</v>
      </c>
      <c r="C114" s="22">
        <v>21.396872999999999</v>
      </c>
      <c r="D114" s="22">
        <v>20.998363000000001</v>
      </c>
      <c r="E114" s="22">
        <v>20.851828000000001</v>
      </c>
      <c r="F114" s="22">
        <v>20.977810000000002</v>
      </c>
      <c r="G114" s="22">
        <v>21.028528000000001</v>
      </c>
      <c r="H114" s="22">
        <v>21.072931000000001</v>
      </c>
      <c r="I114" s="22">
        <v>21.076872000000002</v>
      </c>
      <c r="J114" s="22">
        <v>21.063019000000001</v>
      </c>
      <c r="K114" s="22">
        <v>21.049913</v>
      </c>
      <c r="L114" s="22">
        <v>21.081185999999999</v>
      </c>
      <c r="M114" s="22">
        <v>21.161451</v>
      </c>
      <c r="N114" s="22">
        <v>21.213740999999999</v>
      </c>
      <c r="O114" s="22">
        <v>21.302902</v>
      </c>
      <c r="P114" s="22">
        <v>21.398797999999999</v>
      </c>
      <c r="Q114" s="22">
        <v>21.510448</v>
      </c>
      <c r="R114" s="22">
        <v>21.59572</v>
      </c>
      <c r="S114" s="22">
        <v>21.641013999999998</v>
      </c>
      <c r="T114" s="22">
        <v>21.687172</v>
      </c>
      <c r="U114" s="22">
        <v>21.760549999999999</v>
      </c>
      <c r="V114" s="22">
        <v>21.859549000000001</v>
      </c>
      <c r="W114" s="22">
        <v>22.011398</v>
      </c>
      <c r="X114" s="22">
        <v>22.158773</v>
      </c>
      <c r="Y114" s="22">
        <v>22.326962999999999</v>
      </c>
      <c r="Z114" s="22">
        <v>22.514084</v>
      </c>
      <c r="AA114" s="22">
        <v>22.663778000000001</v>
      </c>
      <c r="AB114" s="22">
        <v>22.841805999999998</v>
      </c>
      <c r="AC114" s="22">
        <v>23.032264999999999</v>
      </c>
      <c r="AD114" s="22">
        <v>23.213433999999999</v>
      </c>
      <c r="AE114" s="22">
        <v>23.421619</v>
      </c>
      <c r="AF114" s="23">
        <v>3.2339999999999999E-3</v>
      </c>
      <c r="AG114" s="10"/>
      <c r="AI114" s="5"/>
    </row>
    <row r="115" spans="1:35" x14ac:dyDescent="0.25">
      <c r="A115" s="6"/>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I115" s="5"/>
    </row>
    <row r="116" spans="1:35" ht="48.75" x14ac:dyDescent="0.25">
      <c r="A116" s="6"/>
      <c r="B116" s="18" t="s">
        <v>162</v>
      </c>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I116" s="5"/>
    </row>
    <row r="117" spans="1:35" ht="48.75" x14ac:dyDescent="0.25">
      <c r="A117" s="9" t="s">
        <v>163</v>
      </c>
      <c r="B117" s="19" t="s">
        <v>164</v>
      </c>
      <c r="C117" s="20">
        <v>1.4845000000000001E-2</v>
      </c>
      <c r="D117" s="20">
        <v>1.5337E-2</v>
      </c>
      <c r="E117" s="20">
        <v>1.7392999999999999E-2</v>
      </c>
      <c r="F117" s="20">
        <v>1.9101E-2</v>
      </c>
      <c r="G117" s="20">
        <v>2.0705000000000001E-2</v>
      </c>
      <c r="H117" s="20">
        <v>2.2252999999999998E-2</v>
      </c>
      <c r="I117" s="20">
        <v>2.3747000000000001E-2</v>
      </c>
      <c r="J117" s="20">
        <v>2.5304E-2</v>
      </c>
      <c r="K117" s="20">
        <v>2.6698E-2</v>
      </c>
      <c r="L117" s="20">
        <v>2.8160000000000001E-2</v>
      </c>
      <c r="M117" s="20">
        <v>2.9547E-2</v>
      </c>
      <c r="N117" s="20">
        <v>3.0886E-2</v>
      </c>
      <c r="O117" s="20">
        <v>3.2044999999999997E-2</v>
      </c>
      <c r="P117" s="20">
        <v>3.2747999999999999E-2</v>
      </c>
      <c r="Q117" s="20">
        <v>3.3270000000000001E-2</v>
      </c>
      <c r="R117" s="20">
        <v>3.3674000000000003E-2</v>
      </c>
      <c r="S117" s="20">
        <v>3.3866E-2</v>
      </c>
      <c r="T117" s="20">
        <v>3.424E-2</v>
      </c>
      <c r="U117" s="20">
        <v>3.4597999999999997E-2</v>
      </c>
      <c r="V117" s="20">
        <v>3.5140999999999999E-2</v>
      </c>
      <c r="W117" s="20">
        <v>3.5660999999999998E-2</v>
      </c>
      <c r="X117" s="20">
        <v>3.6152999999999998E-2</v>
      </c>
      <c r="Y117" s="20">
        <v>3.6614000000000001E-2</v>
      </c>
      <c r="Z117" s="20">
        <v>3.7157999999999997E-2</v>
      </c>
      <c r="AA117" s="20">
        <v>3.7769999999999998E-2</v>
      </c>
      <c r="AB117" s="20">
        <v>3.8505999999999999E-2</v>
      </c>
      <c r="AC117" s="20">
        <v>3.9142999999999997E-2</v>
      </c>
      <c r="AD117" s="20">
        <v>3.9898999999999997E-2</v>
      </c>
      <c r="AE117" s="20">
        <v>4.0578000000000003E-2</v>
      </c>
      <c r="AF117" s="21">
        <v>3.6565E-2</v>
      </c>
      <c r="AG117" s="10"/>
      <c r="AI117" s="5"/>
    </row>
    <row r="118" spans="1:35" ht="36.75" x14ac:dyDescent="0.25">
      <c r="A118" s="9" t="s">
        <v>165</v>
      </c>
      <c r="B118" s="19" t="s">
        <v>166</v>
      </c>
      <c r="C118" s="20">
        <v>5.7070999999999997E-2</v>
      </c>
      <c r="D118" s="20">
        <v>6.5246999999999999E-2</v>
      </c>
      <c r="E118" s="20">
        <v>7.4490000000000001E-2</v>
      </c>
      <c r="F118" s="20">
        <v>8.2332000000000002E-2</v>
      </c>
      <c r="G118" s="20">
        <v>8.9647000000000004E-2</v>
      </c>
      <c r="H118" s="20">
        <v>9.6698999999999993E-2</v>
      </c>
      <c r="I118" s="20">
        <v>0.103424</v>
      </c>
      <c r="J118" s="20">
        <v>0.110056</v>
      </c>
      <c r="K118" s="20">
        <v>0.11708300000000001</v>
      </c>
      <c r="L118" s="20">
        <v>0.1244</v>
      </c>
      <c r="M118" s="20">
        <v>0.13175400000000001</v>
      </c>
      <c r="N118" s="20">
        <v>0.136737</v>
      </c>
      <c r="O118" s="20">
        <v>0.13999400000000001</v>
      </c>
      <c r="P118" s="20">
        <v>0.13961699999999999</v>
      </c>
      <c r="Q118" s="20">
        <v>0.13946500000000001</v>
      </c>
      <c r="R118" s="20">
        <v>0.13922100000000001</v>
      </c>
      <c r="S118" s="20">
        <v>0.13922000000000001</v>
      </c>
      <c r="T118" s="20">
        <v>0.139213</v>
      </c>
      <c r="U118" s="20">
        <v>0.139127</v>
      </c>
      <c r="V118" s="20">
        <v>0.139539</v>
      </c>
      <c r="W118" s="20">
        <v>0.13955999999999999</v>
      </c>
      <c r="X118" s="20">
        <v>0.13979800000000001</v>
      </c>
      <c r="Y118" s="20">
        <v>0.139983</v>
      </c>
      <c r="Z118" s="20">
        <v>0.14035800000000001</v>
      </c>
      <c r="AA118" s="20">
        <v>0.140489</v>
      </c>
      <c r="AB118" s="20">
        <v>0.140678</v>
      </c>
      <c r="AC118" s="20">
        <v>0.140518</v>
      </c>
      <c r="AD118" s="20">
        <v>0.14077500000000001</v>
      </c>
      <c r="AE118" s="20">
        <v>0.140678</v>
      </c>
      <c r="AF118" s="21">
        <v>3.2745000000000003E-2</v>
      </c>
      <c r="AG118" s="10"/>
      <c r="AI118" s="5"/>
    </row>
    <row r="119" spans="1:35" ht="36.75" x14ac:dyDescent="0.25">
      <c r="A119" s="9" t="s">
        <v>167</v>
      </c>
      <c r="B119" s="19" t="s">
        <v>168</v>
      </c>
      <c r="C119" s="20">
        <v>0.32074200000000003</v>
      </c>
      <c r="D119" s="20">
        <v>0.35317799999999999</v>
      </c>
      <c r="E119" s="20">
        <v>0.39725199999999999</v>
      </c>
      <c r="F119" s="20">
        <v>0.43442599999999998</v>
      </c>
      <c r="G119" s="20">
        <v>0.47073300000000001</v>
      </c>
      <c r="H119" s="20">
        <v>0.50977799999999995</v>
      </c>
      <c r="I119" s="20">
        <v>0.54817300000000002</v>
      </c>
      <c r="J119" s="20">
        <v>0.58955800000000003</v>
      </c>
      <c r="K119" s="20">
        <v>0.63500900000000005</v>
      </c>
      <c r="L119" s="20">
        <v>0.682952</v>
      </c>
      <c r="M119" s="20">
        <v>0.73329999999999995</v>
      </c>
      <c r="N119" s="20">
        <v>0.78193000000000001</v>
      </c>
      <c r="O119" s="20">
        <v>0.83591400000000005</v>
      </c>
      <c r="P119" s="20">
        <v>0.88302199999999997</v>
      </c>
      <c r="Q119" s="20">
        <v>0.92925899999999995</v>
      </c>
      <c r="R119" s="20">
        <v>0.97457099999999997</v>
      </c>
      <c r="S119" s="20">
        <v>1.022575</v>
      </c>
      <c r="T119" s="20">
        <v>1.0770759999999999</v>
      </c>
      <c r="U119" s="20">
        <v>1.132468</v>
      </c>
      <c r="V119" s="20">
        <v>1.1976089999999999</v>
      </c>
      <c r="W119" s="20">
        <v>1.2617700000000001</v>
      </c>
      <c r="X119" s="20">
        <v>1.3309089999999999</v>
      </c>
      <c r="Y119" s="20">
        <v>1.4054310000000001</v>
      </c>
      <c r="Z119" s="20">
        <v>1.4835309999999999</v>
      </c>
      <c r="AA119" s="20">
        <v>1.559299</v>
      </c>
      <c r="AB119" s="20">
        <v>1.639516</v>
      </c>
      <c r="AC119" s="20">
        <v>1.7206680000000001</v>
      </c>
      <c r="AD119" s="20">
        <v>1.8081609999999999</v>
      </c>
      <c r="AE119" s="20">
        <v>1.890247</v>
      </c>
      <c r="AF119" s="21">
        <v>6.5401000000000001E-2</v>
      </c>
      <c r="AG119" s="10"/>
      <c r="AI119" s="5"/>
    </row>
    <row r="120" spans="1:35" x14ac:dyDescent="0.25">
      <c r="A120" s="9" t="s">
        <v>169</v>
      </c>
      <c r="B120" s="19" t="s">
        <v>170</v>
      </c>
      <c r="C120" s="20">
        <v>5.6099999999999998E-4</v>
      </c>
      <c r="D120" s="20">
        <v>6.0300000000000002E-4</v>
      </c>
      <c r="E120" s="20">
        <v>6.5899999999999997E-4</v>
      </c>
      <c r="F120" s="20">
        <v>7.0500000000000001E-4</v>
      </c>
      <c r="G120" s="20">
        <v>7.4799999999999997E-4</v>
      </c>
      <c r="H120" s="20">
        <v>8.0099999999999995E-4</v>
      </c>
      <c r="I120" s="20">
        <v>8.5400000000000005E-4</v>
      </c>
      <c r="J120" s="20">
        <v>9.0700000000000004E-4</v>
      </c>
      <c r="K120" s="20">
        <v>9.6000000000000002E-4</v>
      </c>
      <c r="L120" s="20">
        <v>1.0169999999999999E-3</v>
      </c>
      <c r="M120" s="20">
        <v>1.072E-3</v>
      </c>
      <c r="N120" s="20">
        <v>1.122E-3</v>
      </c>
      <c r="O120" s="20">
        <v>1.122E-3</v>
      </c>
      <c r="P120" s="20">
        <v>1.127E-3</v>
      </c>
      <c r="Q120" s="20">
        <v>1.126E-3</v>
      </c>
      <c r="R120" s="20">
        <v>1.1280000000000001E-3</v>
      </c>
      <c r="S120" s="20">
        <v>1.1280000000000001E-3</v>
      </c>
      <c r="T120" s="20">
        <v>1.1299999999999999E-3</v>
      </c>
      <c r="U120" s="20">
        <v>1.1349999999999999E-3</v>
      </c>
      <c r="V120" s="20">
        <v>1.1440000000000001E-3</v>
      </c>
      <c r="W120" s="20">
        <v>1.1460000000000001E-3</v>
      </c>
      <c r="X120" s="20">
        <v>1.1540000000000001E-3</v>
      </c>
      <c r="Y120" s="20">
        <v>1.1620000000000001E-3</v>
      </c>
      <c r="Z120" s="20">
        <v>1.17E-3</v>
      </c>
      <c r="AA120" s="20">
        <v>1.1770000000000001E-3</v>
      </c>
      <c r="AB120" s="20">
        <v>1.183E-3</v>
      </c>
      <c r="AC120" s="20">
        <v>1.1869999999999999E-3</v>
      </c>
      <c r="AD120" s="20">
        <v>1.194E-3</v>
      </c>
      <c r="AE120" s="20">
        <v>1.1919999999999999E-3</v>
      </c>
      <c r="AF120" s="21">
        <v>2.7265000000000001E-2</v>
      </c>
      <c r="AG120" s="10"/>
      <c r="AI120" s="5"/>
    </row>
    <row r="121" spans="1:35" x14ac:dyDescent="0.25">
      <c r="A121" s="9" t="s">
        <v>171</v>
      </c>
      <c r="B121" s="18" t="s">
        <v>172</v>
      </c>
      <c r="C121" s="22">
        <v>0.39321899999999999</v>
      </c>
      <c r="D121" s="22">
        <v>0.43436599999999997</v>
      </c>
      <c r="E121" s="22">
        <v>0.48979299999999998</v>
      </c>
      <c r="F121" s="22">
        <v>0.53656400000000004</v>
      </c>
      <c r="G121" s="22">
        <v>0.58183300000000004</v>
      </c>
      <c r="H121" s="22">
        <v>0.62953099999999995</v>
      </c>
      <c r="I121" s="22">
        <v>0.67619799999999997</v>
      </c>
      <c r="J121" s="22">
        <v>0.72582400000000002</v>
      </c>
      <c r="K121" s="22">
        <v>0.77975099999999997</v>
      </c>
      <c r="L121" s="22">
        <v>0.83652899999999997</v>
      </c>
      <c r="M121" s="22">
        <v>0.89567300000000005</v>
      </c>
      <c r="N121" s="22">
        <v>0.95067500000000005</v>
      </c>
      <c r="O121" s="22">
        <v>1.0090749999999999</v>
      </c>
      <c r="P121" s="22">
        <v>1.056513</v>
      </c>
      <c r="Q121" s="22">
        <v>1.103119</v>
      </c>
      <c r="R121" s="22">
        <v>1.148593</v>
      </c>
      <c r="S121" s="22">
        <v>1.1967890000000001</v>
      </c>
      <c r="T121" s="22">
        <v>1.2516590000000001</v>
      </c>
      <c r="U121" s="22">
        <v>1.307328</v>
      </c>
      <c r="V121" s="22">
        <v>1.3734329999999999</v>
      </c>
      <c r="W121" s="22">
        <v>1.438137</v>
      </c>
      <c r="X121" s="22">
        <v>1.508014</v>
      </c>
      <c r="Y121" s="22">
        <v>1.5831900000000001</v>
      </c>
      <c r="Z121" s="22">
        <v>1.662218</v>
      </c>
      <c r="AA121" s="22">
        <v>1.7387349999999999</v>
      </c>
      <c r="AB121" s="22">
        <v>1.8198840000000001</v>
      </c>
      <c r="AC121" s="22">
        <v>1.9015150000000001</v>
      </c>
      <c r="AD121" s="22">
        <v>1.990029</v>
      </c>
      <c r="AE121" s="22">
        <v>2.072695</v>
      </c>
      <c r="AF121" s="23">
        <v>6.1163000000000002E-2</v>
      </c>
      <c r="AG121" s="10"/>
      <c r="AI121" s="5"/>
    </row>
    <row r="122" spans="1:35" x14ac:dyDescent="0.25">
      <c r="A122" s="6"/>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I122" s="5"/>
    </row>
    <row r="123" spans="1:35" ht="36.75" x14ac:dyDescent="0.25">
      <c r="A123" s="6"/>
      <c r="B123" s="18" t="s">
        <v>6</v>
      </c>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I123" s="5"/>
    </row>
    <row r="124" spans="1:35" ht="24.75" x14ac:dyDescent="0.25">
      <c r="A124" s="9" t="s">
        <v>173</v>
      </c>
      <c r="B124" s="19" t="s">
        <v>174</v>
      </c>
      <c r="C124" s="24">
        <v>6198</v>
      </c>
      <c r="D124" s="24">
        <v>6420</v>
      </c>
      <c r="E124" s="24">
        <v>5972</v>
      </c>
      <c r="F124" s="24">
        <v>5949</v>
      </c>
      <c r="G124" s="24">
        <v>5925</v>
      </c>
      <c r="H124" s="24">
        <v>5902</v>
      </c>
      <c r="I124" s="24">
        <v>5878</v>
      </c>
      <c r="J124" s="24">
        <v>5854</v>
      </c>
      <c r="K124" s="24">
        <v>5830</v>
      </c>
      <c r="L124" s="24">
        <v>5807</v>
      </c>
      <c r="M124" s="24">
        <v>5783</v>
      </c>
      <c r="N124" s="24">
        <v>5759</v>
      </c>
      <c r="O124" s="24">
        <v>5735</v>
      </c>
      <c r="P124" s="24">
        <v>5711</v>
      </c>
      <c r="Q124" s="24">
        <v>5687</v>
      </c>
      <c r="R124" s="24">
        <v>5663</v>
      </c>
      <c r="S124" s="24">
        <v>5639</v>
      </c>
      <c r="T124" s="24">
        <v>5615</v>
      </c>
      <c r="U124" s="24">
        <v>5591</v>
      </c>
      <c r="V124" s="24">
        <v>5567</v>
      </c>
      <c r="W124" s="24">
        <v>5543</v>
      </c>
      <c r="X124" s="24">
        <v>5519</v>
      </c>
      <c r="Y124" s="24">
        <v>5495</v>
      </c>
      <c r="Z124" s="24">
        <v>5471</v>
      </c>
      <c r="AA124" s="24">
        <v>5447</v>
      </c>
      <c r="AB124" s="24">
        <v>5423</v>
      </c>
      <c r="AC124" s="24">
        <v>5399</v>
      </c>
      <c r="AD124" s="24">
        <v>5374</v>
      </c>
      <c r="AE124" s="24">
        <v>5350</v>
      </c>
      <c r="AF124" s="21">
        <v>-5.241E-3</v>
      </c>
      <c r="AG124" s="10"/>
    </row>
    <row r="125" spans="1:35" ht="24.75" x14ac:dyDescent="0.25">
      <c r="A125" s="9" t="s">
        <v>175</v>
      </c>
      <c r="B125" s="19" t="s">
        <v>176</v>
      </c>
      <c r="C125" s="24">
        <v>5742</v>
      </c>
      <c r="D125" s="24">
        <v>5779</v>
      </c>
      <c r="E125" s="24">
        <v>5348</v>
      </c>
      <c r="F125" s="24">
        <v>5325</v>
      </c>
      <c r="G125" s="24">
        <v>5303</v>
      </c>
      <c r="H125" s="24">
        <v>5281</v>
      </c>
      <c r="I125" s="24">
        <v>5259</v>
      </c>
      <c r="J125" s="24">
        <v>5236</v>
      </c>
      <c r="K125" s="24">
        <v>5214</v>
      </c>
      <c r="L125" s="24">
        <v>5192</v>
      </c>
      <c r="M125" s="24">
        <v>5169</v>
      </c>
      <c r="N125" s="24">
        <v>5147</v>
      </c>
      <c r="O125" s="24">
        <v>5125</v>
      </c>
      <c r="P125" s="24">
        <v>5102</v>
      </c>
      <c r="Q125" s="24">
        <v>5080</v>
      </c>
      <c r="R125" s="24">
        <v>5058</v>
      </c>
      <c r="S125" s="24">
        <v>5036</v>
      </c>
      <c r="T125" s="24">
        <v>5013</v>
      </c>
      <c r="U125" s="24">
        <v>4991</v>
      </c>
      <c r="V125" s="24">
        <v>4969</v>
      </c>
      <c r="W125" s="24">
        <v>4947</v>
      </c>
      <c r="X125" s="24">
        <v>4924</v>
      </c>
      <c r="Y125" s="24">
        <v>4902</v>
      </c>
      <c r="Z125" s="24">
        <v>4880</v>
      </c>
      <c r="AA125" s="24">
        <v>4858</v>
      </c>
      <c r="AB125" s="24">
        <v>4835</v>
      </c>
      <c r="AC125" s="24">
        <v>4813</v>
      </c>
      <c r="AD125" s="24">
        <v>4791</v>
      </c>
      <c r="AE125" s="24">
        <v>4769</v>
      </c>
      <c r="AF125" s="21">
        <v>-6.6090000000000003E-3</v>
      </c>
      <c r="AG125" s="10"/>
    </row>
    <row r="126" spans="1:35" ht="36.75" x14ac:dyDescent="0.25">
      <c r="A126" s="9" t="s">
        <v>177</v>
      </c>
      <c r="B126" s="19" t="s">
        <v>178</v>
      </c>
      <c r="C126" s="24">
        <v>6427</v>
      </c>
      <c r="D126" s="24">
        <v>6306</v>
      </c>
      <c r="E126" s="24">
        <v>5982</v>
      </c>
      <c r="F126" s="24">
        <v>5967</v>
      </c>
      <c r="G126" s="24">
        <v>5953</v>
      </c>
      <c r="H126" s="24">
        <v>5938</v>
      </c>
      <c r="I126" s="24">
        <v>5923</v>
      </c>
      <c r="J126" s="24">
        <v>5908</v>
      </c>
      <c r="K126" s="24">
        <v>5893</v>
      </c>
      <c r="L126" s="24">
        <v>5879</v>
      </c>
      <c r="M126" s="24">
        <v>5864</v>
      </c>
      <c r="N126" s="24">
        <v>5849</v>
      </c>
      <c r="O126" s="24">
        <v>5834</v>
      </c>
      <c r="P126" s="24">
        <v>5819</v>
      </c>
      <c r="Q126" s="24">
        <v>5804</v>
      </c>
      <c r="R126" s="24">
        <v>5790</v>
      </c>
      <c r="S126" s="24">
        <v>5775</v>
      </c>
      <c r="T126" s="24">
        <v>5760</v>
      </c>
      <c r="U126" s="24">
        <v>5745</v>
      </c>
      <c r="V126" s="24">
        <v>5730</v>
      </c>
      <c r="W126" s="24">
        <v>5715</v>
      </c>
      <c r="X126" s="24">
        <v>5701</v>
      </c>
      <c r="Y126" s="24">
        <v>5686</v>
      </c>
      <c r="Z126" s="24">
        <v>5671</v>
      </c>
      <c r="AA126" s="24">
        <v>5656</v>
      </c>
      <c r="AB126" s="24">
        <v>5641</v>
      </c>
      <c r="AC126" s="24">
        <v>5626</v>
      </c>
      <c r="AD126" s="24">
        <v>5611</v>
      </c>
      <c r="AE126" s="24">
        <v>5597</v>
      </c>
      <c r="AF126" s="21">
        <v>-4.9259999999999998E-3</v>
      </c>
      <c r="AG126" s="10"/>
    </row>
    <row r="127" spans="1:35" ht="36.75" x14ac:dyDescent="0.25">
      <c r="A127" s="9" t="s">
        <v>179</v>
      </c>
      <c r="B127" s="19" t="s">
        <v>180</v>
      </c>
      <c r="C127" s="24">
        <v>6845</v>
      </c>
      <c r="D127" s="24">
        <v>6601</v>
      </c>
      <c r="E127" s="24">
        <v>6349</v>
      </c>
      <c r="F127" s="24">
        <v>6340</v>
      </c>
      <c r="G127" s="24">
        <v>6330</v>
      </c>
      <c r="H127" s="24">
        <v>6321</v>
      </c>
      <c r="I127" s="24">
        <v>6311</v>
      </c>
      <c r="J127" s="24">
        <v>6301</v>
      </c>
      <c r="K127" s="24">
        <v>6291</v>
      </c>
      <c r="L127" s="24">
        <v>6281</v>
      </c>
      <c r="M127" s="24">
        <v>6271</v>
      </c>
      <c r="N127" s="24">
        <v>6261</v>
      </c>
      <c r="O127" s="24">
        <v>6250</v>
      </c>
      <c r="P127" s="24">
        <v>6240</v>
      </c>
      <c r="Q127" s="24">
        <v>6230</v>
      </c>
      <c r="R127" s="24">
        <v>6219</v>
      </c>
      <c r="S127" s="24">
        <v>6209</v>
      </c>
      <c r="T127" s="24">
        <v>6198</v>
      </c>
      <c r="U127" s="24">
        <v>6188</v>
      </c>
      <c r="V127" s="24">
        <v>6177</v>
      </c>
      <c r="W127" s="24">
        <v>6167</v>
      </c>
      <c r="X127" s="24">
        <v>6156</v>
      </c>
      <c r="Y127" s="24">
        <v>6145</v>
      </c>
      <c r="Z127" s="24">
        <v>6135</v>
      </c>
      <c r="AA127" s="24">
        <v>6124</v>
      </c>
      <c r="AB127" s="24">
        <v>6113</v>
      </c>
      <c r="AC127" s="24">
        <v>6103</v>
      </c>
      <c r="AD127" s="24">
        <v>6092</v>
      </c>
      <c r="AE127" s="24">
        <v>6081</v>
      </c>
      <c r="AF127" s="21">
        <v>-4.2180000000000004E-3</v>
      </c>
      <c r="AG127" s="10"/>
    </row>
    <row r="128" spans="1:35" ht="24.75" x14ac:dyDescent="0.25">
      <c r="A128" s="9" t="s">
        <v>181</v>
      </c>
      <c r="B128" s="19" t="s">
        <v>182</v>
      </c>
      <c r="C128" s="24">
        <v>2566</v>
      </c>
      <c r="D128" s="24">
        <v>2600</v>
      </c>
      <c r="E128" s="24">
        <v>2375</v>
      </c>
      <c r="F128" s="24">
        <v>2358</v>
      </c>
      <c r="G128" s="24">
        <v>2342</v>
      </c>
      <c r="H128" s="24">
        <v>2326</v>
      </c>
      <c r="I128" s="24">
        <v>2310</v>
      </c>
      <c r="J128" s="24">
        <v>2294</v>
      </c>
      <c r="K128" s="24">
        <v>2277</v>
      </c>
      <c r="L128" s="24">
        <v>2261</v>
      </c>
      <c r="M128" s="24">
        <v>2245</v>
      </c>
      <c r="N128" s="24">
        <v>2229</v>
      </c>
      <c r="O128" s="24">
        <v>2213</v>
      </c>
      <c r="P128" s="24">
        <v>2197</v>
      </c>
      <c r="Q128" s="24">
        <v>2180</v>
      </c>
      <c r="R128" s="24">
        <v>2164</v>
      </c>
      <c r="S128" s="24">
        <v>2148</v>
      </c>
      <c r="T128" s="24">
        <v>2132</v>
      </c>
      <c r="U128" s="24">
        <v>2116</v>
      </c>
      <c r="V128" s="24">
        <v>2100</v>
      </c>
      <c r="W128" s="24">
        <v>2084</v>
      </c>
      <c r="X128" s="24">
        <v>2068</v>
      </c>
      <c r="Y128" s="24">
        <v>2052</v>
      </c>
      <c r="Z128" s="24">
        <v>2036</v>
      </c>
      <c r="AA128" s="24">
        <v>2020</v>
      </c>
      <c r="AB128" s="24">
        <v>2005</v>
      </c>
      <c r="AC128" s="24">
        <v>1989</v>
      </c>
      <c r="AD128" s="24">
        <v>1973</v>
      </c>
      <c r="AE128" s="24">
        <v>1957</v>
      </c>
      <c r="AF128" s="21">
        <v>-9.6299999999999997E-3</v>
      </c>
      <c r="AG128" s="10"/>
    </row>
    <row r="129" spans="1:33" ht="36.75" x14ac:dyDescent="0.25">
      <c r="A129" s="9" t="s">
        <v>183</v>
      </c>
      <c r="B129" s="19" t="s">
        <v>184</v>
      </c>
      <c r="C129" s="24">
        <v>3487</v>
      </c>
      <c r="D129" s="24">
        <v>3442</v>
      </c>
      <c r="E129" s="24">
        <v>3180</v>
      </c>
      <c r="F129" s="24">
        <v>3168</v>
      </c>
      <c r="G129" s="24">
        <v>3156</v>
      </c>
      <c r="H129" s="24">
        <v>3144</v>
      </c>
      <c r="I129" s="24">
        <v>3131</v>
      </c>
      <c r="J129" s="24">
        <v>3119</v>
      </c>
      <c r="K129" s="24">
        <v>3106</v>
      </c>
      <c r="L129" s="24">
        <v>3094</v>
      </c>
      <c r="M129" s="24">
        <v>3081</v>
      </c>
      <c r="N129" s="24">
        <v>3069</v>
      </c>
      <c r="O129" s="24">
        <v>3056</v>
      </c>
      <c r="P129" s="24">
        <v>3043</v>
      </c>
      <c r="Q129" s="24">
        <v>3031</v>
      </c>
      <c r="R129" s="24">
        <v>3018</v>
      </c>
      <c r="S129" s="24">
        <v>3005</v>
      </c>
      <c r="T129" s="24">
        <v>2992</v>
      </c>
      <c r="U129" s="24">
        <v>2980</v>
      </c>
      <c r="V129" s="24">
        <v>2967</v>
      </c>
      <c r="W129" s="24">
        <v>2954</v>
      </c>
      <c r="X129" s="24">
        <v>2941</v>
      </c>
      <c r="Y129" s="24">
        <v>2929</v>
      </c>
      <c r="Z129" s="24">
        <v>2916</v>
      </c>
      <c r="AA129" s="24">
        <v>2903</v>
      </c>
      <c r="AB129" s="24">
        <v>2890</v>
      </c>
      <c r="AC129" s="24">
        <v>2877</v>
      </c>
      <c r="AD129" s="24">
        <v>2865</v>
      </c>
      <c r="AE129" s="24">
        <v>2852</v>
      </c>
      <c r="AF129" s="21">
        <v>-7.1539999999999998E-3</v>
      </c>
      <c r="AG129" s="10"/>
    </row>
    <row r="130" spans="1:33" ht="36.75" x14ac:dyDescent="0.25">
      <c r="A130" s="9" t="s">
        <v>185</v>
      </c>
      <c r="B130" s="19" t="s">
        <v>186</v>
      </c>
      <c r="C130" s="24">
        <v>2195</v>
      </c>
      <c r="D130" s="24">
        <v>2056</v>
      </c>
      <c r="E130" s="24">
        <v>1942</v>
      </c>
      <c r="F130" s="24">
        <v>1934</v>
      </c>
      <c r="G130" s="24">
        <v>1925</v>
      </c>
      <c r="H130" s="24">
        <v>1916</v>
      </c>
      <c r="I130" s="24">
        <v>1908</v>
      </c>
      <c r="J130" s="24">
        <v>1899</v>
      </c>
      <c r="K130" s="24">
        <v>1891</v>
      </c>
      <c r="L130" s="24">
        <v>1882</v>
      </c>
      <c r="M130" s="24">
        <v>1874</v>
      </c>
      <c r="N130" s="24">
        <v>1865</v>
      </c>
      <c r="O130" s="24">
        <v>1857</v>
      </c>
      <c r="P130" s="24">
        <v>1849</v>
      </c>
      <c r="Q130" s="24">
        <v>1840</v>
      </c>
      <c r="R130" s="24">
        <v>1832</v>
      </c>
      <c r="S130" s="24">
        <v>1824</v>
      </c>
      <c r="T130" s="24">
        <v>1815</v>
      </c>
      <c r="U130" s="24">
        <v>1807</v>
      </c>
      <c r="V130" s="24">
        <v>1799</v>
      </c>
      <c r="W130" s="24">
        <v>1791</v>
      </c>
      <c r="X130" s="24">
        <v>1783</v>
      </c>
      <c r="Y130" s="24">
        <v>1774</v>
      </c>
      <c r="Z130" s="24">
        <v>1766</v>
      </c>
      <c r="AA130" s="24">
        <v>1758</v>
      </c>
      <c r="AB130" s="24">
        <v>1750</v>
      </c>
      <c r="AC130" s="24">
        <v>1742</v>
      </c>
      <c r="AD130" s="24">
        <v>1734</v>
      </c>
      <c r="AE130" s="24">
        <v>1726</v>
      </c>
      <c r="AF130" s="21">
        <v>-8.548E-3</v>
      </c>
      <c r="AG130" s="10"/>
    </row>
    <row r="131" spans="1:33" ht="24.75" x14ac:dyDescent="0.25">
      <c r="A131" s="9" t="s">
        <v>187</v>
      </c>
      <c r="B131" s="19" t="s">
        <v>188</v>
      </c>
      <c r="C131" s="24">
        <v>4970</v>
      </c>
      <c r="D131" s="24">
        <v>4978</v>
      </c>
      <c r="E131" s="24">
        <v>4789</v>
      </c>
      <c r="F131" s="24">
        <v>4776</v>
      </c>
      <c r="G131" s="24">
        <v>4763</v>
      </c>
      <c r="H131" s="24">
        <v>4751</v>
      </c>
      <c r="I131" s="24">
        <v>4738</v>
      </c>
      <c r="J131" s="24">
        <v>4725</v>
      </c>
      <c r="K131" s="24">
        <v>4712</v>
      </c>
      <c r="L131" s="24">
        <v>4698</v>
      </c>
      <c r="M131" s="24">
        <v>4685</v>
      </c>
      <c r="N131" s="24">
        <v>4672</v>
      </c>
      <c r="O131" s="24">
        <v>4658</v>
      </c>
      <c r="P131" s="24">
        <v>4645</v>
      </c>
      <c r="Q131" s="24">
        <v>4632</v>
      </c>
      <c r="R131" s="24">
        <v>4619</v>
      </c>
      <c r="S131" s="24">
        <v>4606</v>
      </c>
      <c r="T131" s="24">
        <v>4593</v>
      </c>
      <c r="U131" s="24">
        <v>4580</v>
      </c>
      <c r="V131" s="24">
        <v>4568</v>
      </c>
      <c r="W131" s="24">
        <v>4555</v>
      </c>
      <c r="X131" s="24">
        <v>4542</v>
      </c>
      <c r="Y131" s="24">
        <v>4530</v>
      </c>
      <c r="Z131" s="24">
        <v>4517</v>
      </c>
      <c r="AA131" s="24">
        <v>4504</v>
      </c>
      <c r="AB131" s="24">
        <v>4492</v>
      </c>
      <c r="AC131" s="24">
        <v>4479</v>
      </c>
      <c r="AD131" s="24">
        <v>4467</v>
      </c>
      <c r="AE131" s="24">
        <v>4454</v>
      </c>
      <c r="AF131" s="21">
        <v>-3.9069999999999999E-3</v>
      </c>
      <c r="AG131" s="10"/>
    </row>
    <row r="132" spans="1:33" x14ac:dyDescent="0.25">
      <c r="A132" s="9" t="s">
        <v>189</v>
      </c>
      <c r="B132" s="19" t="s">
        <v>190</v>
      </c>
      <c r="C132" s="24">
        <v>3212</v>
      </c>
      <c r="D132" s="24">
        <v>3503</v>
      </c>
      <c r="E132" s="24">
        <v>3250</v>
      </c>
      <c r="F132" s="24">
        <v>3241</v>
      </c>
      <c r="G132" s="24">
        <v>3232</v>
      </c>
      <c r="H132" s="24">
        <v>3223</v>
      </c>
      <c r="I132" s="24">
        <v>3213</v>
      </c>
      <c r="J132" s="24">
        <v>3204</v>
      </c>
      <c r="K132" s="24">
        <v>3195</v>
      </c>
      <c r="L132" s="24">
        <v>3185</v>
      </c>
      <c r="M132" s="24">
        <v>3176</v>
      </c>
      <c r="N132" s="24">
        <v>3166</v>
      </c>
      <c r="O132" s="24">
        <v>3157</v>
      </c>
      <c r="P132" s="24">
        <v>3147</v>
      </c>
      <c r="Q132" s="24">
        <v>3137</v>
      </c>
      <c r="R132" s="24">
        <v>3128</v>
      </c>
      <c r="S132" s="24">
        <v>3118</v>
      </c>
      <c r="T132" s="24">
        <v>3108</v>
      </c>
      <c r="U132" s="24">
        <v>3098</v>
      </c>
      <c r="V132" s="24">
        <v>3089</v>
      </c>
      <c r="W132" s="24">
        <v>3079</v>
      </c>
      <c r="X132" s="24">
        <v>3069</v>
      </c>
      <c r="Y132" s="24">
        <v>3059</v>
      </c>
      <c r="Z132" s="24">
        <v>3049</v>
      </c>
      <c r="AA132" s="24">
        <v>3040</v>
      </c>
      <c r="AB132" s="24">
        <v>3030</v>
      </c>
      <c r="AC132" s="24">
        <v>3020</v>
      </c>
      <c r="AD132" s="24">
        <v>3010</v>
      </c>
      <c r="AE132" s="24">
        <v>3000</v>
      </c>
      <c r="AF132" s="21">
        <v>-2.4359999999999998E-3</v>
      </c>
      <c r="AG132" s="10"/>
    </row>
    <row r="133" spans="1:33" ht="24.75" x14ac:dyDescent="0.25">
      <c r="A133" s="9" t="s">
        <v>191</v>
      </c>
      <c r="B133" s="18" t="s">
        <v>192</v>
      </c>
      <c r="C133" s="26">
        <v>4234.6137699999999</v>
      </c>
      <c r="D133" s="26">
        <v>4246.6186520000001</v>
      </c>
      <c r="E133" s="26">
        <v>3976.1059570000002</v>
      </c>
      <c r="F133" s="26">
        <v>3957.180664</v>
      </c>
      <c r="G133" s="26">
        <v>3938.5415039999998</v>
      </c>
      <c r="H133" s="26">
        <v>3920.0117190000001</v>
      </c>
      <c r="I133" s="26">
        <v>3901.2561040000001</v>
      </c>
      <c r="J133" s="26">
        <v>3882.5219729999999</v>
      </c>
      <c r="K133" s="26">
        <v>3863.8103030000002</v>
      </c>
      <c r="L133" s="26">
        <v>3845.1889649999998</v>
      </c>
      <c r="M133" s="26">
        <v>3826.626221</v>
      </c>
      <c r="N133" s="26">
        <v>3807.9733890000002</v>
      </c>
      <c r="O133" s="26">
        <v>3789.4521479999999</v>
      </c>
      <c r="P133" s="26">
        <v>3770.821289</v>
      </c>
      <c r="Q133" s="26">
        <v>3752.0329590000001</v>
      </c>
      <c r="R133" s="26">
        <v>3733.780029</v>
      </c>
      <c r="S133" s="26">
        <v>3715.305664</v>
      </c>
      <c r="T133" s="26">
        <v>3696.5273440000001</v>
      </c>
      <c r="U133" s="26">
        <v>3678.117432</v>
      </c>
      <c r="V133" s="26">
        <v>3659.850586</v>
      </c>
      <c r="W133" s="26">
        <v>3641.3955080000001</v>
      </c>
      <c r="X133" s="26">
        <v>3622.8991700000001</v>
      </c>
      <c r="Y133" s="26">
        <v>3604.398682</v>
      </c>
      <c r="Z133" s="26">
        <v>3585.969482</v>
      </c>
      <c r="AA133" s="26">
        <v>3567.7004390000002</v>
      </c>
      <c r="AB133" s="26">
        <v>3549.5581050000001</v>
      </c>
      <c r="AC133" s="26">
        <v>3531.4091800000001</v>
      </c>
      <c r="AD133" s="26">
        <v>3513.482422</v>
      </c>
      <c r="AE133" s="26">
        <v>3495.6748050000001</v>
      </c>
      <c r="AF133" s="23">
        <v>-6.8250000000000003E-3</v>
      </c>
      <c r="AG133" s="10"/>
    </row>
    <row r="134" spans="1:33" x14ac:dyDescent="0.25">
      <c r="A134" s="6"/>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row>
    <row r="135" spans="1:33" ht="36.75" x14ac:dyDescent="0.25">
      <c r="A135" s="6"/>
      <c r="B135" s="18" t="s">
        <v>7</v>
      </c>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row>
    <row r="136" spans="1:33" ht="24.75" x14ac:dyDescent="0.25">
      <c r="A136" s="9" t="s">
        <v>193</v>
      </c>
      <c r="B136" s="19" t="s">
        <v>174</v>
      </c>
      <c r="C136" s="24">
        <v>639</v>
      </c>
      <c r="D136" s="24">
        <v>500</v>
      </c>
      <c r="E136" s="24">
        <v>614</v>
      </c>
      <c r="F136" s="24">
        <v>621</v>
      </c>
      <c r="G136" s="24">
        <v>629</v>
      </c>
      <c r="H136" s="24">
        <v>636</v>
      </c>
      <c r="I136" s="24">
        <v>643</v>
      </c>
      <c r="J136" s="24">
        <v>651</v>
      </c>
      <c r="K136" s="24">
        <v>658</v>
      </c>
      <c r="L136" s="24">
        <v>665</v>
      </c>
      <c r="M136" s="24">
        <v>673</v>
      </c>
      <c r="N136" s="24">
        <v>680</v>
      </c>
      <c r="O136" s="24">
        <v>687</v>
      </c>
      <c r="P136" s="24">
        <v>695</v>
      </c>
      <c r="Q136" s="24">
        <v>702</v>
      </c>
      <c r="R136" s="24">
        <v>710</v>
      </c>
      <c r="S136" s="24">
        <v>717</v>
      </c>
      <c r="T136" s="24">
        <v>724</v>
      </c>
      <c r="U136" s="24">
        <v>732</v>
      </c>
      <c r="V136" s="24">
        <v>739</v>
      </c>
      <c r="W136" s="24">
        <v>747</v>
      </c>
      <c r="X136" s="24">
        <v>754</v>
      </c>
      <c r="Y136" s="24">
        <v>761</v>
      </c>
      <c r="Z136" s="24">
        <v>769</v>
      </c>
      <c r="AA136" s="24">
        <v>776</v>
      </c>
      <c r="AB136" s="24">
        <v>784</v>
      </c>
      <c r="AC136" s="24">
        <v>791</v>
      </c>
      <c r="AD136" s="24">
        <v>799</v>
      </c>
      <c r="AE136" s="24">
        <v>806</v>
      </c>
      <c r="AF136" s="21">
        <v>8.3269999999999993E-3</v>
      </c>
      <c r="AG136" s="10"/>
    </row>
    <row r="137" spans="1:33" ht="24.75" x14ac:dyDescent="0.25">
      <c r="A137" s="9" t="s">
        <v>194</v>
      </c>
      <c r="B137" s="19" t="s">
        <v>176</v>
      </c>
      <c r="C137" s="24">
        <v>835</v>
      </c>
      <c r="D137" s="24">
        <v>692</v>
      </c>
      <c r="E137" s="24">
        <v>864</v>
      </c>
      <c r="F137" s="24">
        <v>874</v>
      </c>
      <c r="G137" s="24">
        <v>883</v>
      </c>
      <c r="H137" s="24">
        <v>893</v>
      </c>
      <c r="I137" s="24">
        <v>902</v>
      </c>
      <c r="J137" s="24">
        <v>912</v>
      </c>
      <c r="K137" s="24">
        <v>922</v>
      </c>
      <c r="L137" s="24">
        <v>931</v>
      </c>
      <c r="M137" s="24">
        <v>941</v>
      </c>
      <c r="N137" s="24">
        <v>950</v>
      </c>
      <c r="O137" s="24">
        <v>960</v>
      </c>
      <c r="P137" s="24">
        <v>970</v>
      </c>
      <c r="Q137" s="24">
        <v>979</v>
      </c>
      <c r="R137" s="24">
        <v>989</v>
      </c>
      <c r="S137" s="24">
        <v>999</v>
      </c>
      <c r="T137" s="24">
        <v>1008</v>
      </c>
      <c r="U137" s="24">
        <v>1018</v>
      </c>
      <c r="V137" s="24">
        <v>1027</v>
      </c>
      <c r="W137" s="24">
        <v>1037</v>
      </c>
      <c r="X137" s="24">
        <v>1047</v>
      </c>
      <c r="Y137" s="24">
        <v>1056</v>
      </c>
      <c r="Z137" s="24">
        <v>1066</v>
      </c>
      <c r="AA137" s="24">
        <v>1076</v>
      </c>
      <c r="AB137" s="24">
        <v>1085</v>
      </c>
      <c r="AC137" s="24">
        <v>1095</v>
      </c>
      <c r="AD137" s="24">
        <v>1104</v>
      </c>
      <c r="AE137" s="24">
        <v>1114</v>
      </c>
      <c r="AF137" s="21">
        <v>1.0349000000000001E-2</v>
      </c>
      <c r="AG137" s="10"/>
    </row>
    <row r="138" spans="1:33" ht="36.75" x14ac:dyDescent="0.25">
      <c r="A138" s="9" t="s">
        <v>195</v>
      </c>
      <c r="B138" s="19" t="s">
        <v>178</v>
      </c>
      <c r="C138" s="24">
        <v>813</v>
      </c>
      <c r="D138" s="24">
        <v>752</v>
      </c>
      <c r="E138" s="24">
        <v>892</v>
      </c>
      <c r="F138" s="24">
        <v>900</v>
      </c>
      <c r="G138" s="24">
        <v>908</v>
      </c>
      <c r="H138" s="24">
        <v>916</v>
      </c>
      <c r="I138" s="24">
        <v>924</v>
      </c>
      <c r="J138" s="24">
        <v>932</v>
      </c>
      <c r="K138" s="24">
        <v>939</v>
      </c>
      <c r="L138" s="24">
        <v>947</v>
      </c>
      <c r="M138" s="24">
        <v>955</v>
      </c>
      <c r="N138" s="24">
        <v>963</v>
      </c>
      <c r="O138" s="24">
        <v>971</v>
      </c>
      <c r="P138" s="24">
        <v>979</v>
      </c>
      <c r="Q138" s="24">
        <v>987</v>
      </c>
      <c r="R138" s="24">
        <v>994</v>
      </c>
      <c r="S138" s="24">
        <v>1002</v>
      </c>
      <c r="T138" s="24">
        <v>1010</v>
      </c>
      <c r="U138" s="24">
        <v>1018</v>
      </c>
      <c r="V138" s="24">
        <v>1026</v>
      </c>
      <c r="W138" s="24">
        <v>1034</v>
      </c>
      <c r="X138" s="24">
        <v>1042</v>
      </c>
      <c r="Y138" s="24">
        <v>1050</v>
      </c>
      <c r="Z138" s="24">
        <v>1058</v>
      </c>
      <c r="AA138" s="24">
        <v>1066</v>
      </c>
      <c r="AB138" s="24">
        <v>1073</v>
      </c>
      <c r="AC138" s="24">
        <v>1081</v>
      </c>
      <c r="AD138" s="24">
        <v>1089</v>
      </c>
      <c r="AE138" s="24">
        <v>1097</v>
      </c>
      <c r="AF138" s="21">
        <v>1.0758E-2</v>
      </c>
      <c r="AG138" s="10"/>
    </row>
    <row r="139" spans="1:33" ht="36.75" x14ac:dyDescent="0.25">
      <c r="A139" s="9" t="s">
        <v>196</v>
      </c>
      <c r="B139" s="19" t="s">
        <v>180</v>
      </c>
      <c r="C139" s="24">
        <v>1050</v>
      </c>
      <c r="D139" s="24">
        <v>944</v>
      </c>
      <c r="E139" s="24">
        <v>1069</v>
      </c>
      <c r="F139" s="24">
        <v>1077</v>
      </c>
      <c r="G139" s="24">
        <v>1084</v>
      </c>
      <c r="H139" s="24">
        <v>1091</v>
      </c>
      <c r="I139" s="24">
        <v>1099</v>
      </c>
      <c r="J139" s="24">
        <v>1106</v>
      </c>
      <c r="K139" s="24">
        <v>1114</v>
      </c>
      <c r="L139" s="24">
        <v>1121</v>
      </c>
      <c r="M139" s="24">
        <v>1129</v>
      </c>
      <c r="N139" s="24">
        <v>1136</v>
      </c>
      <c r="O139" s="24">
        <v>1144</v>
      </c>
      <c r="P139" s="24">
        <v>1151</v>
      </c>
      <c r="Q139" s="24">
        <v>1159</v>
      </c>
      <c r="R139" s="24">
        <v>1166</v>
      </c>
      <c r="S139" s="24">
        <v>1174</v>
      </c>
      <c r="T139" s="24">
        <v>1182</v>
      </c>
      <c r="U139" s="24">
        <v>1189</v>
      </c>
      <c r="V139" s="24">
        <v>1197</v>
      </c>
      <c r="W139" s="24">
        <v>1204</v>
      </c>
      <c r="X139" s="24">
        <v>1212</v>
      </c>
      <c r="Y139" s="24">
        <v>1220</v>
      </c>
      <c r="Z139" s="24">
        <v>1227</v>
      </c>
      <c r="AA139" s="24">
        <v>1235</v>
      </c>
      <c r="AB139" s="24">
        <v>1243</v>
      </c>
      <c r="AC139" s="24">
        <v>1250</v>
      </c>
      <c r="AD139" s="24">
        <v>1258</v>
      </c>
      <c r="AE139" s="24">
        <v>1266</v>
      </c>
      <c r="AF139" s="21">
        <v>6.7029999999999998E-3</v>
      </c>
      <c r="AG139" s="10"/>
    </row>
    <row r="140" spans="1:33" ht="24.75" x14ac:dyDescent="0.25">
      <c r="A140" s="9" t="s">
        <v>197</v>
      </c>
      <c r="B140" s="19" t="s">
        <v>182</v>
      </c>
      <c r="C140" s="24">
        <v>2264</v>
      </c>
      <c r="D140" s="24">
        <v>2150</v>
      </c>
      <c r="E140" s="24">
        <v>2408</v>
      </c>
      <c r="F140" s="24">
        <v>2426</v>
      </c>
      <c r="G140" s="24">
        <v>2442</v>
      </c>
      <c r="H140" s="24">
        <v>2459</v>
      </c>
      <c r="I140" s="24">
        <v>2476</v>
      </c>
      <c r="J140" s="24">
        <v>2494</v>
      </c>
      <c r="K140" s="24">
        <v>2511</v>
      </c>
      <c r="L140" s="24">
        <v>2528</v>
      </c>
      <c r="M140" s="24">
        <v>2545</v>
      </c>
      <c r="N140" s="24">
        <v>2562</v>
      </c>
      <c r="O140" s="24">
        <v>2579</v>
      </c>
      <c r="P140" s="24">
        <v>2597</v>
      </c>
      <c r="Q140" s="24">
        <v>2614</v>
      </c>
      <c r="R140" s="24">
        <v>2632</v>
      </c>
      <c r="S140" s="24">
        <v>2649</v>
      </c>
      <c r="T140" s="24">
        <v>2666</v>
      </c>
      <c r="U140" s="24">
        <v>2684</v>
      </c>
      <c r="V140" s="24">
        <v>2701</v>
      </c>
      <c r="W140" s="24">
        <v>2719</v>
      </c>
      <c r="X140" s="24">
        <v>2736</v>
      </c>
      <c r="Y140" s="24">
        <v>2754</v>
      </c>
      <c r="Z140" s="24">
        <v>2771</v>
      </c>
      <c r="AA140" s="24">
        <v>2789</v>
      </c>
      <c r="AB140" s="24">
        <v>2806</v>
      </c>
      <c r="AC140" s="24">
        <v>2824</v>
      </c>
      <c r="AD140" s="24">
        <v>2842</v>
      </c>
      <c r="AE140" s="24">
        <v>2859</v>
      </c>
      <c r="AF140" s="21">
        <v>8.3680000000000004E-3</v>
      </c>
      <c r="AG140" s="10"/>
    </row>
    <row r="141" spans="1:33" ht="36.75" x14ac:dyDescent="0.25">
      <c r="A141" s="9" t="s">
        <v>198</v>
      </c>
      <c r="B141" s="19" t="s">
        <v>184</v>
      </c>
      <c r="C141" s="24">
        <v>1730</v>
      </c>
      <c r="D141" s="24">
        <v>1637</v>
      </c>
      <c r="E141" s="24">
        <v>1805</v>
      </c>
      <c r="F141" s="24">
        <v>1814</v>
      </c>
      <c r="G141" s="24">
        <v>1824</v>
      </c>
      <c r="H141" s="24">
        <v>1834</v>
      </c>
      <c r="I141" s="24">
        <v>1844</v>
      </c>
      <c r="J141" s="24">
        <v>1854</v>
      </c>
      <c r="K141" s="24">
        <v>1864</v>
      </c>
      <c r="L141" s="24">
        <v>1874</v>
      </c>
      <c r="M141" s="24">
        <v>1884</v>
      </c>
      <c r="N141" s="24">
        <v>1894</v>
      </c>
      <c r="O141" s="24">
        <v>1904</v>
      </c>
      <c r="P141" s="24">
        <v>1914</v>
      </c>
      <c r="Q141" s="24">
        <v>1924</v>
      </c>
      <c r="R141" s="24">
        <v>1934</v>
      </c>
      <c r="S141" s="24">
        <v>1944</v>
      </c>
      <c r="T141" s="24">
        <v>1954</v>
      </c>
      <c r="U141" s="24">
        <v>1964</v>
      </c>
      <c r="V141" s="24">
        <v>1974</v>
      </c>
      <c r="W141" s="24">
        <v>1984</v>
      </c>
      <c r="X141" s="24">
        <v>1994</v>
      </c>
      <c r="Y141" s="24">
        <v>2004</v>
      </c>
      <c r="Z141" s="24">
        <v>2014</v>
      </c>
      <c r="AA141" s="24">
        <v>2024</v>
      </c>
      <c r="AB141" s="24">
        <v>2034</v>
      </c>
      <c r="AC141" s="24">
        <v>2044</v>
      </c>
      <c r="AD141" s="24">
        <v>2054</v>
      </c>
      <c r="AE141" s="24">
        <v>2064</v>
      </c>
      <c r="AF141" s="21">
        <v>6.3239999999999998E-3</v>
      </c>
      <c r="AG141" s="10"/>
    </row>
    <row r="142" spans="1:33" ht="36.75" x14ac:dyDescent="0.25">
      <c r="A142" s="9" t="s">
        <v>199</v>
      </c>
      <c r="B142" s="19" t="s">
        <v>186</v>
      </c>
      <c r="C142" s="24">
        <v>3000</v>
      </c>
      <c r="D142" s="24">
        <v>2658</v>
      </c>
      <c r="E142" s="24">
        <v>2860</v>
      </c>
      <c r="F142" s="24">
        <v>2874</v>
      </c>
      <c r="G142" s="24">
        <v>2887</v>
      </c>
      <c r="H142" s="24">
        <v>2901</v>
      </c>
      <c r="I142" s="24">
        <v>2915</v>
      </c>
      <c r="J142" s="24">
        <v>2928</v>
      </c>
      <c r="K142" s="24">
        <v>2942</v>
      </c>
      <c r="L142" s="24">
        <v>2955</v>
      </c>
      <c r="M142" s="24">
        <v>2969</v>
      </c>
      <c r="N142" s="24">
        <v>2982</v>
      </c>
      <c r="O142" s="24">
        <v>2996</v>
      </c>
      <c r="P142" s="24">
        <v>3009</v>
      </c>
      <c r="Q142" s="24">
        <v>3023</v>
      </c>
      <c r="R142" s="24">
        <v>3036</v>
      </c>
      <c r="S142" s="24">
        <v>3050</v>
      </c>
      <c r="T142" s="24">
        <v>3063</v>
      </c>
      <c r="U142" s="24">
        <v>3076</v>
      </c>
      <c r="V142" s="24">
        <v>3090</v>
      </c>
      <c r="W142" s="24">
        <v>3103</v>
      </c>
      <c r="X142" s="24">
        <v>3117</v>
      </c>
      <c r="Y142" s="24">
        <v>3130</v>
      </c>
      <c r="Z142" s="24">
        <v>3144</v>
      </c>
      <c r="AA142" s="24">
        <v>3157</v>
      </c>
      <c r="AB142" s="24">
        <v>3170</v>
      </c>
      <c r="AC142" s="24">
        <v>3184</v>
      </c>
      <c r="AD142" s="24">
        <v>3197</v>
      </c>
      <c r="AE142" s="24">
        <v>3210</v>
      </c>
      <c r="AF142" s="21">
        <v>2.4190000000000001E-3</v>
      </c>
      <c r="AG142" s="10"/>
    </row>
    <row r="143" spans="1:33" ht="24.75" x14ac:dyDescent="0.25">
      <c r="A143" s="9" t="s">
        <v>200</v>
      </c>
      <c r="B143" s="19" t="s">
        <v>188</v>
      </c>
      <c r="C143" s="24">
        <v>1578</v>
      </c>
      <c r="D143" s="24">
        <v>1415</v>
      </c>
      <c r="E143" s="24">
        <v>1580</v>
      </c>
      <c r="F143" s="24">
        <v>1589</v>
      </c>
      <c r="G143" s="24">
        <v>1599</v>
      </c>
      <c r="H143" s="24">
        <v>1608</v>
      </c>
      <c r="I143" s="24">
        <v>1618</v>
      </c>
      <c r="J143" s="24">
        <v>1628</v>
      </c>
      <c r="K143" s="24">
        <v>1638</v>
      </c>
      <c r="L143" s="24">
        <v>1647</v>
      </c>
      <c r="M143" s="24">
        <v>1657</v>
      </c>
      <c r="N143" s="24">
        <v>1667</v>
      </c>
      <c r="O143" s="24">
        <v>1677</v>
      </c>
      <c r="P143" s="24">
        <v>1687</v>
      </c>
      <c r="Q143" s="24">
        <v>1697</v>
      </c>
      <c r="R143" s="24">
        <v>1706</v>
      </c>
      <c r="S143" s="24">
        <v>1716</v>
      </c>
      <c r="T143" s="24">
        <v>1726</v>
      </c>
      <c r="U143" s="24">
        <v>1735</v>
      </c>
      <c r="V143" s="24">
        <v>1745</v>
      </c>
      <c r="W143" s="24">
        <v>1755</v>
      </c>
      <c r="X143" s="24">
        <v>1764</v>
      </c>
      <c r="Y143" s="24">
        <v>1774</v>
      </c>
      <c r="Z143" s="24">
        <v>1783</v>
      </c>
      <c r="AA143" s="24">
        <v>1793</v>
      </c>
      <c r="AB143" s="24">
        <v>1802</v>
      </c>
      <c r="AC143" s="24">
        <v>1812</v>
      </c>
      <c r="AD143" s="24">
        <v>1822</v>
      </c>
      <c r="AE143" s="24">
        <v>1831</v>
      </c>
      <c r="AF143" s="21">
        <v>5.3249999999999999E-3</v>
      </c>
      <c r="AG143" s="10"/>
    </row>
    <row r="144" spans="1:33" x14ac:dyDescent="0.25">
      <c r="A144" s="9" t="s">
        <v>201</v>
      </c>
      <c r="B144" s="19" t="s">
        <v>190</v>
      </c>
      <c r="C144" s="24">
        <v>1098</v>
      </c>
      <c r="D144" s="24">
        <v>825</v>
      </c>
      <c r="E144" s="24">
        <v>1006</v>
      </c>
      <c r="F144" s="24">
        <v>1013</v>
      </c>
      <c r="G144" s="24">
        <v>1020</v>
      </c>
      <c r="H144" s="24">
        <v>1028</v>
      </c>
      <c r="I144" s="24">
        <v>1035</v>
      </c>
      <c r="J144" s="24">
        <v>1043</v>
      </c>
      <c r="K144" s="24">
        <v>1050</v>
      </c>
      <c r="L144" s="24">
        <v>1058</v>
      </c>
      <c r="M144" s="24">
        <v>1066</v>
      </c>
      <c r="N144" s="24">
        <v>1073</v>
      </c>
      <c r="O144" s="24">
        <v>1081</v>
      </c>
      <c r="P144" s="24">
        <v>1088</v>
      </c>
      <c r="Q144" s="24">
        <v>1096</v>
      </c>
      <c r="R144" s="24">
        <v>1104</v>
      </c>
      <c r="S144" s="24">
        <v>1111</v>
      </c>
      <c r="T144" s="24">
        <v>1119</v>
      </c>
      <c r="U144" s="24">
        <v>1127</v>
      </c>
      <c r="V144" s="24">
        <v>1134</v>
      </c>
      <c r="W144" s="24">
        <v>1142</v>
      </c>
      <c r="X144" s="24">
        <v>1150</v>
      </c>
      <c r="Y144" s="24">
        <v>1157</v>
      </c>
      <c r="Z144" s="24">
        <v>1165</v>
      </c>
      <c r="AA144" s="24">
        <v>1173</v>
      </c>
      <c r="AB144" s="24">
        <v>1181</v>
      </c>
      <c r="AC144" s="24">
        <v>1188</v>
      </c>
      <c r="AD144" s="24">
        <v>1196</v>
      </c>
      <c r="AE144" s="24">
        <v>1204</v>
      </c>
      <c r="AF144" s="21">
        <v>3.297E-3</v>
      </c>
      <c r="AG144" s="10"/>
    </row>
    <row r="145" spans="1:34" ht="24.75" x14ac:dyDescent="0.25">
      <c r="A145" s="9" t="s">
        <v>202</v>
      </c>
      <c r="B145" s="18" t="s">
        <v>192</v>
      </c>
      <c r="C145" s="26">
        <v>1549.955811</v>
      </c>
      <c r="D145" s="26">
        <v>1383.8479</v>
      </c>
      <c r="E145" s="26">
        <v>1570.0424800000001</v>
      </c>
      <c r="F145" s="26">
        <v>1583.3448490000001</v>
      </c>
      <c r="G145" s="26">
        <v>1596.1142580000001</v>
      </c>
      <c r="H145" s="26">
        <v>1609.38501</v>
      </c>
      <c r="I145" s="26">
        <v>1622.5207519999999</v>
      </c>
      <c r="J145" s="26">
        <v>1636.0070800000001</v>
      </c>
      <c r="K145" s="26">
        <v>1649.149048</v>
      </c>
      <c r="L145" s="26">
        <v>1662.2188719999999</v>
      </c>
      <c r="M145" s="26">
        <v>1675.7426760000001</v>
      </c>
      <c r="N145" s="26">
        <v>1688.762207</v>
      </c>
      <c r="O145" s="26">
        <v>1702.278198</v>
      </c>
      <c r="P145" s="26">
        <v>1715.7017820000001</v>
      </c>
      <c r="Q145" s="26">
        <v>1729.1450199999999</v>
      </c>
      <c r="R145" s="26">
        <v>1742.5604249999999</v>
      </c>
      <c r="S145" s="26">
        <v>1755.9835210000001</v>
      </c>
      <c r="T145" s="26">
        <v>1769.3446039999999</v>
      </c>
      <c r="U145" s="26">
        <v>1782.940063</v>
      </c>
      <c r="V145" s="26">
        <v>1796.302124</v>
      </c>
      <c r="W145" s="26">
        <v>1810.015259</v>
      </c>
      <c r="X145" s="26">
        <v>1823.60437</v>
      </c>
      <c r="Y145" s="26">
        <v>1837.094971</v>
      </c>
      <c r="Z145" s="26">
        <v>1850.6906739999999</v>
      </c>
      <c r="AA145" s="26">
        <v>1864.471436</v>
      </c>
      <c r="AB145" s="26">
        <v>1877.7441409999999</v>
      </c>
      <c r="AC145" s="26">
        <v>1891.3885499999999</v>
      </c>
      <c r="AD145" s="26">
        <v>1904.9642329999999</v>
      </c>
      <c r="AE145" s="26">
        <v>1918.225586</v>
      </c>
      <c r="AF145" s="23">
        <v>7.6420000000000004E-3</v>
      </c>
      <c r="AG145" s="10"/>
      <c r="AH145" s="6"/>
    </row>
    <row r="146" spans="1:34" ht="15.75" thickBot="1" x14ac:dyDescent="0.3">
      <c r="A146" s="6"/>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6"/>
    </row>
    <row r="147" spans="1:34" x14ac:dyDescent="0.25">
      <c r="A147" s="6"/>
      <c r="B147" s="29" t="s">
        <v>203</v>
      </c>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28"/>
    </row>
    <row r="148" spans="1:34" x14ac:dyDescent="0.25">
      <c r="A148" s="6"/>
      <c r="B148" s="31" t="s">
        <v>204</v>
      </c>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6"/>
    </row>
    <row r="149" spans="1:34" x14ac:dyDescent="0.25">
      <c r="A149" s="6"/>
      <c r="B149" s="31" t="s">
        <v>205</v>
      </c>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6"/>
    </row>
    <row r="150" spans="1:34" x14ac:dyDescent="0.25">
      <c r="A150" s="6"/>
      <c r="B150" s="31" t="s">
        <v>206</v>
      </c>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6"/>
    </row>
    <row r="151" spans="1:34" x14ac:dyDescent="0.25">
      <c r="A151" s="6"/>
      <c r="B151" s="31" t="s">
        <v>207</v>
      </c>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6"/>
    </row>
    <row r="152" spans="1:34" x14ac:dyDescent="0.25">
      <c r="A152" s="6"/>
      <c r="B152" s="31" t="s">
        <v>208</v>
      </c>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6"/>
    </row>
    <row r="153" spans="1:34" x14ac:dyDescent="0.25">
      <c r="A153" s="6"/>
      <c r="B153" s="31" t="s">
        <v>209</v>
      </c>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6"/>
    </row>
    <row r="154" spans="1:34" x14ac:dyDescent="0.25">
      <c r="A154" s="6"/>
      <c r="B154" s="31" t="s">
        <v>210</v>
      </c>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6"/>
    </row>
    <row r="155" spans="1:34" x14ac:dyDescent="0.25">
      <c r="A155" s="6"/>
      <c r="B155" s="31" t="s">
        <v>211</v>
      </c>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6"/>
    </row>
    <row r="156" spans="1:34" x14ac:dyDescent="0.25">
      <c r="A156" s="6"/>
      <c r="B156" s="31" t="s">
        <v>212</v>
      </c>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6"/>
    </row>
    <row r="157" spans="1:34" x14ac:dyDescent="0.25">
      <c r="A157" s="6"/>
      <c r="B157" s="31" t="s">
        <v>213</v>
      </c>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6"/>
    </row>
    <row r="158" spans="1:34" x14ac:dyDescent="0.25">
      <c r="A158" s="6"/>
      <c r="B158" s="31" t="s">
        <v>214</v>
      </c>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6"/>
    </row>
    <row r="159" spans="1:34" x14ac:dyDescent="0.25">
      <c r="A159" s="6"/>
      <c r="B159" s="31" t="s">
        <v>215</v>
      </c>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6"/>
    </row>
    <row r="160" spans="1:34" x14ac:dyDescent="0.25">
      <c r="A160" s="6"/>
      <c r="B160" s="31" t="s">
        <v>216</v>
      </c>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6"/>
    </row>
    <row r="161" spans="2:33" x14ac:dyDescent="0.25">
      <c r="B161" s="31" t="s">
        <v>217</v>
      </c>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row>
    <row r="162" spans="2:33" x14ac:dyDescent="0.25">
      <c r="B162" s="31" t="s">
        <v>218</v>
      </c>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row>
    <row r="163" spans="2:33" x14ac:dyDescent="0.25">
      <c r="B163" s="31" t="s">
        <v>219</v>
      </c>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row>
    <row r="164" spans="2:33" x14ac:dyDescent="0.25">
      <c r="B164" s="31" t="s">
        <v>220</v>
      </c>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row>
    <row r="165" spans="2:33" x14ac:dyDescent="0.25">
      <c r="B165" s="31" t="s">
        <v>221</v>
      </c>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row>
    <row r="166" spans="2:33" x14ac:dyDescent="0.25">
      <c r="B166" s="31" t="s">
        <v>222</v>
      </c>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row>
    <row r="167" spans="2:33" x14ac:dyDescent="0.25">
      <c r="B167" s="31" t="s">
        <v>223</v>
      </c>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row>
    <row r="168" spans="2:33" x14ac:dyDescent="0.25">
      <c r="B168" s="31" t="s">
        <v>224</v>
      </c>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row>
    <row r="169" spans="2:33" x14ac:dyDescent="0.25">
      <c r="B169" s="31" t="s">
        <v>225</v>
      </c>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row>
    <row r="170" spans="2:33" x14ac:dyDescent="0.25">
      <c r="B170" s="31" t="s">
        <v>226</v>
      </c>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row>
    <row r="171" spans="2:33" x14ac:dyDescent="0.25">
      <c r="B171" s="31" t="s">
        <v>227</v>
      </c>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c r="AE171" s="31"/>
      <c r="AF171" s="31"/>
      <c r="AG171" s="31"/>
    </row>
    <row r="172" spans="2:33" x14ac:dyDescent="0.25">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row>
    <row r="173" spans="2:33" x14ac:dyDescent="0.25">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row>
    <row r="174" spans="2:33" x14ac:dyDescent="0.25">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row>
    <row r="175" spans="2:33" x14ac:dyDescent="0.25">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row>
    <row r="176" spans="2:33" x14ac:dyDescent="0.25">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row>
    <row r="177" spans="2:33" x14ac:dyDescent="0.25">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row>
    <row r="178" spans="2:33" x14ac:dyDescent="0.25">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row>
    <row r="179" spans="2:33" x14ac:dyDescent="0.25">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row>
    <row r="180" spans="2:33" x14ac:dyDescent="0.25">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row>
    <row r="181" spans="2:33" x14ac:dyDescent="0.25">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row>
    <row r="182" spans="2:33" x14ac:dyDescent="0.25">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row>
    <row r="183" spans="2:33" x14ac:dyDescent="0.25">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row>
    <row r="184" spans="2:33" x14ac:dyDescent="0.25">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row>
    <row r="185" spans="2:33" x14ac:dyDescent="0.25">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row>
    <row r="186" spans="2:33" x14ac:dyDescent="0.25">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row>
    <row r="187" spans="2:33" x14ac:dyDescent="0.25">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row>
    <row r="188" spans="2:33" x14ac:dyDescent="0.25">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row>
    <row r="189" spans="2:33" x14ac:dyDescent="0.25">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row>
    <row r="190" spans="2:33" x14ac:dyDescent="0.25">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row>
    <row r="191" spans="2:33" x14ac:dyDescent="0.25">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row>
    <row r="192" spans="2:33" x14ac:dyDescent="0.25">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row>
    <row r="193" spans="2:33" x14ac:dyDescent="0.25">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row>
    <row r="194" spans="2:33" x14ac:dyDescent="0.25">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row>
    <row r="195" spans="2:33" x14ac:dyDescent="0.25">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row>
    <row r="196" spans="2:33" x14ac:dyDescent="0.25">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row>
    <row r="197" spans="2:33" x14ac:dyDescent="0.25">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row>
    <row r="198" spans="2:33" x14ac:dyDescent="0.25">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row>
    <row r="199" spans="2:33" x14ac:dyDescent="0.25">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row>
    <row r="200" spans="2:33" x14ac:dyDescent="0.25">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row>
    <row r="201" spans="2:33" x14ac:dyDescent="0.25">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row>
    <row r="202" spans="2:33" x14ac:dyDescent="0.25">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row>
    <row r="203" spans="2:33" x14ac:dyDescent="0.25">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row>
    <row r="204" spans="2:33" x14ac:dyDescent="0.25">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row>
    <row r="205" spans="2:33" x14ac:dyDescent="0.25">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row>
    <row r="206" spans="2:33" x14ac:dyDescent="0.25">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row>
    <row r="207" spans="2:33" x14ac:dyDescent="0.25">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row>
    <row r="208" spans="2:33" x14ac:dyDescent="0.25">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row>
    <row r="306" spans="2:32" x14ac:dyDescent="0.25">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row>
    <row r="307" spans="2:32" x14ac:dyDescent="0.25">
      <c r="B307" s="129"/>
      <c r="C307" s="129"/>
      <c r="D307" s="129"/>
      <c r="E307" s="129"/>
      <c r="F307" s="129"/>
      <c r="G307" s="129"/>
      <c r="H307" s="129"/>
      <c r="I307" s="129"/>
      <c r="J307" s="129"/>
      <c r="K307" s="129"/>
      <c r="L307" s="129"/>
      <c r="M307" s="129"/>
      <c r="N307" s="129"/>
      <c r="O307" s="129"/>
      <c r="P307" s="129"/>
      <c r="Q307" s="129"/>
      <c r="R307" s="129"/>
      <c r="S307" s="129"/>
      <c r="T307" s="129"/>
      <c r="U307" s="129"/>
      <c r="V307" s="129"/>
      <c r="W307" s="129"/>
      <c r="X307" s="129"/>
      <c r="Y307" s="129"/>
      <c r="Z307" s="129"/>
      <c r="AA307" s="129"/>
      <c r="AB307" s="129"/>
      <c r="AC307" s="129"/>
      <c r="AD307" s="129"/>
      <c r="AE307" s="129"/>
      <c r="AF307" s="129"/>
    </row>
    <row r="498" spans="2:32" x14ac:dyDescent="0.25">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row>
    <row r="508" spans="2:32" x14ac:dyDescent="0.25">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row>
    <row r="509" spans="2:32" x14ac:dyDescent="0.25">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row>
    <row r="510" spans="2:32" x14ac:dyDescent="0.25">
      <c r="B510" s="129"/>
      <c r="C510" s="129"/>
      <c r="D510" s="129"/>
      <c r="E510" s="129"/>
      <c r="F510" s="129"/>
      <c r="G510" s="129"/>
      <c r="H510" s="129"/>
      <c r="I510" s="129"/>
      <c r="J510" s="129"/>
      <c r="K510" s="129"/>
      <c r="L510" s="129"/>
      <c r="M510" s="129"/>
      <c r="N510" s="129"/>
      <c r="O510" s="129"/>
      <c r="P510" s="129"/>
      <c r="Q510" s="129"/>
      <c r="R510" s="129"/>
      <c r="S510" s="129"/>
      <c r="T510" s="129"/>
      <c r="U510" s="129"/>
      <c r="V510" s="129"/>
      <c r="W510" s="129"/>
      <c r="X510" s="129"/>
      <c r="Y510" s="129"/>
      <c r="Z510" s="129"/>
      <c r="AA510" s="129"/>
      <c r="AB510" s="129"/>
      <c r="AC510" s="129"/>
      <c r="AD510" s="129"/>
      <c r="AE510" s="129"/>
      <c r="AF510" s="129"/>
    </row>
    <row r="710" spans="2:32" x14ac:dyDescent="0.25">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row>
    <row r="711" spans="2:32" x14ac:dyDescent="0.25">
      <c r="B711" s="129"/>
      <c r="C711" s="129"/>
      <c r="D711" s="129"/>
      <c r="E711" s="129"/>
      <c r="F711" s="129"/>
      <c r="G711" s="129"/>
      <c r="H711" s="129"/>
      <c r="I711" s="129"/>
      <c r="J711" s="129"/>
      <c r="K711" s="129"/>
      <c r="L711" s="129"/>
      <c r="M711" s="129"/>
      <c r="N711" s="129"/>
      <c r="O711" s="129"/>
      <c r="P711" s="129"/>
      <c r="Q711" s="129"/>
      <c r="R711" s="129"/>
      <c r="S711" s="129"/>
      <c r="T711" s="129"/>
      <c r="U711" s="129"/>
      <c r="V711" s="129"/>
      <c r="W711" s="129"/>
      <c r="X711" s="129"/>
      <c r="Y711" s="129"/>
      <c r="Z711" s="129"/>
      <c r="AA711" s="129"/>
      <c r="AB711" s="129"/>
      <c r="AC711" s="129"/>
      <c r="AD711" s="129"/>
      <c r="AE711" s="129"/>
      <c r="AF711" s="129"/>
    </row>
    <row r="885" spans="2:32" x14ac:dyDescent="0.25">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row>
    <row r="886" spans="2:32" x14ac:dyDescent="0.25">
      <c r="B886" s="129"/>
      <c r="C886" s="129"/>
      <c r="D886" s="129"/>
      <c r="E886" s="129"/>
      <c r="F886" s="129"/>
      <c r="G886" s="129"/>
      <c r="H886" s="129"/>
      <c r="I886" s="129"/>
      <c r="J886" s="129"/>
      <c r="K886" s="129"/>
      <c r="L886" s="129"/>
      <c r="M886" s="129"/>
      <c r="N886" s="129"/>
      <c r="O886" s="129"/>
      <c r="P886" s="129"/>
      <c r="Q886" s="129"/>
      <c r="R886" s="129"/>
      <c r="S886" s="129"/>
      <c r="T886" s="129"/>
      <c r="U886" s="129"/>
      <c r="V886" s="129"/>
      <c r="W886" s="129"/>
      <c r="X886" s="129"/>
      <c r="Y886" s="129"/>
      <c r="Z886" s="129"/>
      <c r="AA886" s="129"/>
      <c r="AB886" s="129"/>
      <c r="AC886" s="129"/>
      <c r="AD886" s="129"/>
      <c r="AE886" s="129"/>
      <c r="AF886" s="129"/>
    </row>
    <row r="1095" spans="2:32" x14ac:dyDescent="0.25">
      <c r="B1095" s="6"/>
      <c r="C1095" s="6"/>
      <c r="D1095" s="6"/>
      <c r="E1095" s="6"/>
      <c r="F1095" s="6"/>
      <c r="G1095" s="6"/>
      <c r="H1095" s="6"/>
      <c r="I1095" s="6"/>
      <c r="J1095" s="6"/>
      <c r="K1095" s="6"/>
      <c r="L1095" s="6"/>
      <c r="M1095" s="6"/>
      <c r="N1095" s="6"/>
      <c r="O1095" s="6"/>
      <c r="P1095" s="6"/>
      <c r="Q1095" s="6"/>
      <c r="R1095" s="6"/>
      <c r="S1095" s="6"/>
      <c r="T1095" s="6"/>
      <c r="U1095" s="6"/>
      <c r="V1095" s="6"/>
      <c r="W1095" s="6"/>
      <c r="X1095" s="6"/>
      <c r="Y1095" s="6"/>
      <c r="Z1095" s="6"/>
      <c r="AA1095" s="6"/>
      <c r="AB1095" s="6"/>
      <c r="AC1095" s="6"/>
      <c r="AD1095" s="6"/>
      <c r="AE1095" s="6"/>
      <c r="AF1095" s="6"/>
    </row>
    <row r="1099" spans="2:32" x14ac:dyDescent="0.25">
      <c r="B1099" s="6"/>
      <c r="C1099" s="6"/>
      <c r="D1099" s="6"/>
      <c r="E1099" s="6"/>
      <c r="F1099" s="6"/>
      <c r="G1099" s="6"/>
      <c r="H1099" s="6"/>
      <c r="I1099" s="6"/>
      <c r="J1099" s="6"/>
      <c r="K1099" s="6"/>
      <c r="L1099" s="6"/>
      <c r="M1099" s="6"/>
      <c r="N1099" s="6"/>
      <c r="O1099" s="6"/>
      <c r="P1099" s="6"/>
      <c r="Q1099" s="6"/>
      <c r="R1099" s="6"/>
      <c r="S1099" s="6"/>
      <c r="T1099" s="6"/>
      <c r="U1099" s="6"/>
      <c r="V1099" s="6"/>
      <c r="W1099" s="6"/>
      <c r="X1099" s="6"/>
      <c r="Y1099" s="6"/>
      <c r="Z1099" s="6"/>
      <c r="AA1099" s="6"/>
      <c r="AB1099" s="6"/>
      <c r="AC1099" s="6"/>
      <c r="AD1099" s="6"/>
      <c r="AE1099" s="6"/>
      <c r="AF1099" s="6"/>
    </row>
    <row r="1100" spans="2:32" x14ac:dyDescent="0.25">
      <c r="B1100" s="129"/>
      <c r="C1100" s="129"/>
      <c r="D1100" s="129"/>
      <c r="E1100" s="129"/>
      <c r="F1100" s="129"/>
      <c r="G1100" s="129"/>
      <c r="H1100" s="129"/>
      <c r="I1100" s="129"/>
      <c r="J1100" s="129"/>
      <c r="K1100" s="129"/>
      <c r="L1100" s="129"/>
      <c r="M1100" s="129"/>
      <c r="N1100" s="129"/>
      <c r="O1100" s="129"/>
      <c r="P1100" s="129"/>
      <c r="Q1100" s="129"/>
      <c r="R1100" s="129"/>
      <c r="S1100" s="129"/>
      <c r="T1100" s="129"/>
      <c r="U1100" s="129"/>
      <c r="V1100" s="129"/>
      <c r="W1100" s="129"/>
      <c r="X1100" s="129"/>
      <c r="Y1100" s="129"/>
      <c r="Z1100" s="129"/>
      <c r="AA1100" s="129"/>
      <c r="AB1100" s="129"/>
      <c r="AC1100" s="129"/>
      <c r="AD1100" s="129"/>
      <c r="AE1100" s="129"/>
      <c r="AF1100" s="129"/>
    </row>
    <row r="1227" spans="2:32" x14ac:dyDescent="0.25">
      <c r="B1227" s="6"/>
      <c r="C1227" s="6"/>
      <c r="D1227" s="6"/>
      <c r="E1227" s="6"/>
      <c r="F1227" s="6"/>
      <c r="G1227" s="6"/>
      <c r="H1227" s="6"/>
      <c r="I1227" s="6"/>
      <c r="J1227" s="6"/>
      <c r="K1227" s="6"/>
      <c r="L1227" s="6"/>
      <c r="M1227" s="6"/>
      <c r="N1227" s="6"/>
      <c r="O1227" s="6"/>
      <c r="P1227" s="6"/>
      <c r="Q1227" s="6"/>
      <c r="R1227" s="6"/>
      <c r="S1227" s="6"/>
      <c r="T1227" s="6"/>
      <c r="U1227" s="6"/>
      <c r="V1227" s="6"/>
      <c r="W1227" s="6"/>
      <c r="X1227" s="6"/>
      <c r="Y1227" s="6"/>
      <c r="Z1227" s="6"/>
      <c r="AA1227" s="6"/>
      <c r="AB1227" s="6"/>
      <c r="AC1227" s="6"/>
      <c r="AD1227" s="6"/>
      <c r="AE1227" s="6"/>
      <c r="AF1227" s="6"/>
    </row>
    <row r="1228" spans="2:32" x14ac:dyDescent="0.25">
      <c r="B1228" s="129"/>
      <c r="C1228" s="129"/>
      <c r="D1228" s="129"/>
      <c r="E1228" s="129"/>
      <c r="F1228" s="129"/>
      <c r="G1228" s="129"/>
      <c r="H1228" s="129"/>
      <c r="I1228" s="129"/>
      <c r="J1228" s="129"/>
      <c r="K1228" s="129"/>
      <c r="L1228" s="129"/>
      <c r="M1228" s="129"/>
      <c r="N1228" s="129"/>
      <c r="O1228" s="129"/>
      <c r="P1228" s="129"/>
      <c r="Q1228" s="129"/>
      <c r="R1228" s="129"/>
      <c r="S1228" s="129"/>
      <c r="T1228" s="129"/>
      <c r="U1228" s="129"/>
      <c r="V1228" s="129"/>
      <c r="W1228" s="129"/>
      <c r="X1228" s="129"/>
      <c r="Y1228" s="129"/>
      <c r="Z1228" s="129"/>
      <c r="AA1228" s="129"/>
      <c r="AB1228" s="129"/>
      <c r="AC1228" s="129"/>
      <c r="AD1228" s="129"/>
      <c r="AE1228" s="129"/>
      <c r="AF1228" s="129"/>
    </row>
    <row r="1383" spans="2:32" x14ac:dyDescent="0.25">
      <c r="B1383" s="6"/>
      <c r="C1383" s="6"/>
      <c r="D1383" s="6"/>
      <c r="E1383" s="6"/>
      <c r="F1383" s="6"/>
      <c r="G1383" s="6"/>
      <c r="H1383" s="6"/>
      <c r="I1383" s="6"/>
      <c r="J1383" s="6"/>
      <c r="K1383" s="6"/>
      <c r="L1383" s="6"/>
      <c r="M1383" s="6"/>
      <c r="N1383" s="6"/>
      <c r="O1383" s="6"/>
      <c r="P1383" s="6"/>
      <c r="Q1383" s="6"/>
      <c r="R1383" s="6"/>
      <c r="S1383" s="6"/>
      <c r="T1383" s="6"/>
      <c r="U1383" s="6"/>
      <c r="V1383" s="6"/>
      <c r="W1383" s="6"/>
      <c r="X1383" s="6"/>
      <c r="Y1383" s="6"/>
      <c r="Z1383" s="6"/>
      <c r="AA1383" s="6"/>
      <c r="AB1383" s="6"/>
      <c r="AC1383" s="6"/>
      <c r="AD1383" s="6"/>
      <c r="AE1383" s="6"/>
      <c r="AF1383" s="6"/>
    </row>
    <row r="1388" spans="2:32" x14ac:dyDescent="0.25">
      <c r="B1388" s="6"/>
      <c r="C1388" s="6"/>
      <c r="D1388" s="6"/>
      <c r="E1388" s="6"/>
      <c r="F1388" s="6"/>
      <c r="G1388" s="6"/>
      <c r="H1388" s="6"/>
      <c r="I1388" s="6"/>
      <c r="J1388" s="6"/>
      <c r="K1388" s="6"/>
      <c r="L1388" s="6"/>
      <c r="M1388" s="6"/>
      <c r="N1388" s="6"/>
      <c r="O1388" s="6"/>
      <c r="P1388" s="6"/>
      <c r="Q1388" s="6"/>
      <c r="R1388" s="6"/>
      <c r="S1388" s="6"/>
      <c r="T1388" s="6"/>
      <c r="U1388" s="6"/>
      <c r="V1388" s="6"/>
      <c r="W1388" s="6"/>
      <c r="X1388" s="6"/>
      <c r="Y1388" s="6"/>
      <c r="Z1388" s="6"/>
      <c r="AA1388" s="6"/>
      <c r="AB1388" s="6"/>
      <c r="AC1388" s="6"/>
      <c r="AD1388" s="6"/>
      <c r="AE1388" s="6"/>
      <c r="AF1388" s="6"/>
    </row>
    <row r="1389" spans="2:32" x14ac:dyDescent="0.25">
      <c r="B1389" s="129"/>
      <c r="C1389" s="129"/>
      <c r="D1389" s="129"/>
      <c r="E1389" s="129"/>
      <c r="F1389" s="129"/>
      <c r="G1389" s="129"/>
      <c r="H1389" s="129"/>
      <c r="I1389" s="129"/>
      <c r="J1389" s="129"/>
      <c r="K1389" s="129"/>
      <c r="L1389" s="129"/>
      <c r="M1389" s="129"/>
      <c r="N1389" s="129"/>
      <c r="O1389" s="129"/>
      <c r="P1389" s="129"/>
      <c r="Q1389" s="129"/>
      <c r="R1389" s="129"/>
      <c r="S1389" s="129"/>
      <c r="T1389" s="129"/>
      <c r="U1389" s="129"/>
      <c r="V1389" s="129"/>
      <c r="W1389" s="129"/>
      <c r="X1389" s="129"/>
      <c r="Y1389" s="129"/>
      <c r="Z1389" s="129"/>
      <c r="AA1389" s="129"/>
      <c r="AB1389" s="129"/>
      <c r="AC1389" s="129"/>
      <c r="AD1389" s="129"/>
      <c r="AE1389" s="129"/>
      <c r="AF1389" s="129"/>
    </row>
    <row r="1489" spans="2:32" x14ac:dyDescent="0.25">
      <c r="B1489" s="6"/>
      <c r="C1489" s="6"/>
      <c r="D1489" s="6"/>
      <c r="E1489" s="6"/>
      <c r="F1489" s="6"/>
      <c r="G1489" s="6"/>
      <c r="H1489" s="6"/>
      <c r="I1489" s="6"/>
      <c r="J1489" s="6"/>
      <c r="K1489" s="6"/>
      <c r="L1489" s="6"/>
      <c r="M1489" s="6"/>
      <c r="N1489" s="6"/>
      <c r="O1489" s="6"/>
      <c r="P1489" s="6"/>
      <c r="Q1489" s="6"/>
      <c r="R1489" s="6"/>
      <c r="S1489" s="6"/>
      <c r="T1489" s="6"/>
      <c r="U1489" s="6"/>
      <c r="V1489" s="6"/>
      <c r="W1489" s="6"/>
      <c r="X1489" s="6"/>
      <c r="Y1489" s="6"/>
      <c r="Z1489" s="6"/>
      <c r="AA1489" s="6"/>
      <c r="AB1489" s="6"/>
      <c r="AC1489" s="6"/>
      <c r="AD1489" s="6"/>
      <c r="AE1489" s="6"/>
      <c r="AF1489" s="6"/>
    </row>
    <row r="1498" spans="2:32" x14ac:dyDescent="0.25">
      <c r="B1498" s="6"/>
      <c r="C1498" s="6"/>
      <c r="D1498" s="6"/>
      <c r="E1498" s="6"/>
      <c r="F1498" s="6"/>
      <c r="G1498" s="6"/>
      <c r="H1498" s="6"/>
      <c r="I1498" s="6"/>
      <c r="J1498" s="6"/>
      <c r="K1498" s="6"/>
      <c r="L1498" s="6"/>
      <c r="M1498" s="6"/>
      <c r="N1498" s="6"/>
      <c r="O1498" s="6"/>
      <c r="P1498" s="6"/>
      <c r="Q1498" s="6"/>
      <c r="R1498" s="6"/>
      <c r="S1498" s="6"/>
      <c r="T1498" s="6"/>
      <c r="U1498" s="6"/>
      <c r="V1498" s="6"/>
      <c r="W1498" s="6"/>
      <c r="X1498" s="6"/>
      <c r="Y1498" s="6"/>
      <c r="Z1498" s="6"/>
      <c r="AA1498" s="6"/>
      <c r="AB1498" s="6"/>
      <c r="AC1498" s="6"/>
      <c r="AD1498" s="6"/>
      <c r="AE1498" s="6"/>
      <c r="AF1498" s="6"/>
    </row>
    <row r="1500" spans="2:32" x14ac:dyDescent="0.25">
      <c r="B1500" s="6"/>
      <c r="C1500" s="6"/>
      <c r="D1500" s="6"/>
      <c r="E1500" s="6"/>
      <c r="F1500" s="6"/>
      <c r="G1500" s="6"/>
      <c r="H1500" s="6"/>
      <c r="I1500" s="6"/>
      <c r="J1500" s="6"/>
      <c r="K1500" s="6"/>
      <c r="L1500" s="6"/>
      <c r="M1500" s="6"/>
      <c r="N1500" s="6"/>
      <c r="O1500" s="6"/>
      <c r="P1500" s="6"/>
      <c r="Q1500" s="6"/>
      <c r="R1500" s="6"/>
      <c r="S1500" s="6"/>
      <c r="T1500" s="6"/>
      <c r="U1500" s="6"/>
      <c r="V1500" s="6"/>
      <c r="W1500" s="6"/>
      <c r="X1500" s="6"/>
      <c r="Y1500" s="6"/>
      <c r="Z1500" s="6"/>
      <c r="AA1500" s="6"/>
      <c r="AB1500" s="6"/>
      <c r="AC1500" s="6"/>
      <c r="AD1500" s="6"/>
      <c r="AE1500" s="6"/>
      <c r="AF1500" s="6"/>
    </row>
    <row r="1501" spans="2:32" x14ac:dyDescent="0.25">
      <c r="B1501" s="129"/>
      <c r="C1501" s="129"/>
      <c r="D1501" s="129"/>
      <c r="E1501" s="129"/>
      <c r="F1501" s="129"/>
      <c r="G1501" s="129"/>
      <c r="H1501" s="129"/>
      <c r="I1501" s="129"/>
      <c r="J1501" s="129"/>
      <c r="K1501" s="129"/>
      <c r="L1501" s="129"/>
      <c r="M1501" s="129"/>
      <c r="N1501" s="129"/>
      <c r="O1501" s="129"/>
      <c r="P1501" s="129"/>
      <c r="Q1501" s="129"/>
      <c r="R1501" s="129"/>
      <c r="S1501" s="129"/>
      <c r="T1501" s="129"/>
      <c r="U1501" s="129"/>
      <c r="V1501" s="129"/>
      <c r="W1501" s="129"/>
      <c r="X1501" s="129"/>
      <c r="Y1501" s="129"/>
      <c r="Z1501" s="129"/>
      <c r="AA1501" s="129"/>
      <c r="AB1501" s="129"/>
      <c r="AC1501" s="129"/>
      <c r="AD1501" s="129"/>
      <c r="AE1501" s="129"/>
      <c r="AF1501" s="129"/>
    </row>
    <row r="1602" spans="2:32" x14ac:dyDescent="0.25">
      <c r="B1602" s="6"/>
      <c r="C1602" s="6"/>
      <c r="D1602" s="6"/>
      <c r="E1602" s="6"/>
      <c r="F1602" s="6"/>
      <c r="G1602" s="6"/>
      <c r="H1602" s="6"/>
      <c r="I1602" s="6"/>
      <c r="J1602" s="6"/>
      <c r="K1602" s="6"/>
      <c r="L1602" s="6"/>
      <c r="M1602" s="6"/>
      <c r="N1602" s="6"/>
      <c r="O1602" s="6"/>
      <c r="P1602" s="6"/>
      <c r="Q1602" s="6"/>
      <c r="R1602" s="6"/>
      <c r="S1602" s="6"/>
      <c r="T1602" s="6"/>
      <c r="U1602" s="6"/>
      <c r="V1602" s="6"/>
      <c r="W1602" s="6"/>
      <c r="X1602" s="6"/>
      <c r="Y1602" s="6"/>
      <c r="Z1602" s="6"/>
      <c r="AA1602" s="6"/>
      <c r="AB1602" s="6"/>
      <c r="AC1602" s="6"/>
      <c r="AD1602" s="6"/>
      <c r="AE1602" s="6"/>
      <c r="AF1602" s="6"/>
    </row>
    <row r="1603" spans="2:32" x14ac:dyDescent="0.25">
      <c r="B1603" s="129"/>
      <c r="C1603" s="129"/>
      <c r="D1603" s="129"/>
      <c r="E1603" s="129"/>
      <c r="F1603" s="129"/>
      <c r="G1603" s="129"/>
      <c r="H1603" s="129"/>
      <c r="I1603" s="129"/>
      <c r="J1603" s="129"/>
      <c r="K1603" s="129"/>
      <c r="L1603" s="129"/>
      <c r="M1603" s="129"/>
      <c r="N1603" s="129"/>
      <c r="O1603" s="129"/>
      <c r="P1603" s="129"/>
      <c r="Q1603" s="129"/>
      <c r="R1603" s="129"/>
      <c r="S1603" s="129"/>
      <c r="T1603" s="129"/>
      <c r="U1603" s="129"/>
      <c r="V1603" s="129"/>
      <c r="W1603" s="129"/>
      <c r="X1603" s="129"/>
      <c r="Y1603" s="129"/>
      <c r="Z1603" s="129"/>
      <c r="AA1603" s="129"/>
      <c r="AB1603" s="129"/>
      <c r="AC1603" s="129"/>
      <c r="AD1603" s="129"/>
      <c r="AE1603" s="129"/>
      <c r="AF1603" s="129"/>
    </row>
    <row r="1611" spans="2:32" x14ac:dyDescent="0.25">
      <c r="B1611" s="6"/>
      <c r="C1611" s="6"/>
      <c r="D1611" s="6"/>
      <c r="E1611" s="6"/>
      <c r="F1611" s="6"/>
      <c r="G1611" s="6"/>
      <c r="H1611" s="6"/>
      <c r="I1611" s="6"/>
      <c r="J1611" s="6"/>
      <c r="K1611" s="6"/>
      <c r="L1611" s="6"/>
      <c r="M1611" s="6"/>
      <c r="N1611" s="6"/>
      <c r="O1611" s="6"/>
      <c r="P1611" s="6"/>
      <c r="Q1611" s="6"/>
      <c r="R1611" s="6"/>
      <c r="S1611" s="6"/>
      <c r="T1611" s="6"/>
      <c r="U1611" s="6"/>
      <c r="V1611" s="6"/>
      <c r="W1611" s="6"/>
      <c r="X1611" s="6"/>
      <c r="Y1611" s="6"/>
      <c r="Z1611" s="6"/>
      <c r="AA1611" s="6"/>
      <c r="AB1611" s="6"/>
      <c r="AC1611" s="6"/>
      <c r="AD1611" s="6"/>
      <c r="AE1611" s="6"/>
      <c r="AF1611" s="6"/>
    </row>
    <row r="1612" spans="2:32" x14ac:dyDescent="0.25">
      <c r="B1612" s="6"/>
      <c r="C1612" s="6"/>
      <c r="D1612" s="6"/>
      <c r="E1612" s="6"/>
      <c r="F1612" s="6"/>
      <c r="G1612" s="6"/>
      <c r="H1612" s="6"/>
      <c r="I1612" s="6"/>
      <c r="J1612" s="6"/>
      <c r="K1612" s="6"/>
      <c r="L1612" s="6"/>
      <c r="M1612" s="6"/>
      <c r="N1612" s="6"/>
      <c r="O1612" s="6"/>
      <c r="P1612" s="6"/>
      <c r="Q1612" s="6"/>
      <c r="R1612" s="6"/>
      <c r="S1612" s="6"/>
      <c r="T1612" s="6"/>
      <c r="U1612" s="6"/>
      <c r="V1612" s="6"/>
      <c r="W1612" s="6"/>
      <c r="X1612" s="6"/>
      <c r="Y1612" s="6"/>
      <c r="Z1612" s="6"/>
      <c r="AA1612" s="6"/>
      <c r="AB1612" s="6"/>
      <c r="AC1612" s="6"/>
      <c r="AD1612" s="6"/>
      <c r="AE1612" s="6"/>
      <c r="AF1612" s="6"/>
    </row>
    <row r="1613" spans="2:32" x14ac:dyDescent="0.25">
      <c r="B1613" s="6"/>
      <c r="C1613" s="6"/>
      <c r="D1613" s="6"/>
      <c r="E1613" s="6"/>
      <c r="F1613" s="6"/>
      <c r="G1613" s="6"/>
      <c r="H1613" s="6"/>
      <c r="I1613" s="6"/>
      <c r="J1613" s="6"/>
      <c r="K1613" s="6"/>
      <c r="L1613" s="6"/>
      <c r="M1613" s="6"/>
      <c r="N1613" s="6"/>
      <c r="O1613" s="6"/>
      <c r="P1613" s="6"/>
      <c r="Q1613" s="6"/>
      <c r="R1613" s="6"/>
      <c r="S1613" s="6"/>
      <c r="T1613" s="6"/>
      <c r="U1613" s="6"/>
      <c r="V1613" s="6"/>
      <c r="W1613" s="6"/>
      <c r="X1613" s="6"/>
      <c r="Y1613" s="6"/>
      <c r="Z1613" s="6"/>
      <c r="AA1613" s="6"/>
      <c r="AB1613" s="6"/>
      <c r="AC1613" s="6"/>
      <c r="AD1613" s="6"/>
      <c r="AE1613" s="6"/>
      <c r="AF1613" s="6"/>
    </row>
    <row r="1614" spans="2:32" x14ac:dyDescent="0.25">
      <c r="B1614" s="6"/>
      <c r="C1614" s="6"/>
      <c r="D1614" s="6"/>
      <c r="E1614" s="6"/>
      <c r="F1614" s="6"/>
      <c r="G1614" s="6"/>
      <c r="H1614" s="6"/>
      <c r="I1614" s="6"/>
      <c r="J1614" s="6"/>
      <c r="K1614" s="6"/>
      <c r="L1614" s="6"/>
      <c r="M1614" s="6"/>
      <c r="N1614" s="6"/>
      <c r="O1614" s="6"/>
      <c r="P1614" s="6"/>
      <c r="Q1614" s="6"/>
      <c r="R1614" s="6"/>
      <c r="S1614" s="6"/>
      <c r="T1614" s="6"/>
      <c r="U1614" s="6"/>
      <c r="V1614" s="6"/>
      <c r="W1614" s="6"/>
      <c r="X1614" s="6"/>
      <c r="Y1614" s="6"/>
      <c r="Z1614" s="6"/>
      <c r="AA1614" s="6"/>
      <c r="AB1614" s="6"/>
      <c r="AC1614" s="6"/>
      <c r="AD1614" s="6"/>
      <c r="AE1614" s="6"/>
      <c r="AF1614" s="6"/>
    </row>
    <row r="1615" spans="2:32" x14ac:dyDescent="0.25">
      <c r="B1615" s="6"/>
      <c r="C1615" s="6"/>
      <c r="D1615" s="6"/>
      <c r="E1615" s="6"/>
      <c r="F1615" s="6"/>
      <c r="G1615" s="6"/>
      <c r="H1615" s="6"/>
      <c r="I1615" s="6"/>
      <c r="J1615" s="6"/>
      <c r="K1615" s="6"/>
      <c r="L1615" s="6"/>
      <c r="M1615" s="6"/>
      <c r="N1615" s="6"/>
      <c r="O1615" s="6"/>
      <c r="P1615" s="6"/>
      <c r="Q1615" s="6"/>
      <c r="R1615" s="6"/>
      <c r="S1615" s="6"/>
      <c r="T1615" s="6"/>
      <c r="U1615" s="6"/>
      <c r="V1615" s="6"/>
      <c r="W1615" s="6"/>
      <c r="X1615" s="6"/>
      <c r="Y1615" s="6"/>
      <c r="Z1615" s="6"/>
      <c r="AA1615" s="6"/>
      <c r="AB1615" s="6"/>
      <c r="AC1615" s="6"/>
      <c r="AD1615" s="6"/>
      <c r="AE1615" s="6"/>
      <c r="AF1615" s="6"/>
    </row>
    <row r="1616" spans="2:32" x14ac:dyDescent="0.25">
      <c r="B1616" s="6"/>
      <c r="C1616" s="6"/>
      <c r="D1616" s="6"/>
      <c r="E1616" s="6"/>
      <c r="F1616" s="6"/>
      <c r="G1616" s="6"/>
      <c r="H1616" s="6"/>
      <c r="I1616" s="6"/>
      <c r="J1616" s="6"/>
      <c r="K1616" s="6"/>
      <c r="L1616" s="6"/>
      <c r="M1616" s="6"/>
      <c r="N1616" s="6"/>
      <c r="O1616" s="6"/>
      <c r="P1616" s="6"/>
      <c r="Q1616" s="6"/>
      <c r="R1616" s="6"/>
      <c r="S1616" s="6"/>
      <c r="T1616" s="6"/>
      <c r="U1616" s="6"/>
      <c r="V1616" s="6"/>
      <c r="W1616" s="6"/>
      <c r="X1616" s="6"/>
      <c r="Y1616" s="6"/>
      <c r="Z1616" s="6"/>
      <c r="AA1616" s="6"/>
      <c r="AB1616" s="6"/>
      <c r="AC1616" s="6"/>
      <c r="AD1616" s="6"/>
      <c r="AE1616" s="6"/>
      <c r="AF1616" s="6"/>
    </row>
    <row r="1697" spans="2:32" x14ac:dyDescent="0.25">
      <c r="B1697" s="6"/>
      <c r="C1697" s="6"/>
      <c r="D1697" s="6"/>
      <c r="E1697" s="6"/>
      <c r="F1697" s="6"/>
      <c r="G1697" s="6"/>
      <c r="H1697" s="6"/>
      <c r="I1697" s="6"/>
      <c r="J1697" s="6"/>
      <c r="K1697" s="6"/>
      <c r="L1697" s="6"/>
      <c r="M1697" s="6"/>
      <c r="N1697" s="6"/>
      <c r="O1697" s="6"/>
      <c r="P1697" s="6"/>
      <c r="Q1697" s="6"/>
      <c r="R1697" s="6"/>
      <c r="S1697" s="6"/>
      <c r="T1697" s="6"/>
      <c r="U1697" s="6"/>
      <c r="V1697" s="6"/>
      <c r="W1697" s="6"/>
      <c r="X1697" s="6"/>
      <c r="Y1697" s="6"/>
      <c r="Z1697" s="6"/>
      <c r="AA1697" s="6"/>
      <c r="AB1697" s="6"/>
      <c r="AC1697" s="6"/>
      <c r="AD1697" s="6"/>
      <c r="AE1697" s="6"/>
      <c r="AF1697" s="6"/>
    </row>
    <row r="1698" spans="2:32" x14ac:dyDescent="0.25">
      <c r="B1698" s="129"/>
      <c r="C1698" s="129"/>
      <c r="D1698" s="129"/>
      <c r="E1698" s="129"/>
      <c r="F1698" s="129"/>
      <c r="G1698" s="129"/>
      <c r="H1698" s="129"/>
      <c r="I1698" s="129"/>
      <c r="J1698" s="129"/>
      <c r="K1698" s="129"/>
      <c r="L1698" s="129"/>
      <c r="M1698" s="129"/>
      <c r="N1698" s="129"/>
      <c r="O1698" s="129"/>
      <c r="P1698" s="129"/>
      <c r="Q1698" s="129"/>
      <c r="R1698" s="129"/>
      <c r="S1698" s="129"/>
      <c r="T1698" s="129"/>
      <c r="U1698" s="129"/>
      <c r="V1698" s="129"/>
      <c r="W1698" s="129"/>
      <c r="X1698" s="129"/>
      <c r="Y1698" s="129"/>
      <c r="Z1698" s="129"/>
      <c r="AA1698" s="129"/>
      <c r="AB1698" s="129"/>
      <c r="AC1698" s="129"/>
      <c r="AD1698" s="129"/>
      <c r="AE1698" s="129"/>
      <c r="AF1698" s="129"/>
    </row>
    <row r="1943" spans="2:32" x14ac:dyDescent="0.25">
      <c r="B1943" s="6"/>
      <c r="C1943" s="6"/>
      <c r="D1943" s="6"/>
      <c r="E1943" s="6"/>
      <c r="F1943" s="6"/>
      <c r="G1943" s="6"/>
      <c r="H1943" s="6"/>
      <c r="I1943" s="6"/>
      <c r="J1943" s="6"/>
      <c r="K1943" s="6"/>
      <c r="L1943" s="6"/>
      <c r="M1943" s="6"/>
      <c r="N1943" s="6"/>
      <c r="O1943" s="6"/>
      <c r="P1943" s="6"/>
      <c r="Q1943" s="6"/>
      <c r="R1943" s="6"/>
      <c r="S1943" s="6"/>
      <c r="T1943" s="6"/>
      <c r="U1943" s="6"/>
      <c r="V1943" s="6"/>
      <c r="W1943" s="6"/>
      <c r="X1943" s="6"/>
      <c r="Y1943" s="6"/>
      <c r="Z1943" s="6"/>
      <c r="AA1943" s="6"/>
      <c r="AB1943" s="6"/>
      <c r="AC1943" s="6"/>
      <c r="AD1943" s="6"/>
      <c r="AE1943" s="6"/>
      <c r="AF1943" s="6"/>
    </row>
    <row r="1944" spans="2:32" x14ac:dyDescent="0.25">
      <c r="B1944" s="129"/>
      <c r="C1944" s="129"/>
      <c r="D1944" s="129"/>
      <c r="E1944" s="129"/>
      <c r="F1944" s="129"/>
      <c r="G1944" s="129"/>
      <c r="H1944" s="129"/>
      <c r="I1944" s="129"/>
      <c r="J1944" s="129"/>
      <c r="K1944" s="129"/>
      <c r="L1944" s="129"/>
      <c r="M1944" s="129"/>
      <c r="N1944" s="129"/>
      <c r="O1944" s="129"/>
      <c r="P1944" s="129"/>
      <c r="Q1944" s="129"/>
      <c r="R1944" s="129"/>
      <c r="S1944" s="129"/>
      <c r="T1944" s="129"/>
      <c r="U1944" s="129"/>
      <c r="V1944" s="129"/>
      <c r="W1944" s="129"/>
      <c r="X1944" s="129"/>
      <c r="Y1944" s="129"/>
      <c r="Z1944" s="129"/>
      <c r="AA1944" s="129"/>
      <c r="AB1944" s="129"/>
      <c r="AC1944" s="129"/>
      <c r="AD1944" s="129"/>
      <c r="AE1944" s="129"/>
      <c r="AF1944" s="129"/>
    </row>
    <row r="2020" spans="2:32" x14ac:dyDescent="0.25">
      <c r="B2020" s="6"/>
      <c r="C2020" s="6"/>
      <c r="D2020" s="6"/>
      <c r="E2020" s="6"/>
      <c r="F2020" s="6"/>
      <c r="G2020" s="6"/>
      <c r="H2020" s="6"/>
      <c r="I2020" s="6"/>
      <c r="J2020" s="6"/>
      <c r="K2020" s="6"/>
      <c r="L2020" s="6"/>
      <c r="M2020" s="6"/>
      <c r="N2020" s="6"/>
      <c r="O2020" s="6"/>
      <c r="P2020" s="6"/>
      <c r="Q2020" s="6"/>
      <c r="R2020" s="6"/>
      <c r="S2020" s="6"/>
      <c r="T2020" s="6"/>
      <c r="U2020" s="6"/>
      <c r="V2020" s="6"/>
      <c r="W2020" s="6"/>
      <c r="X2020" s="6"/>
      <c r="Y2020" s="6"/>
      <c r="Z2020" s="6"/>
      <c r="AA2020" s="6"/>
      <c r="AB2020" s="6"/>
      <c r="AC2020" s="6"/>
      <c r="AD2020" s="6"/>
      <c r="AE2020" s="6"/>
      <c r="AF2020" s="6"/>
    </row>
    <row r="2029" spans="2:32" x14ac:dyDescent="0.25">
      <c r="B2029" s="6"/>
      <c r="C2029" s="6"/>
      <c r="D2029" s="6"/>
      <c r="E2029" s="6"/>
      <c r="F2029" s="6"/>
      <c r="G2029" s="6"/>
      <c r="H2029" s="6"/>
      <c r="I2029" s="6"/>
      <c r="J2029" s="6"/>
      <c r="K2029" s="6"/>
      <c r="L2029" s="6"/>
      <c r="M2029" s="6"/>
      <c r="N2029" s="6"/>
      <c r="O2029" s="6"/>
      <c r="P2029" s="6"/>
      <c r="Q2029" s="6"/>
      <c r="R2029" s="6"/>
      <c r="S2029" s="6"/>
      <c r="T2029" s="6"/>
      <c r="U2029" s="6"/>
      <c r="V2029" s="6"/>
      <c r="W2029" s="6"/>
      <c r="X2029" s="6"/>
      <c r="Y2029" s="6"/>
      <c r="Z2029" s="6"/>
      <c r="AA2029" s="6"/>
      <c r="AB2029" s="6"/>
      <c r="AC2029" s="6"/>
      <c r="AD2029" s="6"/>
      <c r="AE2029" s="6"/>
      <c r="AF2029" s="6"/>
    </row>
    <row r="2030" spans="2:32" x14ac:dyDescent="0.25">
      <c r="B2030" s="129"/>
      <c r="C2030" s="129"/>
      <c r="D2030" s="129"/>
      <c r="E2030" s="129"/>
      <c r="F2030" s="129"/>
      <c r="G2030" s="129"/>
      <c r="H2030" s="129"/>
      <c r="I2030" s="129"/>
      <c r="J2030" s="129"/>
      <c r="K2030" s="129"/>
      <c r="L2030" s="129"/>
      <c r="M2030" s="129"/>
      <c r="N2030" s="129"/>
      <c r="O2030" s="129"/>
      <c r="P2030" s="129"/>
      <c r="Q2030" s="129"/>
      <c r="R2030" s="129"/>
      <c r="S2030" s="129"/>
      <c r="T2030" s="129"/>
      <c r="U2030" s="129"/>
      <c r="V2030" s="129"/>
      <c r="W2030" s="129"/>
      <c r="X2030" s="129"/>
      <c r="Y2030" s="129"/>
      <c r="Z2030" s="129"/>
      <c r="AA2030" s="129"/>
      <c r="AB2030" s="129"/>
      <c r="AC2030" s="129"/>
      <c r="AD2030" s="129"/>
      <c r="AE2030" s="129"/>
      <c r="AF2030" s="129"/>
    </row>
    <row r="2146" spans="2:32" x14ac:dyDescent="0.25">
      <c r="B2146" s="6"/>
      <c r="C2146" s="6"/>
      <c r="D2146" s="6"/>
      <c r="E2146" s="6"/>
      <c r="F2146" s="6"/>
      <c r="G2146" s="6"/>
      <c r="H2146" s="6"/>
      <c r="I2146" s="6"/>
      <c r="J2146" s="6"/>
      <c r="K2146" s="6"/>
      <c r="L2146" s="6"/>
      <c r="M2146" s="6"/>
      <c r="N2146" s="6"/>
      <c r="O2146" s="6"/>
      <c r="P2146" s="6"/>
      <c r="Q2146" s="6"/>
      <c r="R2146" s="6"/>
      <c r="S2146" s="6"/>
      <c r="T2146" s="6"/>
      <c r="U2146" s="6"/>
      <c r="V2146" s="6"/>
      <c r="W2146" s="6"/>
      <c r="X2146" s="6"/>
      <c r="Y2146" s="6"/>
      <c r="Z2146" s="6"/>
      <c r="AA2146" s="6"/>
      <c r="AB2146" s="6"/>
      <c r="AC2146" s="6"/>
      <c r="AD2146" s="6"/>
      <c r="AE2146" s="6"/>
      <c r="AF2146" s="6"/>
    </row>
    <row r="2148" spans="2:32" x14ac:dyDescent="0.25">
      <c r="B2148" s="6"/>
      <c r="C2148" s="6"/>
      <c r="D2148" s="6"/>
      <c r="E2148" s="6"/>
      <c r="F2148" s="6"/>
      <c r="G2148" s="6"/>
      <c r="H2148" s="6"/>
      <c r="I2148" s="6"/>
      <c r="J2148" s="6"/>
      <c r="K2148" s="6"/>
      <c r="L2148" s="6"/>
      <c r="M2148" s="6"/>
      <c r="N2148" s="6"/>
      <c r="O2148" s="6"/>
      <c r="P2148" s="6"/>
      <c r="Q2148" s="6"/>
      <c r="R2148" s="6"/>
      <c r="S2148" s="6"/>
      <c r="T2148" s="6"/>
      <c r="U2148" s="6"/>
      <c r="V2148" s="6"/>
      <c r="W2148" s="6"/>
      <c r="X2148" s="6"/>
      <c r="Y2148" s="6"/>
      <c r="Z2148" s="6"/>
      <c r="AA2148" s="6"/>
      <c r="AB2148" s="6"/>
      <c r="AC2148" s="6"/>
      <c r="AD2148" s="6"/>
      <c r="AE2148" s="6"/>
      <c r="AF2148" s="6"/>
    </row>
    <row r="2149" spans="2:32" x14ac:dyDescent="0.25">
      <c r="B2149" s="6"/>
      <c r="C2149" s="6"/>
      <c r="D2149" s="6"/>
      <c r="E2149" s="6"/>
      <c r="F2149" s="6"/>
      <c r="G2149" s="6"/>
      <c r="H2149" s="6"/>
      <c r="I2149" s="6"/>
      <c r="J2149" s="6"/>
      <c r="K2149" s="6"/>
      <c r="L2149" s="6"/>
      <c r="M2149" s="6"/>
      <c r="N2149" s="6"/>
      <c r="O2149" s="6"/>
      <c r="P2149" s="6"/>
      <c r="Q2149" s="6"/>
      <c r="R2149" s="6"/>
      <c r="S2149" s="6"/>
      <c r="T2149" s="6"/>
      <c r="U2149" s="6"/>
      <c r="V2149" s="6"/>
      <c r="W2149" s="6"/>
      <c r="X2149" s="6"/>
      <c r="Y2149" s="6"/>
      <c r="Z2149" s="6"/>
      <c r="AA2149" s="6"/>
      <c r="AB2149" s="6"/>
      <c r="AC2149" s="6"/>
      <c r="AD2149" s="6"/>
      <c r="AE2149" s="6"/>
      <c r="AF2149" s="6"/>
    </row>
    <row r="2151" spans="2:32" x14ac:dyDescent="0.25">
      <c r="B2151" s="6"/>
      <c r="C2151" s="6"/>
      <c r="D2151" s="6"/>
      <c r="E2151" s="6"/>
      <c r="F2151" s="6"/>
      <c r="G2151" s="6"/>
      <c r="H2151" s="6"/>
      <c r="I2151" s="6"/>
      <c r="J2151" s="6"/>
      <c r="K2151" s="6"/>
      <c r="L2151" s="6"/>
      <c r="M2151" s="6"/>
      <c r="N2151" s="6"/>
      <c r="O2151" s="6"/>
      <c r="P2151" s="6"/>
      <c r="Q2151" s="6"/>
      <c r="R2151" s="6"/>
      <c r="S2151" s="6"/>
      <c r="T2151" s="6"/>
      <c r="U2151" s="6"/>
      <c r="V2151" s="6"/>
      <c r="W2151" s="6"/>
      <c r="X2151" s="6"/>
      <c r="Y2151" s="6"/>
      <c r="Z2151" s="6"/>
      <c r="AA2151" s="6"/>
      <c r="AB2151" s="6"/>
      <c r="AC2151" s="6"/>
      <c r="AD2151" s="6"/>
      <c r="AE2151" s="6"/>
      <c r="AF2151" s="6"/>
    </row>
    <row r="2152" spans="2:32" x14ac:dyDescent="0.25">
      <c r="B2152" s="129"/>
      <c r="C2152" s="129"/>
      <c r="D2152" s="129"/>
      <c r="E2152" s="129"/>
      <c r="F2152" s="129"/>
      <c r="G2152" s="129"/>
      <c r="H2152" s="129"/>
      <c r="I2152" s="129"/>
      <c r="J2152" s="129"/>
      <c r="K2152" s="129"/>
      <c r="L2152" s="129"/>
      <c r="M2152" s="129"/>
      <c r="N2152" s="129"/>
      <c r="O2152" s="129"/>
      <c r="P2152" s="129"/>
      <c r="Q2152" s="129"/>
      <c r="R2152" s="129"/>
      <c r="S2152" s="129"/>
      <c r="T2152" s="129"/>
      <c r="U2152" s="129"/>
      <c r="V2152" s="129"/>
      <c r="W2152" s="129"/>
      <c r="X2152" s="129"/>
      <c r="Y2152" s="129"/>
      <c r="Z2152" s="129"/>
      <c r="AA2152" s="129"/>
      <c r="AB2152" s="129"/>
      <c r="AC2152" s="129"/>
      <c r="AD2152" s="129"/>
      <c r="AE2152" s="129"/>
      <c r="AF2152" s="129"/>
    </row>
    <row r="2315" spans="2:32" x14ac:dyDescent="0.25">
      <c r="B2315" s="6"/>
      <c r="C2315" s="6"/>
      <c r="D2315" s="6"/>
      <c r="E2315" s="6"/>
      <c r="F2315" s="6"/>
      <c r="G2315" s="6"/>
      <c r="H2315" s="6"/>
      <c r="I2315" s="6"/>
      <c r="J2315" s="6"/>
      <c r="K2315" s="6"/>
      <c r="L2315" s="6"/>
      <c r="M2315" s="6"/>
      <c r="N2315" s="6"/>
      <c r="O2315" s="6"/>
      <c r="P2315" s="6"/>
      <c r="Q2315" s="6"/>
      <c r="R2315" s="6"/>
      <c r="S2315" s="6"/>
      <c r="T2315" s="6"/>
      <c r="U2315" s="6"/>
      <c r="V2315" s="6"/>
      <c r="W2315" s="6"/>
      <c r="X2315" s="6"/>
      <c r="Y2315" s="6"/>
      <c r="Z2315" s="6"/>
      <c r="AA2315" s="6"/>
      <c r="AB2315" s="6"/>
      <c r="AC2315" s="6"/>
      <c r="AD2315" s="6"/>
      <c r="AE2315" s="6"/>
      <c r="AF2315" s="6"/>
    </row>
    <row r="2316" spans="2:32" x14ac:dyDescent="0.25">
      <c r="B2316" s="129"/>
      <c r="C2316" s="129"/>
      <c r="D2316" s="129"/>
      <c r="E2316" s="129"/>
      <c r="F2316" s="129"/>
      <c r="G2316" s="129"/>
      <c r="H2316" s="129"/>
      <c r="I2316" s="129"/>
      <c r="J2316" s="129"/>
      <c r="K2316" s="129"/>
      <c r="L2316" s="129"/>
      <c r="M2316" s="129"/>
      <c r="N2316" s="129"/>
      <c r="O2316" s="129"/>
      <c r="P2316" s="129"/>
      <c r="Q2316" s="129"/>
      <c r="R2316" s="129"/>
      <c r="S2316" s="129"/>
      <c r="T2316" s="129"/>
      <c r="U2316" s="129"/>
      <c r="V2316" s="129"/>
      <c r="W2316" s="129"/>
      <c r="X2316" s="129"/>
      <c r="Y2316" s="129"/>
      <c r="Z2316" s="129"/>
      <c r="AA2316" s="129"/>
      <c r="AB2316" s="129"/>
      <c r="AC2316" s="129"/>
      <c r="AD2316" s="129"/>
      <c r="AE2316" s="129"/>
      <c r="AF2316" s="129"/>
    </row>
    <row r="2417" spans="2:32" x14ac:dyDescent="0.25">
      <c r="B2417" s="6"/>
      <c r="C2417" s="6"/>
      <c r="D2417" s="6"/>
      <c r="E2417" s="6"/>
      <c r="F2417" s="6"/>
      <c r="G2417" s="6"/>
      <c r="H2417" s="6"/>
      <c r="I2417" s="6"/>
      <c r="J2417" s="6"/>
      <c r="K2417" s="6"/>
      <c r="L2417" s="6"/>
      <c r="M2417" s="6"/>
      <c r="N2417" s="6"/>
      <c r="O2417" s="6"/>
      <c r="P2417" s="6"/>
      <c r="Q2417" s="6"/>
      <c r="R2417" s="6"/>
      <c r="S2417" s="6"/>
      <c r="T2417" s="6"/>
      <c r="U2417" s="6"/>
      <c r="V2417" s="6"/>
      <c r="W2417" s="6"/>
      <c r="X2417" s="6"/>
      <c r="Y2417" s="6"/>
      <c r="Z2417" s="6"/>
      <c r="AA2417" s="6"/>
      <c r="AB2417" s="6"/>
      <c r="AC2417" s="6"/>
      <c r="AD2417" s="6"/>
      <c r="AE2417" s="6"/>
      <c r="AF2417" s="6"/>
    </row>
    <row r="2418" spans="2:32" x14ac:dyDescent="0.25">
      <c r="B2418" s="129"/>
      <c r="C2418" s="129"/>
      <c r="D2418" s="129"/>
      <c r="E2418" s="129"/>
      <c r="F2418" s="129"/>
      <c r="G2418" s="129"/>
      <c r="H2418" s="129"/>
      <c r="I2418" s="129"/>
      <c r="J2418" s="129"/>
      <c r="K2418" s="129"/>
      <c r="L2418" s="129"/>
      <c r="M2418" s="129"/>
      <c r="N2418" s="129"/>
      <c r="O2418" s="129"/>
      <c r="P2418" s="129"/>
      <c r="Q2418" s="129"/>
      <c r="R2418" s="129"/>
      <c r="S2418" s="129"/>
      <c r="T2418" s="129"/>
      <c r="U2418" s="129"/>
      <c r="V2418" s="129"/>
      <c r="W2418" s="129"/>
      <c r="X2418" s="129"/>
      <c r="Y2418" s="129"/>
      <c r="Z2418" s="129"/>
      <c r="AA2418" s="129"/>
      <c r="AB2418" s="129"/>
      <c r="AC2418" s="129"/>
      <c r="AD2418" s="129"/>
      <c r="AE2418" s="129"/>
      <c r="AF2418" s="129"/>
    </row>
    <row r="2502" spans="2:32" x14ac:dyDescent="0.25">
      <c r="B2502" s="6"/>
      <c r="C2502" s="6"/>
      <c r="D2502" s="6"/>
      <c r="E2502" s="6"/>
      <c r="F2502" s="6"/>
      <c r="G2502" s="6"/>
      <c r="H2502" s="6"/>
      <c r="I2502" s="6"/>
      <c r="J2502" s="6"/>
      <c r="K2502" s="6"/>
      <c r="L2502" s="6"/>
      <c r="M2502" s="6"/>
      <c r="N2502" s="6"/>
      <c r="O2502" s="6"/>
      <c r="P2502" s="6"/>
      <c r="Q2502" s="6"/>
      <c r="R2502" s="6"/>
      <c r="S2502" s="6"/>
      <c r="T2502" s="6"/>
      <c r="U2502" s="6"/>
      <c r="V2502" s="6"/>
      <c r="W2502" s="6"/>
      <c r="X2502" s="6"/>
      <c r="Y2502" s="6"/>
      <c r="Z2502" s="6"/>
      <c r="AA2502" s="6"/>
      <c r="AB2502" s="6"/>
      <c r="AC2502" s="6"/>
      <c r="AD2502" s="6"/>
      <c r="AE2502" s="6"/>
      <c r="AF2502" s="6"/>
    </row>
    <row r="2507" spans="2:32" x14ac:dyDescent="0.25">
      <c r="B2507" s="6"/>
      <c r="C2507" s="6"/>
      <c r="D2507" s="6"/>
      <c r="E2507" s="6"/>
      <c r="F2507" s="6"/>
      <c r="G2507" s="6"/>
      <c r="H2507" s="6"/>
      <c r="I2507" s="6"/>
      <c r="J2507" s="6"/>
      <c r="K2507" s="6"/>
      <c r="L2507" s="6"/>
      <c r="M2507" s="6"/>
      <c r="N2507" s="6"/>
      <c r="O2507" s="6"/>
      <c r="P2507" s="6"/>
      <c r="Q2507" s="6"/>
      <c r="R2507" s="6"/>
      <c r="S2507" s="6"/>
      <c r="T2507" s="6"/>
      <c r="U2507" s="6"/>
      <c r="V2507" s="6"/>
      <c r="W2507" s="6"/>
      <c r="X2507" s="6"/>
      <c r="Y2507" s="6"/>
      <c r="Z2507" s="6"/>
      <c r="AA2507" s="6"/>
      <c r="AB2507" s="6"/>
      <c r="AC2507" s="6"/>
      <c r="AD2507" s="6"/>
      <c r="AE2507" s="6"/>
      <c r="AF2507" s="6"/>
    </row>
    <row r="2508" spans="2:32" x14ac:dyDescent="0.25">
      <c r="B2508" s="129"/>
      <c r="C2508" s="129"/>
      <c r="D2508" s="129"/>
      <c r="E2508" s="129"/>
      <c r="F2508" s="129"/>
      <c r="G2508" s="129"/>
      <c r="H2508" s="129"/>
      <c r="I2508" s="129"/>
      <c r="J2508" s="129"/>
      <c r="K2508" s="129"/>
      <c r="L2508" s="129"/>
      <c r="M2508" s="129"/>
      <c r="N2508" s="129"/>
      <c r="O2508" s="129"/>
      <c r="P2508" s="129"/>
      <c r="Q2508" s="129"/>
      <c r="R2508" s="129"/>
      <c r="S2508" s="129"/>
      <c r="T2508" s="129"/>
      <c r="U2508" s="129"/>
      <c r="V2508" s="129"/>
      <c r="W2508" s="129"/>
      <c r="X2508" s="129"/>
      <c r="Y2508" s="129"/>
      <c r="Z2508" s="129"/>
      <c r="AA2508" s="129"/>
      <c r="AB2508" s="129"/>
      <c r="AC2508" s="129"/>
      <c r="AD2508" s="129"/>
      <c r="AE2508" s="129"/>
      <c r="AF2508" s="129"/>
    </row>
    <row r="2593" spans="2:32" x14ac:dyDescent="0.25">
      <c r="B2593" s="6"/>
      <c r="C2593" s="6"/>
      <c r="D2593" s="6"/>
      <c r="E2593" s="6"/>
      <c r="F2593" s="6"/>
      <c r="G2593" s="6"/>
      <c r="H2593" s="6"/>
      <c r="I2593" s="6"/>
      <c r="J2593" s="6"/>
      <c r="K2593" s="6"/>
      <c r="L2593" s="6"/>
      <c r="M2593" s="6"/>
      <c r="N2593" s="6"/>
      <c r="O2593" s="6"/>
      <c r="P2593" s="6"/>
      <c r="Q2593" s="6"/>
      <c r="R2593" s="6"/>
      <c r="S2593" s="6"/>
      <c r="T2593" s="6"/>
      <c r="U2593" s="6"/>
      <c r="V2593" s="6"/>
      <c r="W2593" s="6"/>
      <c r="X2593" s="6"/>
      <c r="Y2593" s="6"/>
      <c r="Z2593" s="6"/>
      <c r="AA2593" s="6"/>
      <c r="AB2593" s="6"/>
      <c r="AC2593" s="6"/>
      <c r="AD2593" s="6"/>
      <c r="AE2593" s="6"/>
      <c r="AF2593" s="6"/>
    </row>
    <row r="2596" spans="2:32" x14ac:dyDescent="0.25">
      <c r="B2596" s="6"/>
      <c r="C2596" s="6"/>
      <c r="D2596" s="6"/>
      <c r="E2596" s="6"/>
      <c r="F2596" s="6"/>
      <c r="G2596" s="6"/>
      <c r="H2596" s="6"/>
      <c r="I2596" s="6"/>
      <c r="J2596" s="6"/>
      <c r="K2596" s="6"/>
      <c r="L2596" s="6"/>
      <c r="M2596" s="6"/>
      <c r="N2596" s="6"/>
      <c r="O2596" s="6"/>
      <c r="P2596" s="6"/>
      <c r="Q2596" s="6"/>
      <c r="R2596" s="6"/>
      <c r="S2596" s="6"/>
      <c r="T2596" s="6"/>
      <c r="U2596" s="6"/>
      <c r="V2596" s="6"/>
      <c r="W2596" s="6"/>
      <c r="X2596" s="6"/>
      <c r="Y2596" s="6"/>
      <c r="Z2596" s="6"/>
      <c r="AA2596" s="6"/>
      <c r="AB2596" s="6"/>
      <c r="AC2596" s="6"/>
      <c r="AD2596" s="6"/>
      <c r="AE2596" s="6"/>
      <c r="AF2596" s="6"/>
    </row>
    <row r="2597" spans="2:32" x14ac:dyDescent="0.25">
      <c r="B2597" s="129"/>
      <c r="C2597" s="129"/>
      <c r="D2597" s="129"/>
      <c r="E2597" s="129"/>
      <c r="F2597" s="129"/>
      <c r="G2597" s="129"/>
      <c r="H2597" s="129"/>
      <c r="I2597" s="129"/>
      <c r="J2597" s="129"/>
      <c r="K2597" s="129"/>
      <c r="L2597" s="129"/>
      <c r="M2597" s="129"/>
      <c r="N2597" s="129"/>
      <c r="O2597" s="129"/>
      <c r="P2597" s="129"/>
      <c r="Q2597" s="129"/>
      <c r="R2597" s="129"/>
      <c r="S2597" s="129"/>
      <c r="T2597" s="129"/>
      <c r="U2597" s="129"/>
      <c r="V2597" s="129"/>
      <c r="W2597" s="129"/>
      <c r="X2597" s="129"/>
      <c r="Y2597" s="129"/>
      <c r="Z2597" s="129"/>
      <c r="AA2597" s="129"/>
      <c r="AB2597" s="129"/>
      <c r="AC2597" s="129"/>
      <c r="AD2597" s="129"/>
      <c r="AE2597" s="129"/>
      <c r="AF2597" s="129"/>
    </row>
    <row r="2705" spans="2:32" x14ac:dyDescent="0.25">
      <c r="B2705" s="6"/>
      <c r="C2705" s="6"/>
      <c r="D2705" s="6"/>
      <c r="E2705" s="6"/>
      <c r="F2705" s="6"/>
      <c r="G2705" s="6"/>
      <c r="H2705" s="6"/>
      <c r="I2705" s="6"/>
      <c r="J2705" s="6"/>
      <c r="K2705" s="6"/>
      <c r="L2705" s="6"/>
      <c r="M2705" s="6"/>
      <c r="N2705" s="6"/>
      <c r="O2705" s="6"/>
      <c r="P2705" s="6"/>
      <c r="Q2705" s="6"/>
      <c r="R2705" s="6"/>
      <c r="S2705" s="6"/>
      <c r="T2705" s="6"/>
      <c r="U2705" s="6"/>
      <c r="V2705" s="6"/>
      <c r="W2705" s="6"/>
      <c r="X2705" s="6"/>
      <c r="Y2705" s="6"/>
      <c r="Z2705" s="6"/>
      <c r="AA2705" s="6"/>
      <c r="AB2705" s="6"/>
      <c r="AC2705" s="6"/>
      <c r="AD2705" s="6"/>
      <c r="AE2705" s="6"/>
      <c r="AF2705" s="6"/>
    </row>
    <row r="2717" spans="2:32" x14ac:dyDescent="0.25">
      <c r="B2717" s="6"/>
      <c r="C2717" s="6"/>
      <c r="D2717" s="6"/>
      <c r="E2717" s="6"/>
      <c r="F2717" s="6"/>
      <c r="G2717" s="6"/>
      <c r="H2717" s="6"/>
      <c r="I2717" s="6"/>
      <c r="J2717" s="6"/>
      <c r="K2717" s="6"/>
      <c r="L2717" s="6"/>
      <c r="M2717" s="6"/>
      <c r="N2717" s="6"/>
      <c r="O2717" s="6"/>
      <c r="P2717" s="6"/>
      <c r="Q2717" s="6"/>
      <c r="R2717" s="6"/>
      <c r="S2717" s="6"/>
      <c r="T2717" s="6"/>
      <c r="U2717" s="6"/>
      <c r="V2717" s="6"/>
      <c r="W2717" s="6"/>
      <c r="X2717" s="6"/>
      <c r="Y2717" s="6"/>
      <c r="Z2717" s="6"/>
      <c r="AA2717" s="6"/>
      <c r="AB2717" s="6"/>
      <c r="AC2717" s="6"/>
      <c r="AD2717" s="6"/>
      <c r="AE2717" s="6"/>
      <c r="AF2717" s="6"/>
    </row>
    <row r="2718" spans="2:32" x14ac:dyDescent="0.25">
      <c r="B2718" s="129"/>
      <c r="C2718" s="129"/>
      <c r="D2718" s="129"/>
      <c r="E2718" s="129"/>
      <c r="F2718" s="129"/>
      <c r="G2718" s="129"/>
      <c r="H2718" s="129"/>
      <c r="I2718" s="129"/>
      <c r="J2718" s="129"/>
      <c r="K2718" s="129"/>
      <c r="L2718" s="129"/>
      <c r="M2718" s="129"/>
      <c r="N2718" s="129"/>
      <c r="O2718" s="129"/>
      <c r="P2718" s="129"/>
      <c r="Q2718" s="129"/>
      <c r="R2718" s="129"/>
      <c r="S2718" s="129"/>
      <c r="T2718" s="129"/>
      <c r="U2718" s="129"/>
      <c r="V2718" s="129"/>
      <c r="W2718" s="129"/>
      <c r="X2718" s="129"/>
      <c r="Y2718" s="129"/>
      <c r="Z2718" s="129"/>
      <c r="AA2718" s="129"/>
      <c r="AB2718" s="129"/>
      <c r="AC2718" s="129"/>
      <c r="AD2718" s="129"/>
      <c r="AE2718" s="129"/>
      <c r="AF2718" s="129"/>
    </row>
    <row r="2835" spans="2:32" x14ac:dyDescent="0.25">
      <c r="B2835" s="6"/>
      <c r="C2835" s="6"/>
      <c r="D2835" s="6"/>
      <c r="E2835" s="6"/>
      <c r="F2835" s="6"/>
      <c r="G2835" s="6"/>
      <c r="H2835" s="6"/>
      <c r="I2835" s="6"/>
      <c r="J2835" s="6"/>
      <c r="K2835" s="6"/>
      <c r="L2835" s="6"/>
      <c r="M2835" s="6"/>
      <c r="N2835" s="6"/>
      <c r="O2835" s="6"/>
      <c r="P2835" s="6"/>
      <c r="Q2835" s="6"/>
      <c r="R2835" s="6"/>
      <c r="S2835" s="6"/>
      <c r="T2835" s="6"/>
      <c r="U2835" s="6"/>
      <c r="V2835" s="6"/>
      <c r="W2835" s="6"/>
      <c r="X2835" s="6"/>
      <c r="Y2835" s="6"/>
      <c r="Z2835" s="6"/>
      <c r="AA2835" s="6"/>
      <c r="AB2835" s="6"/>
      <c r="AC2835" s="6"/>
      <c r="AD2835" s="6"/>
      <c r="AE2835" s="6"/>
      <c r="AF2835" s="6"/>
    </row>
    <row r="2836" spans="2:32" x14ac:dyDescent="0.25">
      <c r="B2836" s="129"/>
      <c r="C2836" s="129"/>
      <c r="D2836" s="129"/>
      <c r="E2836" s="129"/>
      <c r="F2836" s="129"/>
      <c r="G2836" s="129"/>
      <c r="H2836" s="129"/>
      <c r="I2836" s="129"/>
      <c r="J2836" s="129"/>
      <c r="K2836" s="129"/>
      <c r="L2836" s="129"/>
      <c r="M2836" s="129"/>
      <c r="N2836" s="129"/>
      <c r="O2836" s="129"/>
      <c r="P2836" s="129"/>
      <c r="Q2836" s="129"/>
      <c r="R2836" s="129"/>
      <c r="S2836" s="129"/>
      <c r="T2836" s="129"/>
      <c r="U2836" s="129"/>
      <c r="V2836" s="129"/>
      <c r="W2836" s="129"/>
      <c r="X2836" s="129"/>
      <c r="Y2836" s="129"/>
      <c r="Z2836" s="129"/>
      <c r="AA2836" s="129"/>
      <c r="AB2836" s="129"/>
      <c r="AC2836" s="129"/>
      <c r="AD2836" s="129"/>
      <c r="AE2836" s="129"/>
      <c r="AF2836" s="129"/>
    </row>
  </sheetData>
  <mergeCells count="19">
    <mergeCell ref="B1944:AF1944"/>
    <mergeCell ref="B307:AF307"/>
    <mergeCell ref="B510:AF510"/>
    <mergeCell ref="B711:AF711"/>
    <mergeCell ref="B886:AF886"/>
    <mergeCell ref="B1100:AF1100"/>
    <mergeCell ref="B1228:AF1228"/>
    <mergeCell ref="B1389:AF1389"/>
    <mergeCell ref="B1501:AF1501"/>
    <mergeCell ref="B1603:AF1603"/>
    <mergeCell ref="B1698:AF1698"/>
    <mergeCell ref="B2718:AF2718"/>
    <mergeCell ref="B2836:AF2836"/>
    <mergeCell ref="B2030:AF2030"/>
    <mergeCell ref="B2152:AF2152"/>
    <mergeCell ref="B2316:AF2316"/>
    <mergeCell ref="B2418:AF2418"/>
    <mergeCell ref="B2508:AF2508"/>
    <mergeCell ref="B2597:AF259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B2FEB-1247-49A7-8667-24DD48F86558}">
  <dimension ref="A1:AH167"/>
  <sheetViews>
    <sheetView topLeftCell="A11" workbookViewId="0">
      <selection sqref="A1:AH167"/>
    </sheetView>
  </sheetViews>
  <sheetFormatPr defaultRowHeight="15" x14ac:dyDescent="0.25"/>
  <sheetData>
    <row r="1" spans="1:34" ht="15.75" thickBot="1" x14ac:dyDescent="0.3">
      <c r="A1" s="35"/>
      <c r="B1" s="36" t="s">
        <v>236</v>
      </c>
      <c r="C1" s="37">
        <v>2020</v>
      </c>
      <c r="D1" s="37">
        <v>2021</v>
      </c>
      <c r="E1" s="37">
        <v>2022</v>
      </c>
      <c r="F1" s="37">
        <v>2023</v>
      </c>
      <c r="G1" s="37">
        <v>2024</v>
      </c>
      <c r="H1" s="37">
        <v>2025</v>
      </c>
      <c r="I1" s="37">
        <v>2026</v>
      </c>
      <c r="J1" s="37">
        <v>2027</v>
      </c>
      <c r="K1" s="37">
        <v>2028</v>
      </c>
      <c r="L1" s="37">
        <v>2029</v>
      </c>
      <c r="M1" s="37">
        <v>2030</v>
      </c>
      <c r="N1" s="37">
        <v>2031</v>
      </c>
      <c r="O1" s="37">
        <v>2032</v>
      </c>
      <c r="P1" s="37">
        <v>2033</v>
      </c>
      <c r="Q1" s="37">
        <v>2034</v>
      </c>
      <c r="R1" s="37">
        <v>2035</v>
      </c>
      <c r="S1" s="37">
        <v>2036</v>
      </c>
      <c r="T1" s="37">
        <v>2037</v>
      </c>
      <c r="U1" s="37">
        <v>2038</v>
      </c>
      <c r="V1" s="37">
        <v>2039</v>
      </c>
      <c r="W1" s="37">
        <v>2040</v>
      </c>
      <c r="X1" s="37">
        <v>2041</v>
      </c>
      <c r="Y1" s="37">
        <v>2042</v>
      </c>
      <c r="Z1" s="37">
        <v>2043</v>
      </c>
      <c r="AA1" s="37">
        <v>2044</v>
      </c>
      <c r="AB1" s="37">
        <v>2045</v>
      </c>
      <c r="AC1" s="37">
        <v>2046</v>
      </c>
      <c r="AD1" s="37">
        <v>2047</v>
      </c>
      <c r="AE1" s="37">
        <v>2048</v>
      </c>
      <c r="AF1" s="37">
        <v>2049</v>
      </c>
      <c r="AG1" s="37">
        <v>2050</v>
      </c>
      <c r="AH1" s="35"/>
    </row>
    <row r="2" spans="1:34" ht="15.75" thickTop="1" x14ac:dyDescent="0.25">
      <c r="A2" s="35"/>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row>
    <row r="3" spans="1:34" x14ac:dyDescent="0.25">
      <c r="A3" s="35"/>
      <c r="B3" s="35"/>
      <c r="C3" s="50" t="s">
        <v>9</v>
      </c>
      <c r="D3" s="50" t="s">
        <v>237</v>
      </c>
      <c r="E3" s="50"/>
      <c r="F3" s="50"/>
      <c r="G3" s="50"/>
      <c r="H3" s="35"/>
      <c r="I3" s="35"/>
      <c r="J3" s="35"/>
      <c r="K3" s="35"/>
      <c r="L3" s="35"/>
      <c r="M3" s="35"/>
      <c r="N3" s="35"/>
      <c r="O3" s="35"/>
      <c r="P3" s="35"/>
      <c r="Q3" s="35"/>
      <c r="R3" s="35"/>
      <c r="S3" s="35"/>
      <c r="T3" s="35"/>
      <c r="U3" s="35"/>
      <c r="V3" s="35"/>
      <c r="W3" s="35"/>
      <c r="X3" s="35"/>
      <c r="Y3" s="35"/>
      <c r="Z3" s="35"/>
      <c r="AA3" s="35"/>
      <c r="AB3" s="35"/>
      <c r="AC3" s="35"/>
      <c r="AD3" s="35"/>
      <c r="AE3" s="35"/>
      <c r="AF3" s="35"/>
      <c r="AG3" s="35"/>
      <c r="AH3" s="35"/>
    </row>
    <row r="4" spans="1:34" x14ac:dyDescent="0.25">
      <c r="A4" s="35"/>
      <c r="B4" s="35"/>
      <c r="C4" s="50" t="s">
        <v>11</v>
      </c>
      <c r="D4" s="50" t="s">
        <v>238</v>
      </c>
      <c r="E4" s="50"/>
      <c r="F4" s="50"/>
      <c r="G4" s="50" t="s">
        <v>239</v>
      </c>
      <c r="H4" s="35"/>
      <c r="I4" s="35"/>
      <c r="J4" s="35"/>
      <c r="K4" s="35"/>
      <c r="L4" s="35"/>
      <c r="M4" s="35"/>
      <c r="N4" s="35"/>
      <c r="O4" s="35"/>
      <c r="P4" s="35"/>
      <c r="Q4" s="35"/>
      <c r="R4" s="35"/>
      <c r="S4" s="35"/>
      <c r="T4" s="35"/>
      <c r="U4" s="35"/>
      <c r="V4" s="35"/>
      <c r="W4" s="35"/>
      <c r="X4" s="35"/>
      <c r="Y4" s="35"/>
      <c r="Z4" s="35"/>
      <c r="AA4" s="35"/>
      <c r="AB4" s="35"/>
      <c r="AC4" s="35"/>
      <c r="AD4" s="35"/>
      <c r="AE4" s="35"/>
      <c r="AF4" s="35"/>
      <c r="AG4" s="35"/>
      <c r="AH4" s="35"/>
    </row>
    <row r="5" spans="1:34" x14ac:dyDescent="0.25">
      <c r="A5" s="35"/>
      <c r="B5" s="35"/>
      <c r="C5" s="50" t="s">
        <v>14</v>
      </c>
      <c r="D5" s="50" t="s">
        <v>240</v>
      </c>
      <c r="E5" s="50"/>
      <c r="F5" s="50"/>
      <c r="G5" s="50"/>
      <c r="H5" s="35"/>
      <c r="I5" s="35"/>
      <c r="J5" s="35"/>
      <c r="K5" s="35"/>
      <c r="L5" s="35"/>
      <c r="M5" s="35"/>
      <c r="N5" s="35"/>
      <c r="O5" s="35"/>
      <c r="P5" s="35"/>
      <c r="Q5" s="35"/>
      <c r="R5" s="35"/>
      <c r="S5" s="35"/>
      <c r="T5" s="35"/>
      <c r="U5" s="35"/>
      <c r="V5" s="35"/>
      <c r="W5" s="35"/>
      <c r="X5" s="35"/>
      <c r="Y5" s="35"/>
      <c r="Z5" s="35"/>
      <c r="AA5" s="35"/>
      <c r="AB5" s="35"/>
      <c r="AC5" s="35"/>
      <c r="AD5" s="35"/>
      <c r="AE5" s="35"/>
      <c r="AF5" s="35"/>
      <c r="AG5" s="35"/>
      <c r="AH5" s="35"/>
    </row>
    <row r="6" spans="1:34" x14ac:dyDescent="0.25">
      <c r="A6" s="35"/>
      <c r="B6" s="35"/>
      <c r="C6" s="50" t="s">
        <v>16</v>
      </c>
      <c r="D6" s="50"/>
      <c r="E6" s="50" t="s">
        <v>241</v>
      </c>
      <c r="F6" s="50"/>
      <c r="G6" s="50"/>
      <c r="H6" s="35"/>
      <c r="I6" s="35"/>
      <c r="J6" s="35"/>
      <c r="K6" s="35"/>
      <c r="L6" s="35"/>
      <c r="M6" s="35"/>
      <c r="N6" s="35"/>
      <c r="O6" s="35"/>
      <c r="P6" s="35"/>
      <c r="Q6" s="35"/>
      <c r="R6" s="35"/>
      <c r="S6" s="35"/>
      <c r="T6" s="35"/>
      <c r="U6" s="35"/>
      <c r="V6" s="35"/>
      <c r="W6" s="35"/>
      <c r="X6" s="35"/>
      <c r="Y6" s="35"/>
      <c r="Z6" s="35"/>
      <c r="AA6" s="35"/>
      <c r="AB6" s="35"/>
      <c r="AC6" s="35"/>
      <c r="AD6" s="35"/>
      <c r="AE6" s="35"/>
      <c r="AF6" s="35"/>
      <c r="AG6" s="35"/>
      <c r="AH6" s="35"/>
    </row>
    <row r="10" spans="1:34" ht="15.75" x14ac:dyDescent="0.25">
      <c r="A10" s="38" t="s">
        <v>18</v>
      </c>
      <c r="B10" s="39" t="s">
        <v>19</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51" t="s">
        <v>242</v>
      </c>
    </row>
    <row r="11" spans="1:34" x14ac:dyDescent="0.25">
      <c r="A11" s="35"/>
      <c r="B11" s="36" t="s">
        <v>21</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51" t="s">
        <v>243</v>
      </c>
    </row>
    <row r="12" spans="1:34" x14ac:dyDescent="0.25">
      <c r="A12" s="35"/>
      <c r="B12" s="36" t="s">
        <v>244</v>
      </c>
      <c r="C12" s="40" t="s">
        <v>244</v>
      </c>
      <c r="D12" s="40" t="s">
        <v>244</v>
      </c>
      <c r="E12" s="40" t="s">
        <v>244</v>
      </c>
      <c r="F12" s="40" t="s">
        <v>244</v>
      </c>
      <c r="G12" s="40" t="s">
        <v>244</v>
      </c>
      <c r="H12" s="40" t="s">
        <v>244</v>
      </c>
      <c r="I12" s="40" t="s">
        <v>244</v>
      </c>
      <c r="J12" s="40" t="s">
        <v>244</v>
      </c>
      <c r="K12" s="40" t="s">
        <v>244</v>
      </c>
      <c r="L12" s="40" t="s">
        <v>244</v>
      </c>
      <c r="M12" s="40" t="s">
        <v>244</v>
      </c>
      <c r="N12" s="40" t="s">
        <v>244</v>
      </c>
      <c r="O12" s="40" t="s">
        <v>244</v>
      </c>
      <c r="P12" s="40" t="s">
        <v>244</v>
      </c>
      <c r="Q12" s="40" t="s">
        <v>244</v>
      </c>
      <c r="R12" s="40" t="s">
        <v>244</v>
      </c>
      <c r="S12" s="40" t="s">
        <v>244</v>
      </c>
      <c r="T12" s="40" t="s">
        <v>244</v>
      </c>
      <c r="U12" s="40" t="s">
        <v>244</v>
      </c>
      <c r="V12" s="40" t="s">
        <v>244</v>
      </c>
      <c r="W12" s="40" t="s">
        <v>244</v>
      </c>
      <c r="X12" s="40" t="s">
        <v>244</v>
      </c>
      <c r="Y12" s="40" t="s">
        <v>244</v>
      </c>
      <c r="Z12" s="40" t="s">
        <v>244</v>
      </c>
      <c r="AA12" s="40" t="s">
        <v>244</v>
      </c>
      <c r="AB12" s="40" t="s">
        <v>244</v>
      </c>
      <c r="AC12" s="40" t="s">
        <v>244</v>
      </c>
      <c r="AD12" s="40" t="s">
        <v>244</v>
      </c>
      <c r="AE12" s="40" t="s">
        <v>244</v>
      </c>
      <c r="AF12" s="40" t="s">
        <v>244</v>
      </c>
      <c r="AG12" s="40" t="s">
        <v>244</v>
      </c>
      <c r="AH12" s="51" t="s">
        <v>245</v>
      </c>
    </row>
    <row r="13" spans="1:34" ht="61.5" thickBot="1" x14ac:dyDescent="0.3">
      <c r="A13" s="35"/>
      <c r="B13" s="37" t="s">
        <v>24</v>
      </c>
      <c r="C13" s="37">
        <v>2020</v>
      </c>
      <c r="D13" s="37">
        <v>2021</v>
      </c>
      <c r="E13" s="37">
        <v>2022</v>
      </c>
      <c r="F13" s="37">
        <v>2023</v>
      </c>
      <c r="G13" s="37">
        <v>2024</v>
      </c>
      <c r="H13" s="37">
        <v>2025</v>
      </c>
      <c r="I13" s="37">
        <v>2026</v>
      </c>
      <c r="J13" s="37">
        <v>2027</v>
      </c>
      <c r="K13" s="37">
        <v>2028</v>
      </c>
      <c r="L13" s="37">
        <v>2029</v>
      </c>
      <c r="M13" s="37">
        <v>2030</v>
      </c>
      <c r="N13" s="37">
        <v>2031</v>
      </c>
      <c r="O13" s="37">
        <v>2032</v>
      </c>
      <c r="P13" s="37">
        <v>2033</v>
      </c>
      <c r="Q13" s="37">
        <v>2034</v>
      </c>
      <c r="R13" s="37">
        <v>2035</v>
      </c>
      <c r="S13" s="37">
        <v>2036</v>
      </c>
      <c r="T13" s="37">
        <v>2037</v>
      </c>
      <c r="U13" s="37">
        <v>2038</v>
      </c>
      <c r="V13" s="37">
        <v>2039</v>
      </c>
      <c r="W13" s="37">
        <v>2040</v>
      </c>
      <c r="X13" s="37">
        <v>2041</v>
      </c>
      <c r="Y13" s="37">
        <v>2042</v>
      </c>
      <c r="Z13" s="37">
        <v>2043</v>
      </c>
      <c r="AA13" s="37">
        <v>2044</v>
      </c>
      <c r="AB13" s="37">
        <v>2045</v>
      </c>
      <c r="AC13" s="37">
        <v>2046</v>
      </c>
      <c r="AD13" s="37">
        <v>2047</v>
      </c>
      <c r="AE13" s="37">
        <v>2048</v>
      </c>
      <c r="AF13" s="37">
        <v>2049</v>
      </c>
      <c r="AG13" s="37">
        <v>2050</v>
      </c>
      <c r="AH13" s="52" t="s">
        <v>246</v>
      </c>
    </row>
    <row r="14" spans="1:34" ht="15.75" thickTop="1" x14ac:dyDescent="0.25">
      <c r="A14" s="35"/>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row>
    <row r="15" spans="1:34" ht="24.75" x14ac:dyDescent="0.25">
      <c r="A15" s="35"/>
      <c r="B15" s="41" t="s">
        <v>2</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row>
    <row r="16" spans="1:34" ht="36.75" x14ac:dyDescent="0.25">
      <c r="A16" s="35"/>
      <c r="B16" s="41" t="s">
        <v>26</v>
      </c>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row>
    <row r="17" spans="1:34" ht="24.75" x14ac:dyDescent="0.25">
      <c r="A17" s="38" t="s">
        <v>27</v>
      </c>
      <c r="B17" s="42" t="s">
        <v>28</v>
      </c>
      <c r="C17" s="43">
        <v>84.750443000000004</v>
      </c>
      <c r="D17" s="43">
        <v>85.593697000000006</v>
      </c>
      <c r="E17" s="43">
        <v>86.438118000000003</v>
      </c>
      <c r="F17" s="43">
        <v>87.263756000000001</v>
      </c>
      <c r="G17" s="43">
        <v>88.078079000000002</v>
      </c>
      <c r="H17" s="43">
        <v>88.908073000000002</v>
      </c>
      <c r="I17" s="43">
        <v>89.730559999999997</v>
      </c>
      <c r="J17" s="43">
        <v>90.531715000000005</v>
      </c>
      <c r="K17" s="43">
        <v>91.318695000000005</v>
      </c>
      <c r="L17" s="43">
        <v>92.095459000000005</v>
      </c>
      <c r="M17" s="43">
        <v>92.863190000000003</v>
      </c>
      <c r="N17" s="43">
        <v>93.620482999999993</v>
      </c>
      <c r="O17" s="43">
        <v>94.374602999999993</v>
      </c>
      <c r="P17" s="43">
        <v>95.112335000000002</v>
      </c>
      <c r="Q17" s="43">
        <v>95.831551000000005</v>
      </c>
      <c r="R17" s="43">
        <v>96.548987999999994</v>
      </c>
      <c r="S17" s="43">
        <v>97.251769999999993</v>
      </c>
      <c r="T17" s="43">
        <v>97.942634999999996</v>
      </c>
      <c r="U17" s="43">
        <v>98.626311999999999</v>
      </c>
      <c r="V17" s="43">
        <v>99.300110000000004</v>
      </c>
      <c r="W17" s="43">
        <v>99.974013999999997</v>
      </c>
      <c r="X17" s="43">
        <v>100.64284499999999</v>
      </c>
      <c r="Y17" s="43">
        <v>101.307907</v>
      </c>
      <c r="Z17" s="43">
        <v>101.97792099999999</v>
      </c>
      <c r="AA17" s="43">
        <v>102.656685</v>
      </c>
      <c r="AB17" s="43">
        <v>103.34092699999999</v>
      </c>
      <c r="AC17" s="43">
        <v>104.026878</v>
      </c>
      <c r="AD17" s="43">
        <v>104.70899199999999</v>
      </c>
      <c r="AE17" s="43">
        <v>105.388451</v>
      </c>
      <c r="AF17" s="43">
        <v>106.06729900000001</v>
      </c>
      <c r="AG17" s="43">
        <v>106.746498</v>
      </c>
      <c r="AH17" s="44">
        <v>7.7210000000000004E-3</v>
      </c>
    </row>
    <row r="18" spans="1:34" ht="36.75" x14ac:dyDescent="0.25">
      <c r="A18" s="38" t="s">
        <v>29</v>
      </c>
      <c r="B18" s="42" t="s">
        <v>30</v>
      </c>
      <c r="C18" s="43">
        <v>31.968703999999999</v>
      </c>
      <c r="D18" s="43">
        <v>32.227859000000002</v>
      </c>
      <c r="E18" s="43">
        <v>32.481696999999997</v>
      </c>
      <c r="F18" s="43">
        <v>32.722110999999998</v>
      </c>
      <c r="G18" s="43">
        <v>32.964333000000003</v>
      </c>
      <c r="H18" s="43">
        <v>33.217959999999998</v>
      </c>
      <c r="I18" s="43">
        <v>33.469734000000003</v>
      </c>
      <c r="J18" s="43">
        <v>33.709865999999998</v>
      </c>
      <c r="K18" s="43">
        <v>33.941966999999998</v>
      </c>
      <c r="L18" s="43">
        <v>34.169193</v>
      </c>
      <c r="M18" s="43">
        <v>34.396915</v>
      </c>
      <c r="N18" s="43">
        <v>34.621048000000002</v>
      </c>
      <c r="O18" s="43">
        <v>34.840218</v>
      </c>
      <c r="P18" s="43">
        <v>35.051422000000002</v>
      </c>
      <c r="Q18" s="43">
        <v>35.255718000000002</v>
      </c>
      <c r="R18" s="43">
        <v>35.458874000000002</v>
      </c>
      <c r="S18" s="43">
        <v>35.655647000000002</v>
      </c>
      <c r="T18" s="43">
        <v>35.851790999999999</v>
      </c>
      <c r="U18" s="43">
        <v>36.050476000000003</v>
      </c>
      <c r="V18" s="43">
        <v>36.251506999999997</v>
      </c>
      <c r="W18" s="43">
        <v>36.451228999999998</v>
      </c>
      <c r="X18" s="43">
        <v>36.649303000000003</v>
      </c>
      <c r="Y18" s="43">
        <v>36.850163000000002</v>
      </c>
      <c r="Z18" s="43">
        <v>37.053848000000002</v>
      </c>
      <c r="AA18" s="43">
        <v>37.255768000000003</v>
      </c>
      <c r="AB18" s="43">
        <v>37.454777</v>
      </c>
      <c r="AC18" s="43">
        <v>37.649310999999997</v>
      </c>
      <c r="AD18" s="43">
        <v>37.844073999999999</v>
      </c>
      <c r="AE18" s="43">
        <v>38.040798000000002</v>
      </c>
      <c r="AF18" s="43">
        <v>38.240433000000003</v>
      </c>
      <c r="AG18" s="43">
        <v>38.443745</v>
      </c>
      <c r="AH18" s="44">
        <v>6.1669999999999997E-3</v>
      </c>
    </row>
    <row r="19" spans="1:34" ht="24.75" x14ac:dyDescent="0.25">
      <c r="A19" s="38" t="s">
        <v>31</v>
      </c>
      <c r="B19" s="42" t="s">
        <v>32</v>
      </c>
      <c r="C19" s="43">
        <v>6.6634640000000003</v>
      </c>
      <c r="D19" s="43">
        <v>6.6483860000000004</v>
      </c>
      <c r="E19" s="43">
        <v>6.6341010000000002</v>
      </c>
      <c r="F19" s="43">
        <v>6.6208140000000002</v>
      </c>
      <c r="G19" s="43">
        <v>6.6105159999999996</v>
      </c>
      <c r="H19" s="43">
        <v>6.6041939999999997</v>
      </c>
      <c r="I19" s="43">
        <v>6.6050519999999997</v>
      </c>
      <c r="J19" s="43">
        <v>6.6028560000000001</v>
      </c>
      <c r="K19" s="43">
        <v>6.5976480000000004</v>
      </c>
      <c r="L19" s="43">
        <v>6.5867889999999996</v>
      </c>
      <c r="M19" s="43">
        <v>6.5716080000000003</v>
      </c>
      <c r="N19" s="43">
        <v>6.5553319999999999</v>
      </c>
      <c r="O19" s="43">
        <v>6.5396599999999996</v>
      </c>
      <c r="P19" s="43">
        <v>6.5243869999999999</v>
      </c>
      <c r="Q19" s="43">
        <v>6.5112199999999998</v>
      </c>
      <c r="R19" s="43">
        <v>6.5020389999999999</v>
      </c>
      <c r="S19" s="43">
        <v>6.4934649999999996</v>
      </c>
      <c r="T19" s="43">
        <v>6.4835140000000004</v>
      </c>
      <c r="U19" s="43">
        <v>6.4727379999999997</v>
      </c>
      <c r="V19" s="43">
        <v>6.4627730000000003</v>
      </c>
      <c r="W19" s="43">
        <v>6.4554590000000003</v>
      </c>
      <c r="X19" s="43">
        <v>6.4490309999999997</v>
      </c>
      <c r="Y19" s="43">
        <v>6.4445810000000003</v>
      </c>
      <c r="Z19" s="43">
        <v>6.4428599999999996</v>
      </c>
      <c r="AA19" s="43">
        <v>6.4432330000000002</v>
      </c>
      <c r="AB19" s="43">
        <v>6.4440910000000002</v>
      </c>
      <c r="AC19" s="43">
        <v>6.4425730000000003</v>
      </c>
      <c r="AD19" s="43">
        <v>6.4381979999999999</v>
      </c>
      <c r="AE19" s="43">
        <v>6.4322549999999996</v>
      </c>
      <c r="AF19" s="43">
        <v>6.425656</v>
      </c>
      <c r="AG19" s="43">
        <v>6.4170800000000003</v>
      </c>
      <c r="AH19" s="44">
        <v>-1.255E-3</v>
      </c>
    </row>
    <row r="20" spans="1:34" x14ac:dyDescent="0.25">
      <c r="A20" s="38" t="s">
        <v>33</v>
      </c>
      <c r="B20" s="41" t="s">
        <v>34</v>
      </c>
      <c r="C20" s="45">
        <v>123.382614</v>
      </c>
      <c r="D20" s="45">
        <v>124.46993999999999</v>
      </c>
      <c r="E20" s="45">
        <v>125.553917</v>
      </c>
      <c r="F20" s="45">
        <v>126.60668200000001</v>
      </c>
      <c r="G20" s="45">
        <v>127.652931</v>
      </c>
      <c r="H20" s="45">
        <v>128.73022499999999</v>
      </c>
      <c r="I20" s="45">
        <v>129.80534399999999</v>
      </c>
      <c r="J20" s="45">
        <v>130.844437</v>
      </c>
      <c r="K20" s="45">
        <v>131.858307</v>
      </c>
      <c r="L20" s="45">
        <v>132.85144</v>
      </c>
      <c r="M20" s="45">
        <v>133.83171100000001</v>
      </c>
      <c r="N20" s="45">
        <v>134.79686000000001</v>
      </c>
      <c r="O20" s="45">
        <v>135.754471</v>
      </c>
      <c r="P20" s="45">
        <v>136.688141</v>
      </c>
      <c r="Q20" s="45">
        <v>137.59848</v>
      </c>
      <c r="R20" s="45">
        <v>138.50990300000001</v>
      </c>
      <c r="S20" s="45">
        <v>139.400879</v>
      </c>
      <c r="T20" s="45">
        <v>140.27795399999999</v>
      </c>
      <c r="U20" s="45">
        <v>141.14952099999999</v>
      </c>
      <c r="V20" s="45">
        <v>142.01438899999999</v>
      </c>
      <c r="W20" s="45">
        <v>142.880707</v>
      </c>
      <c r="X20" s="45">
        <v>143.74118000000001</v>
      </c>
      <c r="Y20" s="45">
        <v>144.60264599999999</v>
      </c>
      <c r="Z20" s="45">
        <v>145.474625</v>
      </c>
      <c r="AA20" s="45">
        <v>146.355682</v>
      </c>
      <c r="AB20" s="45">
        <v>147.23979199999999</v>
      </c>
      <c r="AC20" s="45">
        <v>148.11875900000001</v>
      </c>
      <c r="AD20" s="45">
        <v>148.99127200000001</v>
      </c>
      <c r="AE20" s="45">
        <v>149.86149599999999</v>
      </c>
      <c r="AF20" s="45">
        <v>150.73339799999999</v>
      </c>
      <c r="AG20" s="45">
        <v>151.60732999999999</v>
      </c>
      <c r="AH20" s="46">
        <v>6.8900000000000003E-3</v>
      </c>
    </row>
    <row r="22" spans="1:34" ht="48.75" x14ac:dyDescent="0.25">
      <c r="A22" s="38" t="s">
        <v>35</v>
      </c>
      <c r="B22" s="41" t="s">
        <v>36</v>
      </c>
      <c r="C22" s="49">
        <v>1789.3104249999999</v>
      </c>
      <c r="D22" s="49">
        <v>1795.357788</v>
      </c>
      <c r="E22" s="49">
        <v>1801.4011230000001</v>
      </c>
      <c r="F22" s="49">
        <v>1807.4682620000001</v>
      </c>
      <c r="G22" s="49">
        <v>1813.4492190000001</v>
      </c>
      <c r="H22" s="49">
        <v>1819.3139650000001</v>
      </c>
      <c r="I22" s="49">
        <v>1825.1085210000001</v>
      </c>
      <c r="J22" s="49">
        <v>1830.93335</v>
      </c>
      <c r="K22" s="49">
        <v>1836.7738039999999</v>
      </c>
      <c r="L22" s="49">
        <v>1842.6240230000001</v>
      </c>
      <c r="M22" s="49">
        <v>1848.442749</v>
      </c>
      <c r="N22" s="49">
        <v>1854.2421879999999</v>
      </c>
      <c r="O22" s="49">
        <v>1860.0407709999999</v>
      </c>
      <c r="P22" s="49">
        <v>1865.83728</v>
      </c>
      <c r="Q22" s="49">
        <v>1871.6087649999999</v>
      </c>
      <c r="R22" s="49">
        <v>1877.3393550000001</v>
      </c>
      <c r="S22" s="49">
        <v>1883.059082</v>
      </c>
      <c r="T22" s="49">
        <v>1888.739014</v>
      </c>
      <c r="U22" s="49">
        <v>1894.365967</v>
      </c>
      <c r="V22" s="49">
        <v>1899.9277340000001</v>
      </c>
      <c r="W22" s="49">
        <v>1905.4639890000001</v>
      </c>
      <c r="X22" s="49">
        <v>1910.97522</v>
      </c>
      <c r="Y22" s="49">
        <v>1916.424683</v>
      </c>
      <c r="Z22" s="49">
        <v>1921.832275</v>
      </c>
      <c r="AA22" s="49">
        <v>1927.2420649999999</v>
      </c>
      <c r="AB22" s="49">
        <v>1932.664673</v>
      </c>
      <c r="AC22" s="49">
        <v>1938.1176760000001</v>
      </c>
      <c r="AD22" s="49">
        <v>1943.5543210000001</v>
      </c>
      <c r="AE22" s="49">
        <v>1948.9592290000001</v>
      </c>
      <c r="AF22" s="49">
        <v>1954.3283690000001</v>
      </c>
      <c r="AG22" s="49">
        <v>1959.6640620000001</v>
      </c>
      <c r="AH22" s="46">
        <v>3.0360000000000001E-3</v>
      </c>
    </row>
    <row r="24" spans="1:34" ht="24.75" x14ac:dyDescent="0.25">
      <c r="A24" s="35"/>
      <c r="B24" s="41" t="s">
        <v>37</v>
      </c>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row>
    <row r="25" spans="1:34" ht="36.75" x14ac:dyDescent="0.25">
      <c r="A25" s="35"/>
      <c r="B25" s="41" t="s">
        <v>38</v>
      </c>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row>
    <row r="26" spans="1:34" ht="48.75" x14ac:dyDescent="0.25">
      <c r="A26" s="38" t="s">
        <v>39</v>
      </c>
      <c r="B26" s="42" t="s">
        <v>40</v>
      </c>
      <c r="C26" s="48">
        <v>92.738022000000001</v>
      </c>
      <c r="D26" s="48">
        <v>91.586783999999994</v>
      </c>
      <c r="E26" s="48">
        <v>91.880095999999995</v>
      </c>
      <c r="F26" s="48">
        <v>91.111869999999996</v>
      </c>
      <c r="G26" s="48">
        <v>90.470100000000002</v>
      </c>
      <c r="H26" s="48">
        <v>89.770354999999995</v>
      </c>
      <c r="I26" s="48">
        <v>89.065894999999998</v>
      </c>
      <c r="J26" s="48">
        <v>88.379463000000001</v>
      </c>
      <c r="K26" s="48">
        <v>87.773742999999996</v>
      </c>
      <c r="L26" s="48">
        <v>87.208449999999999</v>
      </c>
      <c r="M26" s="48">
        <v>86.633553000000006</v>
      </c>
      <c r="N26" s="48">
        <v>86.134856999999997</v>
      </c>
      <c r="O26" s="48">
        <v>85.702552999999995</v>
      </c>
      <c r="P26" s="48">
        <v>85.281402999999997</v>
      </c>
      <c r="Q26" s="48">
        <v>84.919349999999994</v>
      </c>
      <c r="R26" s="48">
        <v>84.596985000000004</v>
      </c>
      <c r="S26" s="48">
        <v>84.326233000000002</v>
      </c>
      <c r="T26" s="48">
        <v>84.093863999999996</v>
      </c>
      <c r="U26" s="48">
        <v>83.883667000000003</v>
      </c>
      <c r="V26" s="48">
        <v>83.681618</v>
      </c>
      <c r="W26" s="48">
        <v>83.477538999999993</v>
      </c>
      <c r="X26" s="48">
        <v>83.281693000000004</v>
      </c>
      <c r="Y26" s="48">
        <v>83.101692</v>
      </c>
      <c r="Z26" s="48">
        <v>82.956817999999998</v>
      </c>
      <c r="AA26" s="48">
        <v>82.820435000000003</v>
      </c>
      <c r="AB26" s="48">
        <v>82.683516999999995</v>
      </c>
      <c r="AC26" s="48">
        <v>82.575637999999998</v>
      </c>
      <c r="AD26" s="48">
        <v>82.460792999999995</v>
      </c>
      <c r="AE26" s="48">
        <v>82.357017999999997</v>
      </c>
      <c r="AF26" s="48">
        <v>82.265586999999996</v>
      </c>
      <c r="AG26" s="48">
        <v>82.199286999999998</v>
      </c>
      <c r="AH26" s="44">
        <v>-4.0130000000000001E-3</v>
      </c>
    </row>
    <row r="27" spans="1:34" ht="60.75" x14ac:dyDescent="0.25">
      <c r="A27" s="38" t="s">
        <v>41</v>
      </c>
      <c r="B27" s="42" t="s">
        <v>42</v>
      </c>
      <c r="C27" s="48">
        <v>92.104782</v>
      </c>
      <c r="D27" s="48">
        <v>90.868224999999995</v>
      </c>
      <c r="E27" s="48">
        <v>91.091621000000004</v>
      </c>
      <c r="F27" s="48">
        <v>90.256591999999998</v>
      </c>
      <c r="G27" s="48">
        <v>89.550323000000006</v>
      </c>
      <c r="H27" s="48">
        <v>88.786704999999998</v>
      </c>
      <c r="I27" s="48">
        <v>88.017478999999994</v>
      </c>
      <c r="J27" s="48">
        <v>87.266570999999999</v>
      </c>
      <c r="K27" s="48">
        <v>86.596435999999997</v>
      </c>
      <c r="L27" s="48">
        <v>85.966887999999997</v>
      </c>
      <c r="M27" s="48">
        <v>85.326958000000005</v>
      </c>
      <c r="N27" s="48">
        <v>84.761809999999997</v>
      </c>
      <c r="O27" s="48">
        <v>84.262253000000001</v>
      </c>
      <c r="P27" s="48">
        <v>83.772934000000006</v>
      </c>
      <c r="Q27" s="48">
        <v>83.341469000000004</v>
      </c>
      <c r="R27" s="48">
        <v>82.949066000000002</v>
      </c>
      <c r="S27" s="48">
        <v>82.607262000000006</v>
      </c>
      <c r="T27" s="48">
        <v>82.303116000000003</v>
      </c>
      <c r="U27" s="48">
        <v>82.020409000000001</v>
      </c>
      <c r="V27" s="48">
        <v>81.745148</v>
      </c>
      <c r="W27" s="48">
        <v>81.466758999999996</v>
      </c>
      <c r="X27" s="48">
        <v>81.195541000000006</v>
      </c>
      <c r="Y27" s="48">
        <v>80.938629000000006</v>
      </c>
      <c r="Z27" s="48">
        <v>80.715416000000005</v>
      </c>
      <c r="AA27" s="48">
        <v>80.499274999999997</v>
      </c>
      <c r="AB27" s="48">
        <v>80.280556000000004</v>
      </c>
      <c r="AC27" s="48">
        <v>80.088920999999999</v>
      </c>
      <c r="AD27" s="48">
        <v>79.888603000000003</v>
      </c>
      <c r="AE27" s="48">
        <v>79.697120999999996</v>
      </c>
      <c r="AF27" s="48">
        <v>79.516227999999998</v>
      </c>
      <c r="AG27" s="48">
        <v>79.358765000000005</v>
      </c>
      <c r="AH27" s="44">
        <v>-4.9529999999999999E-3</v>
      </c>
    </row>
    <row r="28" spans="1:34" ht="48.75" x14ac:dyDescent="0.25">
      <c r="A28" s="35"/>
      <c r="B28" s="41" t="s">
        <v>43</v>
      </c>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5"/>
      <c r="AH28" s="35"/>
    </row>
    <row r="29" spans="1:34" ht="48.75" x14ac:dyDescent="0.25">
      <c r="A29" s="38" t="s">
        <v>44</v>
      </c>
      <c r="B29" s="42" t="s">
        <v>40</v>
      </c>
      <c r="C29" s="48">
        <v>51.828918000000002</v>
      </c>
      <c r="D29" s="48">
        <v>51.013106999999998</v>
      </c>
      <c r="E29" s="48">
        <v>51.004798999999998</v>
      </c>
      <c r="F29" s="48">
        <v>50.408557999999999</v>
      </c>
      <c r="G29" s="48">
        <v>49.888409000000003</v>
      </c>
      <c r="H29" s="48">
        <v>49.342972000000003</v>
      </c>
      <c r="I29" s="48">
        <v>48.800327000000003</v>
      </c>
      <c r="J29" s="48">
        <v>48.270167999999998</v>
      </c>
      <c r="K29" s="48">
        <v>47.786911000000003</v>
      </c>
      <c r="L29" s="48">
        <v>47.328400000000002</v>
      </c>
      <c r="M29" s="48">
        <v>46.868400999999999</v>
      </c>
      <c r="N29" s="48">
        <v>46.452862000000003</v>
      </c>
      <c r="O29" s="48">
        <v>46.075629999999997</v>
      </c>
      <c r="P29" s="48">
        <v>45.706775999999998</v>
      </c>
      <c r="Q29" s="48">
        <v>45.372382999999999</v>
      </c>
      <c r="R29" s="48">
        <v>45.062168</v>
      </c>
      <c r="S29" s="48">
        <v>44.781512999999997</v>
      </c>
      <c r="T29" s="48">
        <v>44.523811000000002</v>
      </c>
      <c r="U29" s="48">
        <v>44.280605000000001</v>
      </c>
      <c r="V29" s="48">
        <v>44.044632</v>
      </c>
      <c r="W29" s="48">
        <v>43.809559</v>
      </c>
      <c r="X29" s="48">
        <v>43.580730000000003</v>
      </c>
      <c r="Y29" s="48">
        <v>43.362876999999997</v>
      </c>
      <c r="Z29" s="48">
        <v>43.165481999999997</v>
      </c>
      <c r="AA29" s="48">
        <v>42.973553000000003</v>
      </c>
      <c r="AB29" s="48">
        <v>42.782131</v>
      </c>
      <c r="AC29" s="48">
        <v>42.606102</v>
      </c>
      <c r="AD29" s="48">
        <v>42.42783</v>
      </c>
      <c r="AE29" s="48">
        <v>42.256920000000001</v>
      </c>
      <c r="AF29" s="48">
        <v>42.094043999999997</v>
      </c>
      <c r="AG29" s="48">
        <v>41.945602000000001</v>
      </c>
      <c r="AH29" s="44">
        <v>-7.0280000000000004E-3</v>
      </c>
    </row>
    <row r="30" spans="1:34" ht="60.75" x14ac:dyDescent="0.25">
      <c r="A30" s="38" t="s">
        <v>45</v>
      </c>
      <c r="B30" s="42" t="s">
        <v>42</v>
      </c>
      <c r="C30" s="48">
        <v>51.475014000000002</v>
      </c>
      <c r="D30" s="48">
        <v>50.612876999999997</v>
      </c>
      <c r="E30" s="48">
        <v>50.567093</v>
      </c>
      <c r="F30" s="48">
        <v>49.935367999999997</v>
      </c>
      <c r="G30" s="48">
        <v>49.381214</v>
      </c>
      <c r="H30" s="48">
        <v>48.802298999999998</v>
      </c>
      <c r="I30" s="48">
        <v>48.225887</v>
      </c>
      <c r="J30" s="48">
        <v>47.662337999999998</v>
      </c>
      <c r="K30" s="48">
        <v>47.145943000000003</v>
      </c>
      <c r="L30" s="48">
        <v>46.654601999999997</v>
      </c>
      <c r="M30" s="48">
        <v>46.161537000000003</v>
      </c>
      <c r="N30" s="48">
        <v>45.712375999999999</v>
      </c>
      <c r="O30" s="48">
        <v>45.301291999999997</v>
      </c>
      <c r="P30" s="48">
        <v>44.898304000000003</v>
      </c>
      <c r="Q30" s="48">
        <v>44.529324000000003</v>
      </c>
      <c r="R30" s="48">
        <v>44.184376</v>
      </c>
      <c r="S30" s="48">
        <v>43.868648999999998</v>
      </c>
      <c r="T30" s="48">
        <v>43.575695000000003</v>
      </c>
      <c r="U30" s="48">
        <v>43.297024</v>
      </c>
      <c r="V30" s="48">
        <v>43.025398000000003</v>
      </c>
      <c r="W30" s="48">
        <v>42.754288000000003</v>
      </c>
      <c r="X30" s="48">
        <v>42.489058999999997</v>
      </c>
      <c r="Y30" s="48">
        <v>42.234183999999999</v>
      </c>
      <c r="Z30" s="48">
        <v>41.999198999999997</v>
      </c>
      <c r="AA30" s="48">
        <v>41.769157</v>
      </c>
      <c r="AB30" s="48">
        <v>41.538795</v>
      </c>
      <c r="AC30" s="48">
        <v>41.323044000000003</v>
      </c>
      <c r="AD30" s="48">
        <v>41.104385000000001</v>
      </c>
      <c r="AE30" s="48">
        <v>40.892142999999997</v>
      </c>
      <c r="AF30" s="48">
        <v>40.687241</v>
      </c>
      <c r="AG30" s="48">
        <v>40.496108999999997</v>
      </c>
      <c r="AH30" s="44">
        <v>-7.9640000000000006E-3</v>
      </c>
    </row>
    <row r="32" spans="1:34" ht="36.75" x14ac:dyDescent="0.25">
      <c r="A32" s="35"/>
      <c r="B32" s="41" t="s">
        <v>3</v>
      </c>
      <c r="C32" s="35"/>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row>
    <row r="33" spans="1:34" ht="24.75" x14ac:dyDescent="0.25">
      <c r="A33" s="35"/>
      <c r="B33" s="41" t="s">
        <v>46</v>
      </c>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row>
    <row r="34" spans="1:34" ht="24.75" x14ac:dyDescent="0.25">
      <c r="A34" s="38" t="s">
        <v>47</v>
      </c>
      <c r="B34" s="42" t="s">
        <v>48</v>
      </c>
      <c r="C34" s="43">
        <v>0.64897499999999997</v>
      </c>
      <c r="D34" s="43">
        <v>0.69835899999999995</v>
      </c>
      <c r="E34" s="43">
        <v>0.70567500000000005</v>
      </c>
      <c r="F34" s="43">
        <v>0.70057899999999995</v>
      </c>
      <c r="G34" s="43">
        <v>0.69710399999999995</v>
      </c>
      <c r="H34" s="43">
        <v>0.69382900000000003</v>
      </c>
      <c r="I34" s="43">
        <v>0.68961499999999998</v>
      </c>
      <c r="J34" s="43">
        <v>0.684867</v>
      </c>
      <c r="K34" s="43">
        <v>0.68038900000000002</v>
      </c>
      <c r="L34" s="43">
        <v>0.67574100000000004</v>
      </c>
      <c r="M34" s="43">
        <v>0.67127800000000004</v>
      </c>
      <c r="N34" s="43">
        <v>0.66709300000000005</v>
      </c>
      <c r="O34" s="43">
        <v>0.66315599999999997</v>
      </c>
      <c r="P34" s="43">
        <v>0.65886900000000004</v>
      </c>
      <c r="Q34" s="43">
        <v>0.65454299999999999</v>
      </c>
      <c r="R34" s="43">
        <v>0.65064699999999998</v>
      </c>
      <c r="S34" s="43">
        <v>0.64697899999999997</v>
      </c>
      <c r="T34" s="43">
        <v>0.64345399999999997</v>
      </c>
      <c r="U34" s="43">
        <v>0.64001200000000003</v>
      </c>
      <c r="V34" s="43">
        <v>0.63648700000000002</v>
      </c>
      <c r="W34" s="43">
        <v>0.63304199999999999</v>
      </c>
      <c r="X34" s="43">
        <v>0.62941100000000005</v>
      </c>
      <c r="Y34" s="43">
        <v>0.62568000000000001</v>
      </c>
      <c r="Z34" s="43">
        <v>0.62259399999999998</v>
      </c>
      <c r="AA34" s="43">
        <v>0.61931000000000003</v>
      </c>
      <c r="AB34" s="43">
        <v>0.61587999999999998</v>
      </c>
      <c r="AC34" s="43">
        <v>0.61271600000000004</v>
      </c>
      <c r="AD34" s="43">
        <v>0.60931900000000006</v>
      </c>
      <c r="AE34" s="43">
        <v>0.60589800000000005</v>
      </c>
      <c r="AF34" s="43">
        <v>0.60285900000000003</v>
      </c>
      <c r="AG34" s="43">
        <v>0.60021000000000002</v>
      </c>
      <c r="AH34" s="44">
        <v>-2.5999999999999999E-3</v>
      </c>
    </row>
    <row r="35" spans="1:34" ht="24.75" x14ac:dyDescent="0.25">
      <c r="A35" s="38" t="s">
        <v>49</v>
      </c>
      <c r="B35" s="42" t="s">
        <v>50</v>
      </c>
      <c r="C35" s="43">
        <v>0.80539300000000003</v>
      </c>
      <c r="D35" s="43">
        <v>0.766594</v>
      </c>
      <c r="E35" s="43">
        <v>0.861182</v>
      </c>
      <c r="F35" s="43">
        <v>0.87408300000000005</v>
      </c>
      <c r="G35" s="43">
        <v>0.88777700000000004</v>
      </c>
      <c r="H35" s="43">
        <v>0.90209899999999998</v>
      </c>
      <c r="I35" s="43">
        <v>0.91594299999999995</v>
      </c>
      <c r="J35" s="43">
        <v>0.92971499999999996</v>
      </c>
      <c r="K35" s="43">
        <v>0.94412300000000005</v>
      </c>
      <c r="L35" s="43">
        <v>0.95886700000000002</v>
      </c>
      <c r="M35" s="43">
        <v>0.97419299999999998</v>
      </c>
      <c r="N35" s="43">
        <v>0.99074399999999996</v>
      </c>
      <c r="O35" s="43">
        <v>1.008481</v>
      </c>
      <c r="P35" s="43">
        <v>1.025846</v>
      </c>
      <c r="Q35" s="43">
        <v>1.043779</v>
      </c>
      <c r="R35" s="43">
        <v>1.0629109999999999</v>
      </c>
      <c r="S35" s="43">
        <v>1.0831999999999999</v>
      </c>
      <c r="T35" s="43">
        <v>1.1050310000000001</v>
      </c>
      <c r="U35" s="43">
        <v>1.127032</v>
      </c>
      <c r="V35" s="43">
        <v>1.149105</v>
      </c>
      <c r="W35" s="43">
        <v>1.171538</v>
      </c>
      <c r="X35" s="43">
        <v>1.1934800000000001</v>
      </c>
      <c r="Y35" s="43">
        <v>1.216245</v>
      </c>
      <c r="Z35" s="43">
        <v>1.239965</v>
      </c>
      <c r="AA35" s="43">
        <v>1.2645310000000001</v>
      </c>
      <c r="AB35" s="43">
        <v>1.2888820000000001</v>
      </c>
      <c r="AC35" s="43">
        <v>1.3139449999999999</v>
      </c>
      <c r="AD35" s="43">
        <v>1.3385149999999999</v>
      </c>
      <c r="AE35" s="43">
        <v>1.3642240000000001</v>
      </c>
      <c r="AF35" s="43">
        <v>1.390646</v>
      </c>
      <c r="AG35" s="43">
        <v>1.418784</v>
      </c>
      <c r="AH35" s="44">
        <v>1.9053E-2</v>
      </c>
    </row>
    <row r="36" spans="1:34" ht="24.75" x14ac:dyDescent="0.25">
      <c r="A36" s="38" t="s">
        <v>51</v>
      </c>
      <c r="B36" s="42" t="s">
        <v>52</v>
      </c>
      <c r="C36" s="43">
        <v>0.60754900000000001</v>
      </c>
      <c r="D36" s="43">
        <v>0.61027200000000004</v>
      </c>
      <c r="E36" s="43">
        <v>0.61248599999999997</v>
      </c>
      <c r="F36" s="43">
        <v>0.61327600000000004</v>
      </c>
      <c r="G36" s="43">
        <v>0.61469700000000005</v>
      </c>
      <c r="H36" s="43">
        <v>0.61555800000000005</v>
      </c>
      <c r="I36" s="43">
        <v>0.61551599999999995</v>
      </c>
      <c r="J36" s="43">
        <v>0.61533899999999997</v>
      </c>
      <c r="K36" s="43">
        <v>0.615263</v>
      </c>
      <c r="L36" s="43">
        <v>0.61515900000000001</v>
      </c>
      <c r="M36" s="43">
        <v>0.61544600000000005</v>
      </c>
      <c r="N36" s="43">
        <v>0.61618899999999999</v>
      </c>
      <c r="O36" s="43">
        <v>0.61755800000000005</v>
      </c>
      <c r="P36" s="43">
        <v>0.61868999999999996</v>
      </c>
      <c r="Q36" s="43">
        <v>0.62004800000000004</v>
      </c>
      <c r="R36" s="43">
        <v>0.62183600000000006</v>
      </c>
      <c r="S36" s="43">
        <v>0.62421099999999996</v>
      </c>
      <c r="T36" s="43">
        <v>0.62690800000000002</v>
      </c>
      <c r="U36" s="43">
        <v>0.62986200000000003</v>
      </c>
      <c r="V36" s="43">
        <v>0.63256699999999999</v>
      </c>
      <c r="W36" s="43">
        <v>0.63504899999999997</v>
      </c>
      <c r="X36" s="43">
        <v>0.63740300000000005</v>
      </c>
      <c r="Y36" s="43">
        <v>0.63966800000000001</v>
      </c>
      <c r="Z36" s="43">
        <v>0.64261400000000002</v>
      </c>
      <c r="AA36" s="43">
        <v>0.64552900000000002</v>
      </c>
      <c r="AB36" s="43">
        <v>0.64850600000000003</v>
      </c>
      <c r="AC36" s="43">
        <v>0.65178499999999995</v>
      </c>
      <c r="AD36" s="43">
        <v>0.65504799999999996</v>
      </c>
      <c r="AE36" s="43">
        <v>0.65846199999999999</v>
      </c>
      <c r="AF36" s="43">
        <v>0.66237500000000005</v>
      </c>
      <c r="AG36" s="43">
        <v>0.666767</v>
      </c>
      <c r="AH36" s="44">
        <v>3.1050000000000001E-3</v>
      </c>
    </row>
    <row r="37" spans="1:34" ht="36.75" x14ac:dyDescent="0.25">
      <c r="A37" s="38" t="s">
        <v>53</v>
      </c>
      <c r="B37" s="42" t="s">
        <v>54</v>
      </c>
      <c r="C37" s="43">
        <v>0.29757099999999997</v>
      </c>
      <c r="D37" s="43">
        <v>0.295346</v>
      </c>
      <c r="E37" s="43">
        <v>0.29378399999999999</v>
      </c>
      <c r="F37" s="43">
        <v>0.29202600000000001</v>
      </c>
      <c r="G37" s="43">
        <v>0.29042400000000002</v>
      </c>
      <c r="H37" s="43">
        <v>0.28908299999999998</v>
      </c>
      <c r="I37" s="43">
        <v>0.28793600000000003</v>
      </c>
      <c r="J37" s="43">
        <v>0.28692200000000001</v>
      </c>
      <c r="K37" s="43">
        <v>0.28607500000000002</v>
      </c>
      <c r="L37" s="43">
        <v>0.28541899999999998</v>
      </c>
      <c r="M37" s="43">
        <v>0.28499999999999998</v>
      </c>
      <c r="N37" s="43">
        <v>0.284881</v>
      </c>
      <c r="O37" s="43">
        <v>0.28508899999999998</v>
      </c>
      <c r="P37" s="43">
        <v>0.28559600000000002</v>
      </c>
      <c r="Q37" s="43">
        <v>0.286414</v>
      </c>
      <c r="R37" s="43">
        <v>0.28758899999999998</v>
      </c>
      <c r="S37" s="43">
        <v>0.28906799999999999</v>
      </c>
      <c r="T37" s="43">
        <v>0.29083900000000001</v>
      </c>
      <c r="U37" s="43">
        <v>0.29291899999999998</v>
      </c>
      <c r="V37" s="43">
        <v>0.29527399999999998</v>
      </c>
      <c r="W37" s="43">
        <v>0.29792600000000002</v>
      </c>
      <c r="X37" s="43">
        <v>0.30085800000000001</v>
      </c>
      <c r="Y37" s="43">
        <v>0.30406499999999997</v>
      </c>
      <c r="Z37" s="43">
        <v>0.30727100000000002</v>
      </c>
      <c r="AA37" s="43">
        <v>0.31046600000000002</v>
      </c>
      <c r="AB37" s="43">
        <v>0.31362899999999999</v>
      </c>
      <c r="AC37" s="43">
        <v>0.31673499999999999</v>
      </c>
      <c r="AD37" s="43">
        <v>0.319768</v>
      </c>
      <c r="AE37" s="43">
        <v>0.32273200000000002</v>
      </c>
      <c r="AF37" s="43">
        <v>0.32563300000000001</v>
      </c>
      <c r="AG37" s="43">
        <v>0.32846999999999998</v>
      </c>
      <c r="AH37" s="44">
        <v>3.2989999999999998E-3</v>
      </c>
    </row>
    <row r="38" spans="1:34" x14ac:dyDescent="0.25">
      <c r="A38" s="38" t="s">
        <v>55</v>
      </c>
      <c r="B38" s="42" t="s">
        <v>56</v>
      </c>
      <c r="C38" s="43">
        <v>5.5007E-2</v>
      </c>
      <c r="D38" s="43">
        <v>5.5161000000000002E-2</v>
      </c>
      <c r="E38" s="43">
        <v>5.5458E-2</v>
      </c>
      <c r="F38" s="43">
        <v>5.5738000000000003E-2</v>
      </c>
      <c r="G38" s="43">
        <v>5.6009000000000003E-2</v>
      </c>
      <c r="H38" s="43">
        <v>5.6286000000000003E-2</v>
      </c>
      <c r="I38" s="43">
        <v>5.6556000000000002E-2</v>
      </c>
      <c r="J38" s="43">
        <v>5.6802999999999999E-2</v>
      </c>
      <c r="K38" s="43">
        <v>5.7031999999999999E-2</v>
      </c>
      <c r="L38" s="43">
        <v>5.7229000000000002E-2</v>
      </c>
      <c r="M38" s="43">
        <v>5.7396000000000003E-2</v>
      </c>
      <c r="N38" s="43">
        <v>5.7526000000000001E-2</v>
      </c>
      <c r="O38" s="43">
        <v>5.7620999999999999E-2</v>
      </c>
      <c r="P38" s="43">
        <v>5.7724999999999999E-2</v>
      </c>
      <c r="Q38" s="43">
        <v>5.7854000000000003E-2</v>
      </c>
      <c r="R38" s="43">
        <v>5.8016999999999999E-2</v>
      </c>
      <c r="S38" s="43">
        <v>5.8215000000000003E-2</v>
      </c>
      <c r="T38" s="43">
        <v>5.8450000000000002E-2</v>
      </c>
      <c r="U38" s="43">
        <v>5.8677E-2</v>
      </c>
      <c r="V38" s="43">
        <v>5.8894000000000002E-2</v>
      </c>
      <c r="W38" s="43">
        <v>5.9104999999999998E-2</v>
      </c>
      <c r="X38" s="43">
        <v>5.9304999999999997E-2</v>
      </c>
      <c r="Y38" s="43">
        <v>5.9498000000000002E-2</v>
      </c>
      <c r="Z38" s="43">
        <v>5.9686999999999997E-2</v>
      </c>
      <c r="AA38" s="43">
        <v>5.9871000000000001E-2</v>
      </c>
      <c r="AB38" s="43">
        <v>6.0049999999999999E-2</v>
      </c>
      <c r="AC38" s="43">
        <v>6.0220999999999997E-2</v>
      </c>
      <c r="AD38" s="43">
        <v>6.0386000000000002E-2</v>
      </c>
      <c r="AE38" s="43">
        <v>6.0551000000000001E-2</v>
      </c>
      <c r="AF38" s="43">
        <v>6.0719000000000002E-2</v>
      </c>
      <c r="AG38" s="43">
        <v>6.0893000000000003E-2</v>
      </c>
      <c r="AH38" s="44">
        <v>3.3939999999999999E-3</v>
      </c>
    </row>
    <row r="39" spans="1:34" ht="24.75" x14ac:dyDescent="0.25">
      <c r="A39" s="38" t="s">
        <v>57</v>
      </c>
      <c r="B39" s="42" t="s">
        <v>58</v>
      </c>
      <c r="C39" s="43">
        <v>0.216421</v>
      </c>
      <c r="D39" s="43">
        <v>0.220387</v>
      </c>
      <c r="E39" s="43">
        <v>0.22392699999999999</v>
      </c>
      <c r="F39" s="43">
        <v>0.227024</v>
      </c>
      <c r="G39" s="43">
        <v>0.23042099999999999</v>
      </c>
      <c r="H39" s="43">
        <v>0.233791</v>
      </c>
      <c r="I39" s="43">
        <v>0.236868</v>
      </c>
      <c r="J39" s="43">
        <v>0.239735</v>
      </c>
      <c r="K39" s="43">
        <v>0.24265999999999999</v>
      </c>
      <c r="L39" s="43">
        <v>0.245586</v>
      </c>
      <c r="M39" s="43">
        <v>0.248642</v>
      </c>
      <c r="N39" s="43">
        <v>0.25174800000000003</v>
      </c>
      <c r="O39" s="43">
        <v>0.25499899999999998</v>
      </c>
      <c r="P39" s="43">
        <v>0.25810499999999997</v>
      </c>
      <c r="Q39" s="43">
        <v>0.26134800000000002</v>
      </c>
      <c r="R39" s="43">
        <v>0.26472400000000001</v>
      </c>
      <c r="S39" s="43">
        <v>0.26834599999999997</v>
      </c>
      <c r="T39" s="43">
        <v>0.27198499999999998</v>
      </c>
      <c r="U39" s="43">
        <v>0.27561999999999998</v>
      </c>
      <c r="V39" s="43">
        <v>0.27921099999999999</v>
      </c>
      <c r="W39" s="43">
        <v>0.28273500000000001</v>
      </c>
      <c r="X39" s="43">
        <v>0.286192</v>
      </c>
      <c r="Y39" s="43">
        <v>0.289572</v>
      </c>
      <c r="Z39" s="43">
        <v>0.293211</v>
      </c>
      <c r="AA39" s="43">
        <v>0.29679699999999998</v>
      </c>
      <c r="AB39" s="43">
        <v>0.30034499999999997</v>
      </c>
      <c r="AC39" s="43">
        <v>0.30395899999999998</v>
      </c>
      <c r="AD39" s="43">
        <v>0.30750499999999997</v>
      </c>
      <c r="AE39" s="43">
        <v>0.31109100000000001</v>
      </c>
      <c r="AF39" s="43">
        <v>0.31490099999999999</v>
      </c>
      <c r="AG39" s="43">
        <v>0.31889400000000001</v>
      </c>
      <c r="AH39" s="44">
        <v>1.3004999999999999E-2</v>
      </c>
    </row>
    <row r="40" spans="1:34" x14ac:dyDescent="0.25">
      <c r="A40" s="38" t="s">
        <v>59</v>
      </c>
      <c r="B40" s="42" t="s">
        <v>60</v>
      </c>
      <c r="C40" s="43">
        <v>6.9181000000000006E-2</v>
      </c>
      <c r="D40" s="43">
        <v>6.8847000000000005E-2</v>
      </c>
      <c r="E40" s="43">
        <v>6.8695999999999993E-2</v>
      </c>
      <c r="F40" s="43">
        <v>6.8514000000000005E-2</v>
      </c>
      <c r="G40" s="43">
        <v>6.8303000000000003E-2</v>
      </c>
      <c r="H40" s="43">
        <v>6.8080000000000002E-2</v>
      </c>
      <c r="I40" s="43">
        <v>6.7833000000000004E-2</v>
      </c>
      <c r="J40" s="43">
        <v>6.7552000000000001E-2</v>
      </c>
      <c r="K40" s="43">
        <v>6.7285999999999999E-2</v>
      </c>
      <c r="L40" s="43">
        <v>6.7035999999999998E-2</v>
      </c>
      <c r="M40" s="43">
        <v>6.6805000000000003E-2</v>
      </c>
      <c r="N40" s="43">
        <v>6.6594E-2</v>
      </c>
      <c r="O40" s="43">
        <v>6.6406999999999994E-2</v>
      </c>
      <c r="P40" s="43">
        <v>6.6239000000000006E-2</v>
      </c>
      <c r="Q40" s="43">
        <v>6.6095000000000001E-2</v>
      </c>
      <c r="R40" s="43">
        <v>6.5983E-2</v>
      </c>
      <c r="S40" s="43">
        <v>6.59E-2</v>
      </c>
      <c r="T40" s="43">
        <v>6.5845000000000001E-2</v>
      </c>
      <c r="U40" s="43">
        <v>6.5823999999999994E-2</v>
      </c>
      <c r="V40" s="43">
        <v>6.5833000000000003E-2</v>
      </c>
      <c r="W40" s="43">
        <v>6.5878000000000006E-2</v>
      </c>
      <c r="X40" s="43">
        <v>6.5962999999999994E-2</v>
      </c>
      <c r="Y40" s="43">
        <v>6.6087999999999994E-2</v>
      </c>
      <c r="Z40" s="43">
        <v>6.6264000000000003E-2</v>
      </c>
      <c r="AA40" s="43">
        <v>6.6497000000000001E-2</v>
      </c>
      <c r="AB40" s="43">
        <v>6.6783999999999996E-2</v>
      </c>
      <c r="AC40" s="43">
        <v>6.7123000000000002E-2</v>
      </c>
      <c r="AD40" s="43">
        <v>6.7501000000000005E-2</v>
      </c>
      <c r="AE40" s="43">
        <v>6.7876000000000006E-2</v>
      </c>
      <c r="AF40" s="43">
        <v>6.8251000000000006E-2</v>
      </c>
      <c r="AG40" s="43">
        <v>6.8624000000000004E-2</v>
      </c>
      <c r="AH40" s="44">
        <v>-2.7E-4</v>
      </c>
    </row>
    <row r="41" spans="1:34" x14ac:dyDescent="0.25">
      <c r="A41" s="38" t="s">
        <v>61</v>
      </c>
      <c r="B41" s="42" t="s">
        <v>62</v>
      </c>
      <c r="C41" s="43">
        <v>0.21124699999999999</v>
      </c>
      <c r="D41" s="43">
        <v>0.204709</v>
      </c>
      <c r="E41" s="43">
        <v>0.202325</v>
      </c>
      <c r="F41" s="43">
        <v>0.20133100000000001</v>
      </c>
      <c r="G41" s="43">
        <v>0.20136299999999999</v>
      </c>
      <c r="H41" s="43">
        <v>0.19996900000000001</v>
      </c>
      <c r="I41" s="43">
        <v>0.19883400000000001</v>
      </c>
      <c r="J41" s="43">
        <v>0.19838500000000001</v>
      </c>
      <c r="K41" s="43">
        <v>0.198653</v>
      </c>
      <c r="L41" s="43">
        <v>0.199213</v>
      </c>
      <c r="M41" s="43">
        <v>0.19741900000000001</v>
      </c>
      <c r="N41" s="43">
        <v>0.19624800000000001</v>
      </c>
      <c r="O41" s="43">
        <v>0.19559699999999999</v>
      </c>
      <c r="P41" s="43">
        <v>0.19511400000000001</v>
      </c>
      <c r="Q41" s="43">
        <v>0.19497800000000001</v>
      </c>
      <c r="R41" s="43">
        <v>0.19514300000000001</v>
      </c>
      <c r="S41" s="43">
        <v>0.195525</v>
      </c>
      <c r="T41" s="43">
        <v>0.19600000000000001</v>
      </c>
      <c r="U41" s="43">
        <v>0.196543</v>
      </c>
      <c r="V41" s="43">
        <v>0.19711400000000001</v>
      </c>
      <c r="W41" s="43">
        <v>0.19439999999999999</v>
      </c>
      <c r="X41" s="43">
        <v>0.19228500000000001</v>
      </c>
      <c r="Y41" s="43">
        <v>0.19058800000000001</v>
      </c>
      <c r="Z41" s="43">
        <v>0.18950400000000001</v>
      </c>
      <c r="AA41" s="43">
        <v>0.18876000000000001</v>
      </c>
      <c r="AB41" s="43">
        <v>0.18824299999999999</v>
      </c>
      <c r="AC41" s="43">
        <v>0.18789700000000001</v>
      </c>
      <c r="AD41" s="43">
        <v>0.187552</v>
      </c>
      <c r="AE41" s="43">
        <v>0.187251</v>
      </c>
      <c r="AF41" s="43">
        <v>0.18709600000000001</v>
      </c>
      <c r="AG41" s="43">
        <v>0.187254</v>
      </c>
      <c r="AH41" s="44">
        <v>-4.0109999999999998E-3</v>
      </c>
    </row>
    <row r="42" spans="1:34" ht="36.75" x14ac:dyDescent="0.25">
      <c r="A42" s="38" t="s">
        <v>63</v>
      </c>
      <c r="B42" s="42" t="s">
        <v>64</v>
      </c>
      <c r="C42" s="43">
        <v>3.6778999999999999E-2</v>
      </c>
      <c r="D42" s="43">
        <v>3.7026000000000003E-2</v>
      </c>
      <c r="E42" s="43">
        <v>3.7373000000000003E-2</v>
      </c>
      <c r="F42" s="43">
        <v>3.771E-2</v>
      </c>
      <c r="G42" s="43">
        <v>3.8044000000000001E-2</v>
      </c>
      <c r="H42" s="43">
        <v>3.8386999999999998E-2</v>
      </c>
      <c r="I42" s="43">
        <v>3.8726999999999998E-2</v>
      </c>
      <c r="J42" s="43">
        <v>3.9054999999999999E-2</v>
      </c>
      <c r="K42" s="43">
        <v>3.9377000000000002E-2</v>
      </c>
      <c r="L42" s="43">
        <v>3.9694E-2</v>
      </c>
      <c r="M42" s="43">
        <v>4.0024999999999998E-2</v>
      </c>
      <c r="N42" s="43">
        <v>4.0351999999999999E-2</v>
      </c>
      <c r="O42" s="43">
        <v>4.0679E-2</v>
      </c>
      <c r="P42" s="43">
        <v>4.1000000000000002E-2</v>
      </c>
      <c r="Q42" s="43">
        <v>4.1314999999999998E-2</v>
      </c>
      <c r="R42" s="43">
        <v>4.1632000000000002E-2</v>
      </c>
      <c r="S42" s="43">
        <v>4.1942E-2</v>
      </c>
      <c r="T42" s="43">
        <v>4.2249000000000002E-2</v>
      </c>
      <c r="U42" s="43">
        <v>4.2553000000000001E-2</v>
      </c>
      <c r="V42" s="43">
        <v>4.2854000000000003E-2</v>
      </c>
      <c r="W42" s="43">
        <v>4.3154999999999999E-2</v>
      </c>
      <c r="X42" s="43">
        <v>4.3454E-2</v>
      </c>
      <c r="Y42" s="43">
        <v>4.3750999999999998E-2</v>
      </c>
      <c r="Z42" s="43">
        <v>4.4052000000000001E-2</v>
      </c>
      <c r="AA42" s="43">
        <v>4.4354999999999999E-2</v>
      </c>
      <c r="AB42" s="43">
        <v>4.4658999999999997E-2</v>
      </c>
      <c r="AC42" s="43">
        <v>4.4962000000000002E-2</v>
      </c>
      <c r="AD42" s="43">
        <v>4.5262999999999998E-2</v>
      </c>
      <c r="AE42" s="43">
        <v>4.5561999999999998E-2</v>
      </c>
      <c r="AF42" s="43">
        <v>4.5862E-2</v>
      </c>
      <c r="AG42" s="43">
        <v>4.6163000000000003E-2</v>
      </c>
      <c r="AH42" s="44">
        <v>7.6030000000000004E-3</v>
      </c>
    </row>
    <row r="43" spans="1:34" ht="36.75" x14ac:dyDescent="0.25">
      <c r="A43" s="38" t="s">
        <v>65</v>
      </c>
      <c r="B43" s="42" t="s">
        <v>66</v>
      </c>
      <c r="C43" s="43">
        <v>2.6616999999999998E-2</v>
      </c>
      <c r="D43" s="43">
        <v>2.6991999999999999E-2</v>
      </c>
      <c r="E43" s="43">
        <v>2.743E-2</v>
      </c>
      <c r="F43" s="43">
        <v>2.7851999999999998E-2</v>
      </c>
      <c r="G43" s="43">
        <v>2.8261999999999999E-2</v>
      </c>
      <c r="H43" s="43">
        <v>2.8667000000000002E-2</v>
      </c>
      <c r="I43" s="43">
        <v>2.9058E-2</v>
      </c>
      <c r="J43" s="43">
        <v>2.9425E-2</v>
      </c>
      <c r="K43" s="43">
        <v>2.9825000000000001E-2</v>
      </c>
      <c r="L43" s="43">
        <v>3.0258E-2</v>
      </c>
      <c r="M43" s="43">
        <v>3.0724999999999999E-2</v>
      </c>
      <c r="N43" s="43">
        <v>3.1229E-2</v>
      </c>
      <c r="O43" s="43">
        <v>3.1773999999999997E-2</v>
      </c>
      <c r="P43" s="43">
        <v>3.2358999999999999E-2</v>
      </c>
      <c r="Q43" s="43">
        <v>3.2987000000000002E-2</v>
      </c>
      <c r="R43" s="43">
        <v>3.3612999999999997E-2</v>
      </c>
      <c r="S43" s="43">
        <v>3.4234000000000001E-2</v>
      </c>
      <c r="T43" s="43">
        <v>3.4849999999999999E-2</v>
      </c>
      <c r="U43" s="43">
        <v>3.5463000000000001E-2</v>
      </c>
      <c r="V43" s="43">
        <v>3.6073000000000001E-2</v>
      </c>
      <c r="W43" s="43">
        <v>3.6681999999999999E-2</v>
      </c>
      <c r="X43" s="43">
        <v>3.7289000000000003E-2</v>
      </c>
      <c r="Y43" s="43">
        <v>3.7893999999999997E-2</v>
      </c>
      <c r="Z43" s="43">
        <v>3.8501000000000001E-2</v>
      </c>
      <c r="AA43" s="43">
        <v>3.9108999999999998E-2</v>
      </c>
      <c r="AB43" s="43">
        <v>3.9717000000000002E-2</v>
      </c>
      <c r="AC43" s="43">
        <v>4.0322999999999998E-2</v>
      </c>
      <c r="AD43" s="43">
        <v>4.0926999999999998E-2</v>
      </c>
      <c r="AE43" s="43">
        <v>4.1529000000000003E-2</v>
      </c>
      <c r="AF43" s="43">
        <v>4.2130000000000001E-2</v>
      </c>
      <c r="AG43" s="43">
        <v>4.2730999999999998E-2</v>
      </c>
      <c r="AH43" s="44">
        <v>1.5904999999999999E-2</v>
      </c>
    </row>
    <row r="44" spans="1:34" ht="72.75" x14ac:dyDescent="0.25">
      <c r="A44" s="38" t="s">
        <v>67</v>
      </c>
      <c r="B44" s="42" t="s">
        <v>68</v>
      </c>
      <c r="C44" s="43">
        <v>0.20913300000000001</v>
      </c>
      <c r="D44" s="43">
        <v>0.205207</v>
      </c>
      <c r="E44" s="43">
        <v>0.202543</v>
      </c>
      <c r="F44" s="43">
        <v>0.20023199999999999</v>
      </c>
      <c r="G44" s="43">
        <v>0.19889200000000001</v>
      </c>
      <c r="H44" s="43">
        <v>0.198295</v>
      </c>
      <c r="I44" s="43">
        <v>0.19822999999999999</v>
      </c>
      <c r="J44" s="43">
        <v>0.19878999999999999</v>
      </c>
      <c r="K44" s="43">
        <v>0.20006099999999999</v>
      </c>
      <c r="L44" s="43">
        <v>0.20200299999999999</v>
      </c>
      <c r="M44" s="43">
        <v>0.20463600000000001</v>
      </c>
      <c r="N44" s="43">
        <v>0.20782300000000001</v>
      </c>
      <c r="O44" s="43">
        <v>0.21160000000000001</v>
      </c>
      <c r="P44" s="43">
        <v>0.215644</v>
      </c>
      <c r="Q44" s="43">
        <v>0.22000500000000001</v>
      </c>
      <c r="R44" s="43">
        <v>0.22468299999999999</v>
      </c>
      <c r="S44" s="43">
        <v>0.22967000000000001</v>
      </c>
      <c r="T44" s="43">
        <v>0.23474700000000001</v>
      </c>
      <c r="U44" s="43">
        <v>0.23980299999999999</v>
      </c>
      <c r="V44" s="43">
        <v>0.244645</v>
      </c>
      <c r="W44" s="43">
        <v>0.24911700000000001</v>
      </c>
      <c r="X44" s="43">
        <v>0.25305699999999998</v>
      </c>
      <c r="Y44" s="43">
        <v>0.25641999999999998</v>
      </c>
      <c r="Z44" s="43">
        <v>0.25970900000000002</v>
      </c>
      <c r="AA44" s="43">
        <v>0.26287199999999999</v>
      </c>
      <c r="AB44" s="43">
        <v>0.26593099999999997</v>
      </c>
      <c r="AC44" s="43">
        <v>0.268959</v>
      </c>
      <c r="AD44" s="43">
        <v>0.27183800000000002</v>
      </c>
      <c r="AE44" s="43">
        <v>0.27464499999999997</v>
      </c>
      <c r="AF44" s="43">
        <v>0.27751500000000001</v>
      </c>
      <c r="AG44" s="43">
        <v>0.280476</v>
      </c>
      <c r="AH44" s="44">
        <v>9.8320000000000005E-3</v>
      </c>
    </row>
    <row r="45" spans="1:34" ht="72.75" x14ac:dyDescent="0.25">
      <c r="A45" s="38" t="s">
        <v>69</v>
      </c>
      <c r="B45" s="42" t="s">
        <v>70</v>
      </c>
      <c r="C45" s="43">
        <v>8.6664000000000005E-2</v>
      </c>
      <c r="D45" s="43">
        <v>8.3833000000000005E-2</v>
      </c>
      <c r="E45" s="43">
        <v>8.1494999999999998E-2</v>
      </c>
      <c r="F45" s="43">
        <v>7.9249E-2</v>
      </c>
      <c r="G45" s="43">
        <v>7.7311000000000005E-2</v>
      </c>
      <c r="H45" s="43">
        <v>7.5550000000000006E-2</v>
      </c>
      <c r="I45" s="43">
        <v>7.3888999999999996E-2</v>
      </c>
      <c r="J45" s="43">
        <v>7.2344000000000006E-2</v>
      </c>
      <c r="K45" s="43">
        <v>7.0940000000000003E-2</v>
      </c>
      <c r="L45" s="43">
        <v>6.9648000000000002E-2</v>
      </c>
      <c r="M45" s="43">
        <v>6.8455000000000002E-2</v>
      </c>
      <c r="N45" s="43">
        <v>6.7301E-2</v>
      </c>
      <c r="O45" s="43">
        <v>6.6194000000000003E-2</v>
      </c>
      <c r="P45" s="43">
        <v>6.5015000000000003E-2</v>
      </c>
      <c r="Q45" s="43">
        <v>6.3785999999999995E-2</v>
      </c>
      <c r="R45" s="43">
        <v>6.2496999999999997E-2</v>
      </c>
      <c r="S45" s="43">
        <v>6.1143000000000003E-2</v>
      </c>
      <c r="T45" s="43">
        <v>5.9822E-2</v>
      </c>
      <c r="U45" s="43">
        <v>5.8526000000000002E-2</v>
      </c>
      <c r="V45" s="43">
        <v>5.722E-2</v>
      </c>
      <c r="W45" s="43">
        <v>5.5891999999999997E-2</v>
      </c>
      <c r="X45" s="43">
        <v>5.4535E-2</v>
      </c>
      <c r="Y45" s="43">
        <v>5.3136000000000003E-2</v>
      </c>
      <c r="Z45" s="43">
        <v>5.1763000000000003E-2</v>
      </c>
      <c r="AA45" s="43">
        <v>5.0342999999999999E-2</v>
      </c>
      <c r="AB45" s="43">
        <v>4.8862000000000003E-2</v>
      </c>
      <c r="AC45" s="43">
        <v>4.7323999999999998E-2</v>
      </c>
      <c r="AD45" s="43">
        <v>4.5687999999999999E-2</v>
      </c>
      <c r="AE45" s="43">
        <v>4.3971000000000003E-2</v>
      </c>
      <c r="AF45" s="43">
        <v>4.2151000000000001E-2</v>
      </c>
      <c r="AG45" s="43">
        <v>4.0223000000000002E-2</v>
      </c>
      <c r="AH45" s="44">
        <v>-2.5262E-2</v>
      </c>
    </row>
    <row r="46" spans="1:34" ht="60.75" x14ac:dyDescent="0.25">
      <c r="A46" s="38" t="s">
        <v>71</v>
      </c>
      <c r="B46" s="42" t="s">
        <v>72</v>
      </c>
      <c r="C46" s="43">
        <v>7.8188999999999995E-2</v>
      </c>
      <c r="D46" s="43">
        <v>8.4238999999999994E-2</v>
      </c>
      <c r="E46" s="43">
        <v>8.4947999999999996E-2</v>
      </c>
      <c r="F46" s="43">
        <v>8.5345000000000004E-2</v>
      </c>
      <c r="G46" s="43">
        <v>8.5870000000000002E-2</v>
      </c>
      <c r="H46" s="43">
        <v>8.6289000000000005E-2</v>
      </c>
      <c r="I46" s="43">
        <v>8.6568000000000006E-2</v>
      </c>
      <c r="J46" s="43">
        <v>8.6861999999999995E-2</v>
      </c>
      <c r="K46" s="43">
        <v>8.7124999999999994E-2</v>
      </c>
      <c r="L46" s="43">
        <v>8.7312000000000001E-2</v>
      </c>
      <c r="M46" s="43">
        <v>8.7309999999999999E-2</v>
      </c>
      <c r="N46" s="43">
        <v>8.7224999999999997E-2</v>
      </c>
      <c r="O46" s="43">
        <v>8.6986999999999995E-2</v>
      </c>
      <c r="P46" s="43">
        <v>8.6527999999999994E-2</v>
      </c>
      <c r="Q46" s="43">
        <v>8.5852999999999999E-2</v>
      </c>
      <c r="R46" s="43">
        <v>8.5038000000000002E-2</v>
      </c>
      <c r="S46" s="43">
        <v>8.4087999999999996E-2</v>
      </c>
      <c r="T46" s="43">
        <v>8.3007999999999998E-2</v>
      </c>
      <c r="U46" s="43">
        <v>8.1807000000000005E-2</v>
      </c>
      <c r="V46" s="43">
        <v>8.0574000000000007E-2</v>
      </c>
      <c r="W46" s="43">
        <v>7.9389000000000001E-2</v>
      </c>
      <c r="X46" s="43">
        <v>7.8256999999999993E-2</v>
      </c>
      <c r="Y46" s="43">
        <v>7.7173000000000005E-2</v>
      </c>
      <c r="Z46" s="43">
        <v>7.6185000000000003E-2</v>
      </c>
      <c r="AA46" s="43">
        <v>7.5318999999999997E-2</v>
      </c>
      <c r="AB46" s="43">
        <v>7.4557999999999999E-2</v>
      </c>
      <c r="AC46" s="43">
        <v>7.3917999999999998E-2</v>
      </c>
      <c r="AD46" s="43">
        <v>7.3368000000000003E-2</v>
      </c>
      <c r="AE46" s="43">
        <v>7.2929999999999995E-2</v>
      </c>
      <c r="AF46" s="43">
        <v>7.2590000000000002E-2</v>
      </c>
      <c r="AG46" s="43">
        <v>7.2375999999999996E-2</v>
      </c>
      <c r="AH46" s="44">
        <v>-2.5720000000000001E-3</v>
      </c>
    </row>
    <row r="47" spans="1:34" ht="24.75" x14ac:dyDescent="0.25">
      <c r="A47" s="38" t="s">
        <v>73</v>
      </c>
      <c r="B47" s="42" t="s">
        <v>74</v>
      </c>
      <c r="C47" s="43">
        <v>1.7822180000000001</v>
      </c>
      <c r="D47" s="43">
        <v>1.818101</v>
      </c>
      <c r="E47" s="43">
        <v>1.733101</v>
      </c>
      <c r="F47" s="43">
        <v>1.747153</v>
      </c>
      <c r="G47" s="43">
        <v>1.758786</v>
      </c>
      <c r="H47" s="43">
        <v>1.7723100000000001</v>
      </c>
      <c r="I47" s="43">
        <v>1.794389</v>
      </c>
      <c r="J47" s="43">
        <v>1.815753</v>
      </c>
      <c r="K47" s="43">
        <v>1.838033</v>
      </c>
      <c r="L47" s="43">
        <v>1.8609420000000001</v>
      </c>
      <c r="M47" s="43">
        <v>1.8856440000000001</v>
      </c>
      <c r="N47" s="43">
        <v>1.9104509999999999</v>
      </c>
      <c r="O47" s="43">
        <v>1.9358820000000001</v>
      </c>
      <c r="P47" s="43">
        <v>1.960485</v>
      </c>
      <c r="Q47" s="43">
        <v>1.988815</v>
      </c>
      <c r="R47" s="43">
        <v>2.0162659999999999</v>
      </c>
      <c r="S47" s="43">
        <v>2.0443669999999998</v>
      </c>
      <c r="T47" s="43">
        <v>2.072632</v>
      </c>
      <c r="U47" s="43">
        <v>2.1011250000000001</v>
      </c>
      <c r="V47" s="43">
        <v>2.1299169999999998</v>
      </c>
      <c r="W47" s="43">
        <v>2.158353</v>
      </c>
      <c r="X47" s="43">
        <v>2.187195</v>
      </c>
      <c r="Y47" s="43">
        <v>2.2166939999999999</v>
      </c>
      <c r="Z47" s="43">
        <v>2.2478259999999999</v>
      </c>
      <c r="AA47" s="43">
        <v>2.27888</v>
      </c>
      <c r="AB47" s="43">
        <v>2.310155</v>
      </c>
      <c r="AC47" s="43">
        <v>2.342203</v>
      </c>
      <c r="AD47" s="43">
        <v>2.3744960000000002</v>
      </c>
      <c r="AE47" s="43">
        <v>2.407788</v>
      </c>
      <c r="AF47" s="43">
        <v>2.4420419999999998</v>
      </c>
      <c r="AG47" s="43">
        <v>2.4771299999999998</v>
      </c>
      <c r="AH47" s="44">
        <v>1.1035E-2</v>
      </c>
    </row>
    <row r="48" spans="1:34" ht="36.75" x14ac:dyDescent="0.25">
      <c r="A48" s="38" t="s">
        <v>75</v>
      </c>
      <c r="B48" s="41" t="s">
        <v>76</v>
      </c>
      <c r="C48" s="45">
        <v>5.1309420000000001</v>
      </c>
      <c r="D48" s="45">
        <v>5.1750749999999996</v>
      </c>
      <c r="E48" s="45">
        <v>5.1904240000000001</v>
      </c>
      <c r="F48" s="45">
        <v>5.2101129999999998</v>
      </c>
      <c r="G48" s="45">
        <v>5.2332640000000001</v>
      </c>
      <c r="H48" s="45">
        <v>5.2581959999999999</v>
      </c>
      <c r="I48" s="45">
        <v>5.2899630000000002</v>
      </c>
      <c r="J48" s="45">
        <v>5.3215479999999999</v>
      </c>
      <c r="K48" s="45">
        <v>5.3568429999999996</v>
      </c>
      <c r="L48" s="45">
        <v>5.394107</v>
      </c>
      <c r="M48" s="45">
        <v>5.4329749999999999</v>
      </c>
      <c r="N48" s="45">
        <v>5.4754069999999997</v>
      </c>
      <c r="O48" s="45">
        <v>5.522024</v>
      </c>
      <c r="P48" s="45">
        <v>5.567215</v>
      </c>
      <c r="Q48" s="45">
        <v>5.6178210000000002</v>
      </c>
      <c r="R48" s="45">
        <v>5.6705800000000002</v>
      </c>
      <c r="S48" s="45">
        <v>5.72689</v>
      </c>
      <c r="T48" s="45">
        <v>5.7858200000000002</v>
      </c>
      <c r="U48" s="45">
        <v>5.8457660000000002</v>
      </c>
      <c r="V48" s="45">
        <v>5.905767</v>
      </c>
      <c r="W48" s="45">
        <v>5.962262</v>
      </c>
      <c r="X48" s="45">
        <v>6.0186830000000002</v>
      </c>
      <c r="Y48" s="45">
        <v>6.0764740000000002</v>
      </c>
      <c r="Z48" s="45">
        <v>6.1391460000000002</v>
      </c>
      <c r="AA48" s="45">
        <v>6.2026389999999996</v>
      </c>
      <c r="AB48" s="45">
        <v>6.2662009999999997</v>
      </c>
      <c r="AC48" s="45">
        <v>6.332071</v>
      </c>
      <c r="AD48" s="45">
        <v>6.3971739999999997</v>
      </c>
      <c r="AE48" s="45">
        <v>6.4645089999999996</v>
      </c>
      <c r="AF48" s="45">
        <v>6.53477</v>
      </c>
      <c r="AG48" s="45">
        <v>6.6089929999999999</v>
      </c>
      <c r="AH48" s="46">
        <v>8.4740000000000006E-3</v>
      </c>
    </row>
    <row r="49" spans="1:34" ht="48.75" x14ac:dyDescent="0.25">
      <c r="A49" s="38" t="s">
        <v>77</v>
      </c>
      <c r="B49" s="42" t="s">
        <v>247</v>
      </c>
      <c r="C49" s="43">
        <v>7.8131000000000006E-2</v>
      </c>
      <c r="D49" s="43">
        <v>8.9439000000000005E-2</v>
      </c>
      <c r="E49" s="43">
        <v>9.8996000000000001E-2</v>
      </c>
      <c r="F49" s="43">
        <v>0.10828400000000001</v>
      </c>
      <c r="G49" s="43">
        <v>0.117412</v>
      </c>
      <c r="H49" s="43">
        <v>0.12662599999999999</v>
      </c>
      <c r="I49" s="43">
        <v>0.13608999999999999</v>
      </c>
      <c r="J49" s="43">
        <v>0.145616</v>
      </c>
      <c r="K49" s="43">
        <v>0.15523799999999999</v>
      </c>
      <c r="L49" s="43">
        <v>0.16494300000000001</v>
      </c>
      <c r="M49" s="43">
        <v>0.17486399999999999</v>
      </c>
      <c r="N49" s="43">
        <v>0.185082</v>
      </c>
      <c r="O49" s="43">
        <v>0.19552700000000001</v>
      </c>
      <c r="P49" s="43">
        <v>0.20619000000000001</v>
      </c>
      <c r="Q49" s="43">
        <v>0.217114</v>
      </c>
      <c r="R49" s="43">
        <v>0.22825300000000001</v>
      </c>
      <c r="S49" s="43">
        <v>0.23962600000000001</v>
      </c>
      <c r="T49" s="43">
        <v>0.25120300000000001</v>
      </c>
      <c r="U49" s="43">
        <v>0.26299899999999998</v>
      </c>
      <c r="V49" s="43">
        <v>0.275007</v>
      </c>
      <c r="W49" s="43">
        <v>0.287302</v>
      </c>
      <c r="X49" s="43">
        <v>0.29986499999999999</v>
      </c>
      <c r="Y49" s="43">
        <v>0.31278499999999998</v>
      </c>
      <c r="Z49" s="43">
        <v>0.326067</v>
      </c>
      <c r="AA49" s="43">
        <v>0.33971499999999999</v>
      </c>
      <c r="AB49" s="43">
        <v>0.35381099999999999</v>
      </c>
      <c r="AC49" s="43">
        <v>0.36832900000000002</v>
      </c>
      <c r="AD49" s="43">
        <v>0.38323400000000002</v>
      </c>
      <c r="AE49" s="43">
        <v>0.39861600000000003</v>
      </c>
      <c r="AF49" s="43">
        <v>0.41442000000000001</v>
      </c>
      <c r="AG49" s="43">
        <v>0.43064400000000003</v>
      </c>
      <c r="AH49" s="44">
        <v>5.8546000000000001E-2</v>
      </c>
    </row>
    <row r="50" spans="1:34" ht="36.75" x14ac:dyDescent="0.25">
      <c r="A50" s="38" t="s">
        <v>79</v>
      </c>
      <c r="B50" s="41" t="s">
        <v>80</v>
      </c>
      <c r="C50" s="45">
        <v>5.0528120000000003</v>
      </c>
      <c r="D50" s="45">
        <v>5.085636</v>
      </c>
      <c r="E50" s="45">
        <v>5.0914270000000004</v>
      </c>
      <c r="F50" s="45">
        <v>5.1018290000000004</v>
      </c>
      <c r="G50" s="45">
        <v>5.1158520000000003</v>
      </c>
      <c r="H50" s="45">
        <v>5.13157</v>
      </c>
      <c r="I50" s="45">
        <v>5.1538719999999998</v>
      </c>
      <c r="J50" s="45">
        <v>5.1759310000000003</v>
      </c>
      <c r="K50" s="45">
        <v>5.2016039999999997</v>
      </c>
      <c r="L50" s="45">
        <v>5.2291639999999999</v>
      </c>
      <c r="M50" s="45">
        <v>5.2581110000000004</v>
      </c>
      <c r="N50" s="45">
        <v>5.2903250000000002</v>
      </c>
      <c r="O50" s="45">
        <v>5.3264959999999997</v>
      </c>
      <c r="P50" s="45">
        <v>5.3610249999999997</v>
      </c>
      <c r="Q50" s="45">
        <v>5.4007069999999997</v>
      </c>
      <c r="R50" s="45">
        <v>5.4423269999999997</v>
      </c>
      <c r="S50" s="45">
        <v>5.4872639999999997</v>
      </c>
      <c r="T50" s="45">
        <v>5.5346159999999998</v>
      </c>
      <c r="U50" s="45">
        <v>5.5827669999999996</v>
      </c>
      <c r="V50" s="45">
        <v>5.6307609999999997</v>
      </c>
      <c r="W50" s="45">
        <v>5.6749599999999996</v>
      </c>
      <c r="X50" s="45">
        <v>5.7188179999999997</v>
      </c>
      <c r="Y50" s="45">
        <v>5.7636900000000004</v>
      </c>
      <c r="Z50" s="45">
        <v>5.8130790000000001</v>
      </c>
      <c r="AA50" s="45">
        <v>5.8629239999999996</v>
      </c>
      <c r="AB50" s="45">
        <v>5.9123900000000003</v>
      </c>
      <c r="AC50" s="45">
        <v>5.9637409999999997</v>
      </c>
      <c r="AD50" s="45">
        <v>6.0139399999999998</v>
      </c>
      <c r="AE50" s="45">
        <v>6.065893</v>
      </c>
      <c r="AF50" s="45">
        <v>6.1203500000000002</v>
      </c>
      <c r="AG50" s="45">
        <v>6.1783489999999999</v>
      </c>
      <c r="AH50" s="46">
        <v>6.7260000000000002E-3</v>
      </c>
    </row>
    <row r="52" spans="1:34" ht="24.75" x14ac:dyDescent="0.25">
      <c r="A52" s="35"/>
      <c r="B52" s="41" t="s">
        <v>81</v>
      </c>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row>
    <row r="53" spans="1:34" ht="24.75" x14ac:dyDescent="0.25">
      <c r="A53" s="38" t="s">
        <v>82</v>
      </c>
      <c r="B53" s="42" t="s">
        <v>48</v>
      </c>
      <c r="C53" s="43">
        <v>3.527199</v>
      </c>
      <c r="D53" s="43">
        <v>3.4057520000000001</v>
      </c>
      <c r="E53" s="43">
        <v>3.5360100000000001</v>
      </c>
      <c r="F53" s="43">
        <v>3.5237479999999999</v>
      </c>
      <c r="G53" s="43">
        <v>3.5176630000000002</v>
      </c>
      <c r="H53" s="43">
        <v>3.5057489999999998</v>
      </c>
      <c r="I53" s="43">
        <v>3.4871020000000001</v>
      </c>
      <c r="J53" s="43">
        <v>3.4671780000000001</v>
      </c>
      <c r="K53" s="43">
        <v>3.4485100000000002</v>
      </c>
      <c r="L53" s="43">
        <v>3.4296259999999998</v>
      </c>
      <c r="M53" s="43">
        <v>3.4080279999999998</v>
      </c>
      <c r="N53" s="43">
        <v>3.3900229999999998</v>
      </c>
      <c r="O53" s="43">
        <v>3.374133</v>
      </c>
      <c r="P53" s="43">
        <v>3.3583090000000002</v>
      </c>
      <c r="Q53" s="43">
        <v>3.342819</v>
      </c>
      <c r="R53" s="43">
        <v>3.3296060000000001</v>
      </c>
      <c r="S53" s="43">
        <v>3.317669</v>
      </c>
      <c r="T53" s="43">
        <v>3.3060640000000001</v>
      </c>
      <c r="U53" s="43">
        <v>3.2952810000000001</v>
      </c>
      <c r="V53" s="43">
        <v>3.2849910000000002</v>
      </c>
      <c r="W53" s="43">
        <v>3.276392</v>
      </c>
      <c r="X53" s="43">
        <v>3.2678569999999998</v>
      </c>
      <c r="Y53" s="43">
        <v>3.259522</v>
      </c>
      <c r="Z53" s="43">
        <v>3.2511260000000002</v>
      </c>
      <c r="AA53" s="43">
        <v>3.2432150000000002</v>
      </c>
      <c r="AB53" s="43">
        <v>3.2346189999999999</v>
      </c>
      <c r="AC53" s="43">
        <v>3.2260719999999998</v>
      </c>
      <c r="AD53" s="43">
        <v>3.2166320000000002</v>
      </c>
      <c r="AE53" s="43">
        <v>3.2067160000000001</v>
      </c>
      <c r="AF53" s="43">
        <v>3.1958169999999999</v>
      </c>
      <c r="AG53" s="43">
        <v>3.1848869999999998</v>
      </c>
      <c r="AH53" s="44">
        <v>-3.3969999999999998E-3</v>
      </c>
    </row>
    <row r="54" spans="1:34" ht="24.75" x14ac:dyDescent="0.25">
      <c r="A54" s="38" t="s">
        <v>83</v>
      </c>
      <c r="B54" s="42" t="s">
        <v>50</v>
      </c>
      <c r="C54" s="43">
        <v>5.8618000000000003E-2</v>
      </c>
      <c r="D54" s="43">
        <v>5.5470999999999999E-2</v>
      </c>
      <c r="E54" s="43">
        <v>6.0270999999999998E-2</v>
      </c>
      <c r="F54" s="43">
        <v>6.0037E-2</v>
      </c>
      <c r="G54" s="43">
        <v>5.9880999999999997E-2</v>
      </c>
      <c r="H54" s="43">
        <v>5.9658000000000003E-2</v>
      </c>
      <c r="I54" s="43">
        <v>5.9376999999999999E-2</v>
      </c>
      <c r="J54" s="43">
        <v>5.9109000000000002E-2</v>
      </c>
      <c r="K54" s="43">
        <v>5.8878E-2</v>
      </c>
      <c r="L54" s="43">
        <v>5.8652000000000003E-2</v>
      </c>
      <c r="M54" s="43">
        <v>5.8368000000000003E-2</v>
      </c>
      <c r="N54" s="43">
        <v>5.8111000000000003E-2</v>
      </c>
      <c r="O54" s="43">
        <v>5.7869999999999998E-2</v>
      </c>
      <c r="P54" s="43">
        <v>5.7610000000000001E-2</v>
      </c>
      <c r="Q54" s="43">
        <v>5.7396999999999997E-2</v>
      </c>
      <c r="R54" s="43">
        <v>5.7278999999999997E-2</v>
      </c>
      <c r="S54" s="43">
        <v>5.7263000000000001E-2</v>
      </c>
      <c r="T54" s="43">
        <v>5.7386E-2</v>
      </c>
      <c r="U54" s="43">
        <v>5.7528000000000003E-2</v>
      </c>
      <c r="V54" s="43">
        <v>5.7692E-2</v>
      </c>
      <c r="W54" s="43">
        <v>5.7879E-2</v>
      </c>
      <c r="X54" s="43">
        <v>5.8028000000000003E-2</v>
      </c>
      <c r="Y54" s="43">
        <v>5.8203999999999999E-2</v>
      </c>
      <c r="Z54" s="43">
        <v>5.8355999999999998E-2</v>
      </c>
      <c r="AA54" s="43">
        <v>5.8546000000000001E-2</v>
      </c>
      <c r="AB54" s="43">
        <v>5.8698E-2</v>
      </c>
      <c r="AC54" s="43">
        <v>5.8871E-2</v>
      </c>
      <c r="AD54" s="43">
        <v>5.9020999999999997E-2</v>
      </c>
      <c r="AE54" s="43">
        <v>5.9200000000000003E-2</v>
      </c>
      <c r="AF54" s="43">
        <v>5.9353000000000003E-2</v>
      </c>
      <c r="AG54" s="43">
        <v>5.9526999999999997E-2</v>
      </c>
      <c r="AH54" s="44">
        <v>5.13E-4</v>
      </c>
    </row>
    <row r="55" spans="1:34" ht="24.75" x14ac:dyDescent="0.25">
      <c r="A55" s="38" t="s">
        <v>84</v>
      </c>
      <c r="B55" s="42" t="s">
        <v>52</v>
      </c>
      <c r="C55" s="43">
        <v>1.0072779999999999</v>
      </c>
      <c r="D55" s="43">
        <v>1.004974</v>
      </c>
      <c r="E55" s="43">
        <v>1.006877</v>
      </c>
      <c r="F55" s="43">
        <v>1.01111</v>
      </c>
      <c r="G55" s="43">
        <v>1.0180279999999999</v>
      </c>
      <c r="H55" s="43">
        <v>1.0250300000000001</v>
      </c>
      <c r="I55" s="43">
        <v>1.031625</v>
      </c>
      <c r="J55" s="43">
        <v>1.0381689999999999</v>
      </c>
      <c r="K55" s="43">
        <v>1.0453809999999999</v>
      </c>
      <c r="L55" s="43">
        <v>1.053167</v>
      </c>
      <c r="M55" s="43">
        <v>1.0591699999999999</v>
      </c>
      <c r="N55" s="43">
        <v>1.065634</v>
      </c>
      <c r="O55" s="43">
        <v>1.072573</v>
      </c>
      <c r="P55" s="43">
        <v>1.0795030000000001</v>
      </c>
      <c r="Q55" s="43">
        <v>1.086028</v>
      </c>
      <c r="R55" s="43">
        <v>1.0926400000000001</v>
      </c>
      <c r="S55" s="43">
        <v>1.0990200000000001</v>
      </c>
      <c r="T55" s="43">
        <v>1.10493</v>
      </c>
      <c r="U55" s="43">
        <v>1.1103209999999999</v>
      </c>
      <c r="V55" s="43">
        <v>1.1154580000000001</v>
      </c>
      <c r="W55" s="43">
        <v>1.1206370000000001</v>
      </c>
      <c r="X55" s="43">
        <v>1.1257029999999999</v>
      </c>
      <c r="Y55" s="43">
        <v>1.130949</v>
      </c>
      <c r="Z55" s="43">
        <v>1.1364289999999999</v>
      </c>
      <c r="AA55" s="43">
        <v>1.142382</v>
      </c>
      <c r="AB55" s="43">
        <v>1.1484840000000001</v>
      </c>
      <c r="AC55" s="43">
        <v>1.1548369999999999</v>
      </c>
      <c r="AD55" s="43">
        <v>1.161232</v>
      </c>
      <c r="AE55" s="43">
        <v>1.1676530000000001</v>
      </c>
      <c r="AF55" s="43">
        <v>1.1739379999999999</v>
      </c>
      <c r="AG55" s="43">
        <v>1.180177</v>
      </c>
      <c r="AH55" s="44">
        <v>5.2940000000000001E-3</v>
      </c>
    </row>
    <row r="56" spans="1:34" x14ac:dyDescent="0.25">
      <c r="A56" s="38" t="s">
        <v>85</v>
      </c>
      <c r="B56" s="42" t="s">
        <v>56</v>
      </c>
      <c r="C56" s="43">
        <v>0.10345600000000001</v>
      </c>
      <c r="D56" s="43">
        <v>0.103328</v>
      </c>
      <c r="E56" s="43">
        <v>0.10348599999999999</v>
      </c>
      <c r="F56" s="43">
        <v>0.103627</v>
      </c>
      <c r="G56" s="43">
        <v>0.103771</v>
      </c>
      <c r="H56" s="43">
        <v>0.10394200000000001</v>
      </c>
      <c r="I56" s="43">
        <v>0.104106</v>
      </c>
      <c r="J56" s="43">
        <v>0.10424600000000001</v>
      </c>
      <c r="K56" s="43">
        <v>0.10439900000000001</v>
      </c>
      <c r="L56" s="43">
        <v>0.10462299999999999</v>
      </c>
      <c r="M56" s="43">
        <v>0.104916</v>
      </c>
      <c r="N56" s="43">
        <v>0.105296</v>
      </c>
      <c r="O56" s="43">
        <v>0.10577300000000001</v>
      </c>
      <c r="P56" s="43">
        <v>0.106349</v>
      </c>
      <c r="Q56" s="43">
        <v>0.106974</v>
      </c>
      <c r="R56" s="43">
        <v>0.10766100000000001</v>
      </c>
      <c r="S56" s="43">
        <v>0.108391</v>
      </c>
      <c r="T56" s="43">
        <v>0.10916099999999999</v>
      </c>
      <c r="U56" s="43">
        <v>0.10995199999999999</v>
      </c>
      <c r="V56" s="43">
        <v>0.110763</v>
      </c>
      <c r="W56" s="43">
        <v>0.11160299999999999</v>
      </c>
      <c r="X56" s="43">
        <v>0.112468</v>
      </c>
      <c r="Y56" s="43">
        <v>0.113362</v>
      </c>
      <c r="Z56" s="43">
        <v>0.114289</v>
      </c>
      <c r="AA56" s="43">
        <v>0.115247</v>
      </c>
      <c r="AB56" s="43">
        <v>0.116229</v>
      </c>
      <c r="AC56" s="43">
        <v>0.11722399999999999</v>
      </c>
      <c r="AD56" s="43">
        <v>0.11822299999999999</v>
      </c>
      <c r="AE56" s="43">
        <v>0.119216</v>
      </c>
      <c r="AF56" s="43">
        <v>0.120198</v>
      </c>
      <c r="AG56" s="43">
        <v>0.121161</v>
      </c>
      <c r="AH56" s="44">
        <v>5.2789999999999998E-3</v>
      </c>
    </row>
    <row r="57" spans="1:34" ht="24.75" x14ac:dyDescent="0.25">
      <c r="A57" s="38" t="s">
        <v>86</v>
      </c>
      <c r="B57" s="42" t="s">
        <v>58</v>
      </c>
      <c r="C57" s="43">
        <v>3.9426999999999997E-2</v>
      </c>
      <c r="D57" s="43">
        <v>3.9823999999999998E-2</v>
      </c>
      <c r="E57" s="43">
        <v>4.0362000000000002E-2</v>
      </c>
      <c r="F57" s="43">
        <v>4.0979000000000002E-2</v>
      </c>
      <c r="G57" s="43">
        <v>4.1686000000000001E-2</v>
      </c>
      <c r="H57" s="43">
        <v>4.2375999999999997E-2</v>
      </c>
      <c r="I57" s="43">
        <v>4.3043999999999999E-2</v>
      </c>
      <c r="J57" s="43">
        <v>4.3714000000000003E-2</v>
      </c>
      <c r="K57" s="43">
        <v>4.4368999999999999E-2</v>
      </c>
      <c r="L57" s="43">
        <v>4.5012999999999997E-2</v>
      </c>
      <c r="M57" s="43">
        <v>4.5546000000000003E-2</v>
      </c>
      <c r="N57" s="43">
        <v>4.6134000000000001E-2</v>
      </c>
      <c r="O57" s="43">
        <v>4.6761999999999998E-2</v>
      </c>
      <c r="P57" s="43">
        <v>4.7405999999999997E-2</v>
      </c>
      <c r="Q57" s="43">
        <v>4.8042000000000001E-2</v>
      </c>
      <c r="R57" s="43">
        <v>4.8680000000000001E-2</v>
      </c>
      <c r="S57" s="43">
        <v>4.9308999999999999E-2</v>
      </c>
      <c r="T57" s="43">
        <v>4.9957000000000001E-2</v>
      </c>
      <c r="U57" s="43">
        <v>5.0618999999999997E-2</v>
      </c>
      <c r="V57" s="43">
        <v>5.1295E-2</v>
      </c>
      <c r="W57" s="43">
        <v>5.1991000000000002E-2</v>
      </c>
      <c r="X57" s="43">
        <v>5.2693999999999998E-2</v>
      </c>
      <c r="Y57" s="43">
        <v>5.3405000000000001E-2</v>
      </c>
      <c r="Z57" s="43">
        <v>5.4120000000000001E-2</v>
      </c>
      <c r="AA57" s="43">
        <v>5.4841000000000001E-2</v>
      </c>
      <c r="AB57" s="43">
        <v>5.5551999999999997E-2</v>
      </c>
      <c r="AC57" s="43">
        <v>5.6256E-2</v>
      </c>
      <c r="AD57" s="43">
        <v>5.6944000000000002E-2</v>
      </c>
      <c r="AE57" s="43">
        <v>5.7619999999999998E-2</v>
      </c>
      <c r="AF57" s="43">
        <v>5.8278000000000003E-2</v>
      </c>
      <c r="AG57" s="43">
        <v>5.8927E-2</v>
      </c>
      <c r="AH57" s="44">
        <v>1.3485E-2</v>
      </c>
    </row>
    <row r="58" spans="1:34" ht="24.75" x14ac:dyDescent="0.25">
      <c r="A58" s="38" t="s">
        <v>87</v>
      </c>
      <c r="B58" s="42" t="s">
        <v>88</v>
      </c>
      <c r="C58" s="43">
        <v>0.233372</v>
      </c>
      <c r="D58" s="43">
        <v>0.23203499999999999</v>
      </c>
      <c r="E58" s="43">
        <v>0.23141100000000001</v>
      </c>
      <c r="F58" s="43">
        <v>0.23120599999999999</v>
      </c>
      <c r="G58" s="43">
        <v>0.231351</v>
      </c>
      <c r="H58" s="43">
        <v>0.23127300000000001</v>
      </c>
      <c r="I58" s="43">
        <v>0.23091</v>
      </c>
      <c r="J58" s="43">
        <v>0.23035900000000001</v>
      </c>
      <c r="K58" s="43">
        <v>0.229736</v>
      </c>
      <c r="L58" s="43">
        <v>0.22905800000000001</v>
      </c>
      <c r="M58" s="43">
        <v>0.22772700000000001</v>
      </c>
      <c r="N58" s="43">
        <v>0.226713</v>
      </c>
      <c r="O58" s="43">
        <v>0.225941</v>
      </c>
      <c r="P58" s="43">
        <v>0.22534699999999999</v>
      </c>
      <c r="Q58" s="43">
        <v>0.224801</v>
      </c>
      <c r="R58" s="43">
        <v>0.22434000000000001</v>
      </c>
      <c r="S58" s="43">
        <v>0.22394800000000001</v>
      </c>
      <c r="T58" s="43">
        <v>0.22357299999999999</v>
      </c>
      <c r="U58" s="43">
        <v>0.223191</v>
      </c>
      <c r="V58" s="43">
        <v>0.22281699999999999</v>
      </c>
      <c r="W58" s="43">
        <v>0.22247</v>
      </c>
      <c r="X58" s="43">
        <v>0.22211700000000001</v>
      </c>
      <c r="Y58" s="43">
        <v>0.221776</v>
      </c>
      <c r="Z58" s="43">
        <v>0.22144</v>
      </c>
      <c r="AA58" s="43">
        <v>0.22111600000000001</v>
      </c>
      <c r="AB58" s="43">
        <v>0.22075900000000001</v>
      </c>
      <c r="AC58" s="43">
        <v>0.22040299999999999</v>
      </c>
      <c r="AD58" s="43">
        <v>0.22001899999999999</v>
      </c>
      <c r="AE58" s="43">
        <v>0.21961600000000001</v>
      </c>
      <c r="AF58" s="43">
        <v>0.21917800000000001</v>
      </c>
      <c r="AG58" s="43">
        <v>0.21873200000000001</v>
      </c>
      <c r="AH58" s="44">
        <v>-2.1570000000000001E-3</v>
      </c>
    </row>
    <row r="59" spans="1:34" ht="36.75" x14ac:dyDescent="0.25">
      <c r="A59" s="38" t="s">
        <v>89</v>
      </c>
      <c r="B59" s="41" t="s">
        <v>90</v>
      </c>
      <c r="C59" s="45">
        <v>4.9693500000000004</v>
      </c>
      <c r="D59" s="45">
        <v>4.8413839999999997</v>
      </c>
      <c r="E59" s="45">
        <v>4.9784160000000002</v>
      </c>
      <c r="F59" s="45">
        <v>4.970707</v>
      </c>
      <c r="G59" s="45">
        <v>4.9723800000000002</v>
      </c>
      <c r="H59" s="45">
        <v>4.9680289999999996</v>
      </c>
      <c r="I59" s="45">
        <v>4.9561640000000002</v>
      </c>
      <c r="J59" s="45">
        <v>4.9427760000000003</v>
      </c>
      <c r="K59" s="45">
        <v>4.931273</v>
      </c>
      <c r="L59" s="45">
        <v>4.9201389999999998</v>
      </c>
      <c r="M59" s="45">
        <v>4.9037559999999996</v>
      </c>
      <c r="N59" s="45">
        <v>4.8919119999999996</v>
      </c>
      <c r="O59" s="45">
        <v>4.8830520000000002</v>
      </c>
      <c r="P59" s="45">
        <v>4.8745240000000001</v>
      </c>
      <c r="Q59" s="45">
        <v>4.8660610000000002</v>
      </c>
      <c r="R59" s="45">
        <v>4.8602069999999999</v>
      </c>
      <c r="S59" s="45">
        <v>4.8555999999999999</v>
      </c>
      <c r="T59" s="45">
        <v>4.8510710000000001</v>
      </c>
      <c r="U59" s="45">
        <v>4.8468929999999997</v>
      </c>
      <c r="V59" s="45">
        <v>4.8430160000000004</v>
      </c>
      <c r="W59" s="45">
        <v>4.8409740000000001</v>
      </c>
      <c r="X59" s="45">
        <v>4.8388660000000003</v>
      </c>
      <c r="Y59" s="45">
        <v>4.837218</v>
      </c>
      <c r="Z59" s="45">
        <v>4.8357599999999996</v>
      </c>
      <c r="AA59" s="45">
        <v>4.8353489999999999</v>
      </c>
      <c r="AB59" s="45">
        <v>4.8343420000000004</v>
      </c>
      <c r="AC59" s="45">
        <v>4.8336639999999997</v>
      </c>
      <c r="AD59" s="45">
        <v>4.8320689999999997</v>
      </c>
      <c r="AE59" s="45">
        <v>4.8300200000000002</v>
      </c>
      <c r="AF59" s="45">
        <v>4.8267600000000002</v>
      </c>
      <c r="AG59" s="45">
        <v>4.82341</v>
      </c>
      <c r="AH59" s="46">
        <v>-9.9299999999999996E-4</v>
      </c>
    </row>
    <row r="61" spans="1:34" ht="24.75" x14ac:dyDescent="0.25">
      <c r="A61" s="35"/>
      <c r="B61" s="41" t="s">
        <v>91</v>
      </c>
      <c r="C61" s="35"/>
      <c r="D61" s="35"/>
      <c r="E61" s="35"/>
      <c r="F61" s="35"/>
      <c r="G61" s="35"/>
      <c r="H61" s="35"/>
      <c r="I61" s="35"/>
      <c r="J61" s="35"/>
      <c r="K61" s="35"/>
      <c r="L61" s="35"/>
      <c r="M61" s="35"/>
      <c r="N61" s="35"/>
      <c r="O61" s="35"/>
      <c r="P61" s="35"/>
      <c r="Q61" s="35"/>
      <c r="R61" s="35"/>
      <c r="S61" s="35"/>
      <c r="T61" s="35"/>
      <c r="U61" s="35"/>
      <c r="V61" s="35"/>
      <c r="W61" s="35"/>
      <c r="X61" s="35"/>
      <c r="Y61" s="35"/>
      <c r="Z61" s="35"/>
      <c r="AA61" s="35"/>
      <c r="AB61" s="35"/>
      <c r="AC61" s="35"/>
      <c r="AD61" s="35"/>
      <c r="AE61" s="35"/>
      <c r="AF61" s="35"/>
      <c r="AG61" s="35"/>
      <c r="AH61" s="35"/>
    </row>
    <row r="62" spans="1:34" ht="24.75" x14ac:dyDescent="0.25">
      <c r="A62" s="38" t="s">
        <v>92</v>
      </c>
      <c r="B62" s="42" t="s">
        <v>48</v>
      </c>
      <c r="C62" s="43">
        <v>0.37266500000000002</v>
      </c>
      <c r="D62" s="43">
        <v>0.39995700000000001</v>
      </c>
      <c r="E62" s="43">
        <v>0.39926899999999999</v>
      </c>
      <c r="F62" s="43">
        <v>0.38784400000000002</v>
      </c>
      <c r="G62" s="43">
        <v>0.37701299999999999</v>
      </c>
      <c r="H62" s="43">
        <v>0.36751</v>
      </c>
      <c r="I62" s="43">
        <v>0.35896400000000001</v>
      </c>
      <c r="J62" s="43">
        <v>0.35164899999999999</v>
      </c>
      <c r="K62" s="43">
        <v>0.34474900000000003</v>
      </c>
      <c r="L62" s="43">
        <v>0.33844299999999999</v>
      </c>
      <c r="M62" s="43">
        <v>0.33236199999999999</v>
      </c>
      <c r="N62" s="43">
        <v>0.32668700000000001</v>
      </c>
      <c r="O62" s="43">
        <v>0.32118000000000002</v>
      </c>
      <c r="P62" s="43">
        <v>0.31600400000000001</v>
      </c>
      <c r="Q62" s="43">
        <v>0.311029</v>
      </c>
      <c r="R62" s="43">
        <v>0.306369</v>
      </c>
      <c r="S62" s="43">
        <v>0.301784</v>
      </c>
      <c r="T62" s="43">
        <v>0.29721599999999998</v>
      </c>
      <c r="U62" s="43">
        <v>0.29270499999999999</v>
      </c>
      <c r="V62" s="43">
        <v>0.28850999999999999</v>
      </c>
      <c r="W62" s="43">
        <v>0.28425899999999998</v>
      </c>
      <c r="X62" s="43">
        <v>0.28003699999999998</v>
      </c>
      <c r="Y62" s="43">
        <v>0.27586100000000002</v>
      </c>
      <c r="Z62" s="43">
        <v>0.27163999999999999</v>
      </c>
      <c r="AA62" s="43">
        <v>0.26762599999999998</v>
      </c>
      <c r="AB62" s="43">
        <v>0.26367499999999999</v>
      </c>
      <c r="AC62" s="43">
        <v>0.25955699999999998</v>
      </c>
      <c r="AD62" s="43">
        <v>0.25536199999999998</v>
      </c>
      <c r="AE62" s="43">
        <v>0.25132900000000002</v>
      </c>
      <c r="AF62" s="43">
        <v>0.247337</v>
      </c>
      <c r="AG62" s="43">
        <v>0.243419</v>
      </c>
      <c r="AH62" s="44">
        <v>-1.4095999999999999E-2</v>
      </c>
    </row>
    <row r="63" spans="1:34" ht="24.75" x14ac:dyDescent="0.25">
      <c r="A63" s="38" t="s">
        <v>93</v>
      </c>
      <c r="B63" s="42" t="s">
        <v>52</v>
      </c>
      <c r="C63" s="43">
        <v>4.8758000000000003E-2</v>
      </c>
      <c r="D63" s="43">
        <v>4.7106000000000002E-2</v>
      </c>
      <c r="E63" s="43">
        <v>4.5185999999999997E-2</v>
      </c>
      <c r="F63" s="43">
        <v>4.2962E-2</v>
      </c>
      <c r="G63" s="43">
        <v>4.0973999999999997E-2</v>
      </c>
      <c r="H63" s="43">
        <v>3.9324999999999999E-2</v>
      </c>
      <c r="I63" s="43">
        <v>3.7949999999999998E-2</v>
      </c>
      <c r="J63" s="43">
        <v>3.6873000000000003E-2</v>
      </c>
      <c r="K63" s="43">
        <v>3.5999000000000003E-2</v>
      </c>
      <c r="L63" s="43">
        <v>3.5348999999999998E-2</v>
      </c>
      <c r="M63" s="43">
        <v>3.4874000000000002E-2</v>
      </c>
      <c r="N63" s="43">
        <v>3.4368000000000003E-2</v>
      </c>
      <c r="O63" s="43">
        <v>3.3827000000000003E-2</v>
      </c>
      <c r="P63" s="43">
        <v>3.3281999999999999E-2</v>
      </c>
      <c r="Q63" s="43">
        <v>3.2730000000000002E-2</v>
      </c>
      <c r="R63" s="43">
        <v>3.2176000000000003E-2</v>
      </c>
      <c r="S63" s="43">
        <v>3.1614000000000003E-2</v>
      </c>
      <c r="T63" s="43">
        <v>3.1032000000000001E-2</v>
      </c>
      <c r="U63" s="43">
        <v>3.0442E-2</v>
      </c>
      <c r="V63" s="43">
        <v>2.9881000000000001E-2</v>
      </c>
      <c r="W63" s="43">
        <v>2.9309999999999999E-2</v>
      </c>
      <c r="X63" s="43">
        <v>2.8753000000000001E-2</v>
      </c>
      <c r="Y63" s="43">
        <v>2.8226999999999999E-2</v>
      </c>
      <c r="Z63" s="43">
        <v>2.7720999999999999E-2</v>
      </c>
      <c r="AA63" s="43">
        <v>2.7262999999999999E-2</v>
      </c>
      <c r="AB63" s="43">
        <v>2.6834E-2</v>
      </c>
      <c r="AC63" s="43">
        <v>2.6407E-2</v>
      </c>
      <c r="AD63" s="43">
        <v>2.5998E-2</v>
      </c>
      <c r="AE63" s="43">
        <v>2.5621999999999999E-2</v>
      </c>
      <c r="AF63" s="43">
        <v>2.5257999999999999E-2</v>
      </c>
      <c r="AG63" s="43">
        <v>2.4912E-2</v>
      </c>
      <c r="AH63" s="44">
        <v>-2.2135999999999999E-2</v>
      </c>
    </row>
    <row r="64" spans="1:34" ht="24.75" x14ac:dyDescent="0.25">
      <c r="A64" s="38" t="s">
        <v>94</v>
      </c>
      <c r="B64" s="42" t="s">
        <v>95</v>
      </c>
      <c r="C64" s="43">
        <v>7.8510000000000003E-3</v>
      </c>
      <c r="D64" s="43">
        <v>7.9019999999999993E-3</v>
      </c>
      <c r="E64" s="43">
        <v>7.8840000000000004E-3</v>
      </c>
      <c r="F64" s="43">
        <v>7.7879999999999998E-3</v>
      </c>
      <c r="G64" s="43">
        <v>7.6940000000000003E-3</v>
      </c>
      <c r="H64" s="43">
        <v>7.62E-3</v>
      </c>
      <c r="I64" s="43">
        <v>7.561E-3</v>
      </c>
      <c r="J64" s="43">
        <v>7.5189999999999996E-3</v>
      </c>
      <c r="K64" s="43">
        <v>7.4799999999999997E-3</v>
      </c>
      <c r="L64" s="43">
        <v>7.4469999999999996E-3</v>
      </c>
      <c r="M64" s="43">
        <v>7.4139999999999996E-3</v>
      </c>
      <c r="N64" s="43">
        <v>7.3850000000000001E-3</v>
      </c>
      <c r="O64" s="43">
        <v>7.3559999999999997E-3</v>
      </c>
      <c r="P64" s="43">
        <v>7.3299999999999997E-3</v>
      </c>
      <c r="Q64" s="43">
        <v>7.3070000000000001E-3</v>
      </c>
      <c r="R64" s="43">
        <v>7.2870000000000001E-3</v>
      </c>
      <c r="S64" s="43">
        <v>7.2659999999999999E-3</v>
      </c>
      <c r="T64" s="43">
        <v>7.2430000000000003E-3</v>
      </c>
      <c r="U64" s="43">
        <v>7.2179999999999996E-3</v>
      </c>
      <c r="V64" s="43">
        <v>7.1980000000000004E-3</v>
      </c>
      <c r="W64" s="43">
        <v>7.1729999999999997E-3</v>
      </c>
      <c r="X64" s="43">
        <v>7.1479999999999998E-3</v>
      </c>
      <c r="Y64" s="43">
        <v>7.1250000000000003E-3</v>
      </c>
      <c r="Z64" s="43">
        <v>7.1009999999999997E-3</v>
      </c>
      <c r="AA64" s="43">
        <v>7.0829999999999999E-3</v>
      </c>
      <c r="AB64" s="43">
        <v>7.0670000000000004E-3</v>
      </c>
      <c r="AC64" s="43">
        <v>7.0460000000000002E-3</v>
      </c>
      <c r="AD64" s="43">
        <v>7.025E-3</v>
      </c>
      <c r="AE64" s="43">
        <v>7.0089999999999996E-3</v>
      </c>
      <c r="AF64" s="43">
        <v>6.9930000000000001E-3</v>
      </c>
      <c r="AG64" s="43">
        <v>6.979E-3</v>
      </c>
      <c r="AH64" s="44">
        <v>-3.9160000000000002E-3</v>
      </c>
    </row>
    <row r="65" spans="1:34" ht="36.75" x14ac:dyDescent="0.25">
      <c r="A65" s="38" t="s">
        <v>96</v>
      </c>
      <c r="B65" s="41" t="s">
        <v>90</v>
      </c>
      <c r="C65" s="45">
        <v>0.42927399999999999</v>
      </c>
      <c r="D65" s="45">
        <v>0.45496599999999998</v>
      </c>
      <c r="E65" s="45">
        <v>0.45233800000000002</v>
      </c>
      <c r="F65" s="45">
        <v>0.43859300000000001</v>
      </c>
      <c r="G65" s="45">
        <v>0.42568099999999998</v>
      </c>
      <c r="H65" s="45">
        <v>0.41445599999999999</v>
      </c>
      <c r="I65" s="45">
        <v>0.404474</v>
      </c>
      <c r="J65" s="45">
        <v>0.39604200000000001</v>
      </c>
      <c r="K65" s="45">
        <v>0.38822699999999999</v>
      </c>
      <c r="L65" s="45">
        <v>0.38123899999999999</v>
      </c>
      <c r="M65" s="45">
        <v>0.37464900000000001</v>
      </c>
      <c r="N65" s="45">
        <v>0.36843999999999999</v>
      </c>
      <c r="O65" s="45">
        <v>0.36236200000000002</v>
      </c>
      <c r="P65" s="45">
        <v>0.35661599999999999</v>
      </c>
      <c r="Q65" s="45">
        <v>0.35106599999999999</v>
      </c>
      <c r="R65" s="45">
        <v>0.345831</v>
      </c>
      <c r="S65" s="45">
        <v>0.34066400000000002</v>
      </c>
      <c r="T65" s="45">
        <v>0.33549099999999998</v>
      </c>
      <c r="U65" s="45">
        <v>0.33036500000000002</v>
      </c>
      <c r="V65" s="45">
        <v>0.32558900000000002</v>
      </c>
      <c r="W65" s="45">
        <v>0.32074200000000003</v>
      </c>
      <c r="X65" s="45">
        <v>0.315938</v>
      </c>
      <c r="Y65" s="45">
        <v>0.31121300000000002</v>
      </c>
      <c r="Z65" s="45">
        <v>0.30646200000000001</v>
      </c>
      <c r="AA65" s="45">
        <v>0.30197200000000002</v>
      </c>
      <c r="AB65" s="45">
        <v>0.29757499999999998</v>
      </c>
      <c r="AC65" s="45">
        <v>0.29300999999999999</v>
      </c>
      <c r="AD65" s="45">
        <v>0.288385</v>
      </c>
      <c r="AE65" s="45">
        <v>0.28395900000000002</v>
      </c>
      <c r="AF65" s="45">
        <v>0.27958899999999998</v>
      </c>
      <c r="AG65" s="45">
        <v>0.275341</v>
      </c>
      <c r="AH65" s="46">
        <v>-1.4694E-2</v>
      </c>
    </row>
    <row r="67" spans="1:34" x14ac:dyDescent="0.25">
      <c r="A67" s="35"/>
      <c r="B67" s="41" t="s">
        <v>97</v>
      </c>
      <c r="C67" s="35"/>
      <c r="D67" s="35"/>
      <c r="E67" s="35"/>
      <c r="F67" s="35"/>
      <c r="G67" s="35"/>
      <c r="H67" s="35"/>
      <c r="I67" s="35"/>
      <c r="J67" s="35"/>
      <c r="K67" s="35"/>
      <c r="L67" s="35"/>
      <c r="M67" s="35"/>
      <c r="N67" s="35"/>
      <c r="O67" s="35"/>
      <c r="P67" s="35"/>
      <c r="Q67" s="35"/>
      <c r="R67" s="35"/>
      <c r="S67" s="35"/>
      <c r="T67" s="35"/>
      <c r="U67" s="35"/>
      <c r="V67" s="35"/>
      <c r="W67" s="35"/>
      <c r="X67" s="35"/>
      <c r="Y67" s="35"/>
      <c r="Z67" s="35"/>
      <c r="AA67" s="35"/>
      <c r="AB67" s="35"/>
      <c r="AC67" s="35"/>
      <c r="AD67" s="35"/>
      <c r="AE67" s="35"/>
      <c r="AF67" s="35"/>
      <c r="AG67" s="35"/>
      <c r="AH67" s="35"/>
    </row>
    <row r="68" spans="1:34" ht="24.75" x14ac:dyDescent="0.25">
      <c r="A68" s="38" t="s">
        <v>98</v>
      </c>
      <c r="B68" s="42" t="s">
        <v>48</v>
      </c>
      <c r="C68" s="43">
        <v>0.30082599999999998</v>
      </c>
      <c r="D68" s="43">
        <v>0.31928899999999999</v>
      </c>
      <c r="E68" s="43">
        <v>0.31598199999999999</v>
      </c>
      <c r="F68" s="43">
        <v>0.31245099999999998</v>
      </c>
      <c r="G68" s="43">
        <v>0.30869200000000002</v>
      </c>
      <c r="H68" s="43">
        <v>0.304761</v>
      </c>
      <c r="I68" s="43">
        <v>0.30077199999999998</v>
      </c>
      <c r="J68" s="43">
        <v>0.29696899999999998</v>
      </c>
      <c r="K68" s="43">
        <v>0.29325200000000001</v>
      </c>
      <c r="L68" s="43">
        <v>0.28970299999999999</v>
      </c>
      <c r="M68" s="43">
        <v>0.286165</v>
      </c>
      <c r="N68" s="43">
        <v>0.28289900000000001</v>
      </c>
      <c r="O68" s="43">
        <v>0.27976800000000002</v>
      </c>
      <c r="P68" s="43">
        <v>0.27681899999999998</v>
      </c>
      <c r="Q68" s="43">
        <v>0.274063</v>
      </c>
      <c r="R68" s="43">
        <v>0.27155000000000001</v>
      </c>
      <c r="S68" s="43">
        <v>0.26910800000000001</v>
      </c>
      <c r="T68" s="43">
        <v>0.266735</v>
      </c>
      <c r="U68" s="43">
        <v>0.26442300000000002</v>
      </c>
      <c r="V68" s="43">
        <v>0.26218599999999997</v>
      </c>
      <c r="W68" s="43">
        <v>0.26002199999999998</v>
      </c>
      <c r="X68" s="43">
        <v>0.25787500000000002</v>
      </c>
      <c r="Y68" s="43">
        <v>0.25573600000000002</v>
      </c>
      <c r="Z68" s="43">
        <v>0.25361</v>
      </c>
      <c r="AA68" s="43">
        <v>0.25151400000000002</v>
      </c>
      <c r="AB68" s="43">
        <v>0.24953600000000001</v>
      </c>
      <c r="AC68" s="43">
        <v>0.24754699999999999</v>
      </c>
      <c r="AD68" s="43">
        <v>0.24548200000000001</v>
      </c>
      <c r="AE68" s="43">
        <v>0.24343999999999999</v>
      </c>
      <c r="AF68" s="43">
        <v>0.24146599999999999</v>
      </c>
      <c r="AG68" s="43">
        <v>0.23955699999999999</v>
      </c>
      <c r="AH68" s="44">
        <v>-7.5630000000000003E-3</v>
      </c>
    </row>
    <row r="69" spans="1:34" ht="24.75" x14ac:dyDescent="0.25">
      <c r="A69" s="38" t="s">
        <v>99</v>
      </c>
      <c r="B69" s="42" t="s">
        <v>52</v>
      </c>
      <c r="C69" s="43">
        <v>6.5345E-2</v>
      </c>
      <c r="D69" s="43">
        <v>6.3697000000000004E-2</v>
      </c>
      <c r="E69" s="43">
        <v>6.1963999999999998E-2</v>
      </c>
      <c r="F69" s="43">
        <v>6.0192000000000002E-2</v>
      </c>
      <c r="G69" s="43">
        <v>5.8562000000000003E-2</v>
      </c>
      <c r="H69" s="43">
        <v>5.7089000000000001E-2</v>
      </c>
      <c r="I69" s="43">
        <v>5.5773999999999997E-2</v>
      </c>
      <c r="J69" s="43">
        <v>5.4623999999999999E-2</v>
      </c>
      <c r="K69" s="43">
        <v>5.3608000000000003E-2</v>
      </c>
      <c r="L69" s="43">
        <v>5.2748999999999997E-2</v>
      </c>
      <c r="M69" s="43">
        <v>5.1995E-2</v>
      </c>
      <c r="N69" s="43">
        <v>5.1180999999999997E-2</v>
      </c>
      <c r="O69" s="43">
        <v>5.0317000000000001E-2</v>
      </c>
      <c r="P69" s="43">
        <v>4.9430000000000002E-2</v>
      </c>
      <c r="Q69" s="43">
        <v>4.8529000000000003E-2</v>
      </c>
      <c r="R69" s="43">
        <v>4.7635999999999998E-2</v>
      </c>
      <c r="S69" s="43">
        <v>4.6734999999999999E-2</v>
      </c>
      <c r="T69" s="43">
        <v>4.5836000000000002E-2</v>
      </c>
      <c r="U69" s="43">
        <v>4.4946E-2</v>
      </c>
      <c r="V69" s="43">
        <v>4.4082999999999997E-2</v>
      </c>
      <c r="W69" s="43">
        <v>4.3250999999999998E-2</v>
      </c>
      <c r="X69" s="43">
        <v>4.2452999999999998E-2</v>
      </c>
      <c r="Y69" s="43">
        <v>4.1708000000000002E-2</v>
      </c>
      <c r="Z69" s="43">
        <v>4.1015999999999997E-2</v>
      </c>
      <c r="AA69" s="43">
        <v>4.0382000000000001E-2</v>
      </c>
      <c r="AB69" s="43">
        <v>3.9815000000000003E-2</v>
      </c>
      <c r="AC69" s="43">
        <v>3.9276999999999999E-2</v>
      </c>
      <c r="AD69" s="43">
        <v>3.8758000000000001E-2</v>
      </c>
      <c r="AE69" s="43">
        <v>3.8265E-2</v>
      </c>
      <c r="AF69" s="43">
        <v>3.7802000000000002E-2</v>
      </c>
      <c r="AG69" s="43">
        <v>3.7360999999999998E-2</v>
      </c>
      <c r="AH69" s="44">
        <v>-1.8463E-2</v>
      </c>
    </row>
    <row r="70" spans="1:34" x14ac:dyDescent="0.25">
      <c r="A70" s="38" t="s">
        <v>100</v>
      </c>
      <c r="B70" s="42" t="s">
        <v>56</v>
      </c>
      <c r="C70" s="43">
        <v>1.7066999999999999E-2</v>
      </c>
      <c r="D70" s="43">
        <v>1.6858999999999999E-2</v>
      </c>
      <c r="E70" s="43">
        <v>1.6695000000000002E-2</v>
      </c>
      <c r="F70" s="43">
        <v>1.6525000000000001E-2</v>
      </c>
      <c r="G70" s="43">
        <v>1.635E-2</v>
      </c>
      <c r="H70" s="43">
        <v>1.6171000000000001E-2</v>
      </c>
      <c r="I70" s="43">
        <v>1.5983000000000001E-2</v>
      </c>
      <c r="J70" s="43">
        <v>1.5776999999999999E-2</v>
      </c>
      <c r="K70" s="43">
        <v>1.5561E-2</v>
      </c>
      <c r="L70" s="43">
        <v>1.5335E-2</v>
      </c>
      <c r="M70" s="43">
        <v>1.5099E-2</v>
      </c>
      <c r="N70" s="43">
        <v>1.4853999999999999E-2</v>
      </c>
      <c r="O70" s="43">
        <v>1.4605E-2</v>
      </c>
      <c r="P70" s="43">
        <v>1.4394000000000001E-2</v>
      </c>
      <c r="Q70" s="43">
        <v>1.4220999999999999E-2</v>
      </c>
      <c r="R70" s="43">
        <v>1.4089000000000001E-2</v>
      </c>
      <c r="S70" s="43">
        <v>1.3998999999999999E-2</v>
      </c>
      <c r="T70" s="43">
        <v>1.3949E-2</v>
      </c>
      <c r="U70" s="43">
        <v>1.3894E-2</v>
      </c>
      <c r="V70" s="43">
        <v>1.3834000000000001E-2</v>
      </c>
      <c r="W70" s="43">
        <v>1.3769E-2</v>
      </c>
      <c r="X70" s="43">
        <v>1.3698E-2</v>
      </c>
      <c r="Y70" s="43">
        <v>1.3624000000000001E-2</v>
      </c>
      <c r="Z70" s="43">
        <v>1.3547E-2</v>
      </c>
      <c r="AA70" s="43">
        <v>1.3469999999999999E-2</v>
      </c>
      <c r="AB70" s="43">
        <v>1.3395000000000001E-2</v>
      </c>
      <c r="AC70" s="43">
        <v>1.3324000000000001E-2</v>
      </c>
      <c r="AD70" s="43">
        <v>1.3256E-2</v>
      </c>
      <c r="AE70" s="43">
        <v>1.3192000000000001E-2</v>
      </c>
      <c r="AF70" s="43">
        <v>1.3132E-2</v>
      </c>
      <c r="AG70" s="43">
        <v>1.3075E-2</v>
      </c>
      <c r="AH70" s="44">
        <v>-8.8419999999999992E-3</v>
      </c>
    </row>
    <row r="71" spans="1:34" ht="24.75" x14ac:dyDescent="0.25">
      <c r="A71" s="38" t="s">
        <v>101</v>
      </c>
      <c r="B71" s="42" t="s">
        <v>102</v>
      </c>
      <c r="C71" s="43">
        <v>7.1942000000000006E-2</v>
      </c>
      <c r="D71" s="43">
        <v>7.4200000000000002E-2</v>
      </c>
      <c r="E71" s="43">
        <v>7.6177999999999996E-2</v>
      </c>
      <c r="F71" s="43">
        <v>7.7882999999999994E-2</v>
      </c>
      <c r="G71" s="43">
        <v>7.9518000000000005E-2</v>
      </c>
      <c r="H71" s="43">
        <v>8.1139000000000003E-2</v>
      </c>
      <c r="I71" s="43">
        <v>8.2757999999999998E-2</v>
      </c>
      <c r="J71" s="43">
        <v>8.4404000000000007E-2</v>
      </c>
      <c r="K71" s="43">
        <v>8.6040000000000005E-2</v>
      </c>
      <c r="L71" s="43">
        <v>8.7695999999999996E-2</v>
      </c>
      <c r="M71" s="43">
        <v>8.9279999999999998E-2</v>
      </c>
      <c r="N71" s="43">
        <v>9.0917999999999999E-2</v>
      </c>
      <c r="O71" s="43">
        <v>9.2589000000000005E-2</v>
      </c>
      <c r="P71" s="43">
        <v>9.4302999999999998E-2</v>
      </c>
      <c r="Q71" s="43">
        <v>9.6048999999999995E-2</v>
      </c>
      <c r="R71" s="43">
        <v>9.7841999999999998E-2</v>
      </c>
      <c r="S71" s="43">
        <v>9.9643999999999996E-2</v>
      </c>
      <c r="T71" s="43">
        <v>0.10145</v>
      </c>
      <c r="U71" s="43">
        <v>0.103254</v>
      </c>
      <c r="V71" s="43">
        <v>0.105071</v>
      </c>
      <c r="W71" s="43">
        <v>0.10689</v>
      </c>
      <c r="X71" s="43">
        <v>0.108706</v>
      </c>
      <c r="Y71" s="43">
        <v>0.11054700000000001</v>
      </c>
      <c r="Z71" s="43">
        <v>0.112414</v>
      </c>
      <c r="AA71" s="43">
        <v>0.11432100000000001</v>
      </c>
      <c r="AB71" s="43">
        <v>0.116299</v>
      </c>
      <c r="AC71" s="43">
        <v>0.11827600000000001</v>
      </c>
      <c r="AD71" s="43">
        <v>0.120227</v>
      </c>
      <c r="AE71" s="43">
        <v>0.122188</v>
      </c>
      <c r="AF71" s="43">
        <v>0.12418</v>
      </c>
      <c r="AG71" s="43">
        <v>0.12619900000000001</v>
      </c>
      <c r="AH71" s="44">
        <v>1.891E-2</v>
      </c>
    </row>
    <row r="72" spans="1:34" ht="36.75" x14ac:dyDescent="0.25">
      <c r="A72" s="38" t="s">
        <v>103</v>
      </c>
      <c r="B72" s="41" t="s">
        <v>90</v>
      </c>
      <c r="C72" s="45">
        <v>0.45517999999999997</v>
      </c>
      <c r="D72" s="45">
        <v>0.47404499999999999</v>
      </c>
      <c r="E72" s="45">
        <v>0.47081800000000001</v>
      </c>
      <c r="F72" s="45">
        <v>0.46705000000000002</v>
      </c>
      <c r="G72" s="45">
        <v>0.46312199999999998</v>
      </c>
      <c r="H72" s="45">
        <v>0.45916000000000001</v>
      </c>
      <c r="I72" s="45">
        <v>0.45528800000000003</v>
      </c>
      <c r="J72" s="45">
        <v>0.45177400000000001</v>
      </c>
      <c r="K72" s="45">
        <v>0.448461</v>
      </c>
      <c r="L72" s="45">
        <v>0.44548300000000002</v>
      </c>
      <c r="M72" s="45">
        <v>0.44253900000000002</v>
      </c>
      <c r="N72" s="45">
        <v>0.43985200000000002</v>
      </c>
      <c r="O72" s="45">
        <v>0.437278</v>
      </c>
      <c r="P72" s="45">
        <v>0.434946</v>
      </c>
      <c r="Q72" s="45">
        <v>0.43286200000000002</v>
      </c>
      <c r="R72" s="45">
        <v>0.43111699999999997</v>
      </c>
      <c r="S72" s="45">
        <v>0.42948599999999998</v>
      </c>
      <c r="T72" s="45">
        <v>0.42797000000000002</v>
      </c>
      <c r="U72" s="45">
        <v>0.42651699999999998</v>
      </c>
      <c r="V72" s="45">
        <v>0.42517300000000002</v>
      </c>
      <c r="W72" s="45">
        <v>0.42393199999999998</v>
      </c>
      <c r="X72" s="45">
        <v>0.422732</v>
      </c>
      <c r="Y72" s="45">
        <v>0.42161500000000002</v>
      </c>
      <c r="Z72" s="45">
        <v>0.42058699999999999</v>
      </c>
      <c r="AA72" s="45">
        <v>0.41968699999999998</v>
      </c>
      <c r="AB72" s="45">
        <v>0.419045</v>
      </c>
      <c r="AC72" s="45">
        <v>0.41842400000000002</v>
      </c>
      <c r="AD72" s="45">
        <v>0.41772300000000001</v>
      </c>
      <c r="AE72" s="45">
        <v>0.41708400000000001</v>
      </c>
      <c r="AF72" s="45">
        <v>0.41658000000000001</v>
      </c>
      <c r="AG72" s="45">
        <v>0.41619200000000001</v>
      </c>
      <c r="AH72" s="46">
        <v>-2.98E-3</v>
      </c>
    </row>
    <row r="74" spans="1:34" ht="48.75" x14ac:dyDescent="0.25">
      <c r="A74" s="38" t="s">
        <v>104</v>
      </c>
      <c r="B74" s="42" t="s">
        <v>105</v>
      </c>
      <c r="C74" s="43">
        <v>0.45751199999999997</v>
      </c>
      <c r="D74" s="43">
        <v>0.45433299999999999</v>
      </c>
      <c r="E74" s="43">
        <v>0.443909</v>
      </c>
      <c r="F74" s="43">
        <v>0.448911</v>
      </c>
      <c r="G74" s="43">
        <v>0.45432600000000001</v>
      </c>
      <c r="H74" s="43">
        <v>0.456316</v>
      </c>
      <c r="I74" s="43">
        <v>0.45534000000000002</v>
      </c>
      <c r="J74" s="43">
        <v>0.45182099999999997</v>
      </c>
      <c r="K74" s="43">
        <v>0.44889299999999999</v>
      </c>
      <c r="L74" s="43">
        <v>0.444799</v>
      </c>
      <c r="M74" s="43">
        <v>0.44039800000000001</v>
      </c>
      <c r="N74" s="43">
        <v>0.43509900000000001</v>
      </c>
      <c r="O74" s="43">
        <v>0.42979000000000001</v>
      </c>
      <c r="P74" s="43">
        <v>0.423655</v>
      </c>
      <c r="Q74" s="43">
        <v>0.416962</v>
      </c>
      <c r="R74" s="43">
        <v>0.40978399999999998</v>
      </c>
      <c r="S74" s="43">
        <v>0.40250999999999998</v>
      </c>
      <c r="T74" s="43">
        <v>0.39616499999999999</v>
      </c>
      <c r="U74" s="43">
        <v>0.3906</v>
      </c>
      <c r="V74" s="43">
        <v>0.38444800000000001</v>
      </c>
      <c r="W74" s="43">
        <v>0.37942199999999998</v>
      </c>
      <c r="X74" s="43">
        <v>0.37479000000000001</v>
      </c>
      <c r="Y74" s="43">
        <v>0.37020500000000001</v>
      </c>
      <c r="Z74" s="43">
        <v>0.36615700000000001</v>
      </c>
      <c r="AA74" s="43">
        <v>0.36159400000000003</v>
      </c>
      <c r="AB74" s="43">
        <v>0.35714499999999999</v>
      </c>
      <c r="AC74" s="43">
        <v>0.35383199999999998</v>
      </c>
      <c r="AD74" s="43">
        <v>0.35059000000000001</v>
      </c>
      <c r="AE74" s="43">
        <v>0.34657500000000002</v>
      </c>
      <c r="AF74" s="43">
        <v>0.34247</v>
      </c>
      <c r="AG74" s="43">
        <v>0.33811099999999999</v>
      </c>
      <c r="AH74" s="44">
        <v>-1.0030000000000001E-2</v>
      </c>
    </row>
    <row r="76" spans="1:34" ht="48.75" x14ac:dyDescent="0.25">
      <c r="A76" s="35"/>
      <c r="B76" s="41" t="s">
        <v>106</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5"/>
    </row>
    <row r="77" spans="1:34" ht="24.75" x14ac:dyDescent="0.25">
      <c r="A77" s="38" t="s">
        <v>107</v>
      </c>
      <c r="B77" s="42" t="s">
        <v>108</v>
      </c>
      <c r="C77" s="43">
        <v>5.3071780000000004</v>
      </c>
      <c r="D77" s="43">
        <v>5.2776909999999999</v>
      </c>
      <c r="E77" s="43">
        <v>5.4008450000000003</v>
      </c>
      <c r="F77" s="43">
        <v>5.3735330000000001</v>
      </c>
      <c r="G77" s="43">
        <v>5.3547989999999999</v>
      </c>
      <c r="H77" s="43">
        <v>5.3281660000000004</v>
      </c>
      <c r="I77" s="43">
        <v>5.2917920000000001</v>
      </c>
      <c r="J77" s="43">
        <v>5.2524829999999998</v>
      </c>
      <c r="K77" s="43">
        <v>5.2157920000000004</v>
      </c>
      <c r="L77" s="43">
        <v>5.178312</v>
      </c>
      <c r="M77" s="43">
        <v>5.1382300000000001</v>
      </c>
      <c r="N77" s="43">
        <v>5.1017999999999999</v>
      </c>
      <c r="O77" s="43">
        <v>5.0680269999999998</v>
      </c>
      <c r="P77" s="43">
        <v>5.0336550000000004</v>
      </c>
      <c r="Q77" s="43">
        <v>4.9994160000000001</v>
      </c>
      <c r="R77" s="43">
        <v>4.967956</v>
      </c>
      <c r="S77" s="43">
        <v>4.9380519999999999</v>
      </c>
      <c r="T77" s="43">
        <v>4.9096339999999996</v>
      </c>
      <c r="U77" s="43">
        <v>4.8830200000000001</v>
      </c>
      <c r="V77" s="43">
        <v>4.8566219999999998</v>
      </c>
      <c r="W77" s="43">
        <v>4.8331379999999999</v>
      </c>
      <c r="X77" s="43">
        <v>4.8099699999999999</v>
      </c>
      <c r="Y77" s="43">
        <v>4.7870039999999996</v>
      </c>
      <c r="Z77" s="43">
        <v>4.7651260000000004</v>
      </c>
      <c r="AA77" s="43">
        <v>4.7432590000000001</v>
      </c>
      <c r="AB77" s="43">
        <v>4.7208550000000002</v>
      </c>
      <c r="AC77" s="43">
        <v>4.6997249999999999</v>
      </c>
      <c r="AD77" s="43">
        <v>4.6773850000000001</v>
      </c>
      <c r="AE77" s="43">
        <v>4.6539570000000001</v>
      </c>
      <c r="AF77" s="43">
        <v>4.6299510000000001</v>
      </c>
      <c r="AG77" s="43">
        <v>4.606185</v>
      </c>
      <c r="AH77" s="44">
        <v>-4.7109999999999999E-3</v>
      </c>
    </row>
    <row r="78" spans="1:34" ht="24.75" x14ac:dyDescent="0.25">
      <c r="A78" s="38" t="s">
        <v>109</v>
      </c>
      <c r="B78" s="42" t="s">
        <v>110</v>
      </c>
      <c r="C78" s="43">
        <v>0.86400999999999994</v>
      </c>
      <c r="D78" s="43">
        <v>0.82206500000000005</v>
      </c>
      <c r="E78" s="43">
        <v>0.92145200000000005</v>
      </c>
      <c r="F78" s="43">
        <v>0.93411999999999995</v>
      </c>
      <c r="G78" s="43">
        <v>0.947658</v>
      </c>
      <c r="H78" s="43">
        <v>0.96175600000000006</v>
      </c>
      <c r="I78" s="43">
        <v>0.97531999999999996</v>
      </c>
      <c r="J78" s="43">
        <v>0.98882400000000004</v>
      </c>
      <c r="K78" s="43">
        <v>1.003001</v>
      </c>
      <c r="L78" s="43">
        <v>1.0175190000000001</v>
      </c>
      <c r="M78" s="43">
        <v>1.0325610000000001</v>
      </c>
      <c r="N78" s="43">
        <v>1.0488550000000001</v>
      </c>
      <c r="O78" s="43">
        <v>1.066351</v>
      </c>
      <c r="P78" s="43">
        <v>1.083456</v>
      </c>
      <c r="Q78" s="43">
        <v>1.1011759999999999</v>
      </c>
      <c r="R78" s="43">
        <v>1.12019</v>
      </c>
      <c r="S78" s="43">
        <v>1.140463</v>
      </c>
      <c r="T78" s="43">
        <v>1.162417</v>
      </c>
      <c r="U78" s="43">
        <v>1.1845600000000001</v>
      </c>
      <c r="V78" s="43">
        <v>1.206796</v>
      </c>
      <c r="W78" s="43">
        <v>1.229417</v>
      </c>
      <c r="X78" s="43">
        <v>1.2515080000000001</v>
      </c>
      <c r="Y78" s="43">
        <v>1.2744489999999999</v>
      </c>
      <c r="Z78" s="43">
        <v>1.2983210000000001</v>
      </c>
      <c r="AA78" s="43">
        <v>1.3230759999999999</v>
      </c>
      <c r="AB78" s="43">
        <v>1.3475790000000001</v>
      </c>
      <c r="AC78" s="43">
        <v>1.372817</v>
      </c>
      <c r="AD78" s="43">
        <v>1.3975359999999999</v>
      </c>
      <c r="AE78" s="43">
        <v>1.423424</v>
      </c>
      <c r="AF78" s="43">
        <v>1.4499979999999999</v>
      </c>
      <c r="AG78" s="43">
        <v>1.47831</v>
      </c>
      <c r="AH78" s="44">
        <v>1.8064E-2</v>
      </c>
    </row>
    <row r="79" spans="1:34" ht="24.75" x14ac:dyDescent="0.25">
      <c r="A79" s="38" t="s">
        <v>111</v>
      </c>
      <c r="B79" s="42" t="s">
        <v>112</v>
      </c>
      <c r="C79" s="43">
        <v>1.7289300000000001</v>
      </c>
      <c r="D79" s="43">
        <v>1.7260500000000001</v>
      </c>
      <c r="E79" s="43">
        <v>1.726513</v>
      </c>
      <c r="F79" s="43">
        <v>1.7275389999999999</v>
      </c>
      <c r="G79" s="43">
        <v>1.7322610000000001</v>
      </c>
      <c r="H79" s="43">
        <v>1.7370019999999999</v>
      </c>
      <c r="I79" s="43">
        <v>1.7408650000000001</v>
      </c>
      <c r="J79" s="43">
        <v>1.7450060000000001</v>
      </c>
      <c r="K79" s="43">
        <v>1.750251</v>
      </c>
      <c r="L79" s="43">
        <v>1.7564249999999999</v>
      </c>
      <c r="M79" s="43">
        <v>1.761485</v>
      </c>
      <c r="N79" s="43">
        <v>1.7673719999999999</v>
      </c>
      <c r="O79" s="43">
        <v>1.774275</v>
      </c>
      <c r="P79" s="43">
        <v>1.780905</v>
      </c>
      <c r="Q79" s="43">
        <v>1.7873349999999999</v>
      </c>
      <c r="R79" s="43">
        <v>1.794287</v>
      </c>
      <c r="S79" s="43">
        <v>1.80158</v>
      </c>
      <c r="T79" s="43">
        <v>1.808705</v>
      </c>
      <c r="U79" s="43">
        <v>1.815571</v>
      </c>
      <c r="V79" s="43">
        <v>1.8219890000000001</v>
      </c>
      <c r="W79" s="43">
        <v>1.828247</v>
      </c>
      <c r="X79" s="43">
        <v>1.8343119999999999</v>
      </c>
      <c r="Y79" s="43">
        <v>1.8405530000000001</v>
      </c>
      <c r="Z79" s="43">
        <v>1.84778</v>
      </c>
      <c r="AA79" s="43">
        <v>1.8555569999999999</v>
      </c>
      <c r="AB79" s="43">
        <v>1.8636379999999999</v>
      </c>
      <c r="AC79" s="43">
        <v>1.8723069999999999</v>
      </c>
      <c r="AD79" s="43">
        <v>1.881035</v>
      </c>
      <c r="AE79" s="43">
        <v>1.890002</v>
      </c>
      <c r="AF79" s="43">
        <v>1.899373</v>
      </c>
      <c r="AG79" s="43">
        <v>1.909216</v>
      </c>
      <c r="AH79" s="44">
        <v>3.3119999999999998E-3</v>
      </c>
    </row>
    <row r="80" spans="1:34" ht="36.75" x14ac:dyDescent="0.25">
      <c r="A80" s="38" t="s">
        <v>113</v>
      </c>
      <c r="B80" s="42" t="s">
        <v>114</v>
      </c>
      <c r="C80" s="43">
        <v>0.29757099999999997</v>
      </c>
      <c r="D80" s="43">
        <v>0.295346</v>
      </c>
      <c r="E80" s="43">
        <v>0.29378399999999999</v>
      </c>
      <c r="F80" s="43">
        <v>0.29202600000000001</v>
      </c>
      <c r="G80" s="43">
        <v>0.29042400000000002</v>
      </c>
      <c r="H80" s="43">
        <v>0.28908299999999998</v>
      </c>
      <c r="I80" s="43">
        <v>0.28793600000000003</v>
      </c>
      <c r="J80" s="43">
        <v>0.28692200000000001</v>
      </c>
      <c r="K80" s="43">
        <v>0.28607500000000002</v>
      </c>
      <c r="L80" s="43">
        <v>0.28541899999999998</v>
      </c>
      <c r="M80" s="43">
        <v>0.28499999999999998</v>
      </c>
      <c r="N80" s="43">
        <v>0.284881</v>
      </c>
      <c r="O80" s="43">
        <v>0.28508899999999998</v>
      </c>
      <c r="P80" s="43">
        <v>0.28559600000000002</v>
      </c>
      <c r="Q80" s="43">
        <v>0.286414</v>
      </c>
      <c r="R80" s="43">
        <v>0.28758899999999998</v>
      </c>
      <c r="S80" s="43">
        <v>0.28906799999999999</v>
      </c>
      <c r="T80" s="43">
        <v>0.29083900000000001</v>
      </c>
      <c r="U80" s="43">
        <v>0.29291899999999998</v>
      </c>
      <c r="V80" s="43">
        <v>0.29527399999999998</v>
      </c>
      <c r="W80" s="43">
        <v>0.29792600000000002</v>
      </c>
      <c r="X80" s="43">
        <v>0.30085800000000001</v>
      </c>
      <c r="Y80" s="43">
        <v>0.30406499999999997</v>
      </c>
      <c r="Z80" s="43">
        <v>0.30727100000000002</v>
      </c>
      <c r="AA80" s="43">
        <v>0.31046600000000002</v>
      </c>
      <c r="AB80" s="43">
        <v>0.31362899999999999</v>
      </c>
      <c r="AC80" s="43">
        <v>0.31673499999999999</v>
      </c>
      <c r="AD80" s="43">
        <v>0.319768</v>
      </c>
      <c r="AE80" s="43">
        <v>0.32273200000000002</v>
      </c>
      <c r="AF80" s="43">
        <v>0.32563300000000001</v>
      </c>
      <c r="AG80" s="43">
        <v>0.32846999999999998</v>
      </c>
      <c r="AH80" s="44">
        <v>3.2989999999999998E-3</v>
      </c>
    </row>
    <row r="81" spans="1:34" x14ac:dyDescent="0.25">
      <c r="A81" s="38" t="s">
        <v>115</v>
      </c>
      <c r="B81" s="42" t="s">
        <v>116</v>
      </c>
      <c r="C81" s="43">
        <v>0.17552999999999999</v>
      </c>
      <c r="D81" s="43">
        <v>0.175348</v>
      </c>
      <c r="E81" s="43">
        <v>0.17563999999999999</v>
      </c>
      <c r="F81" s="43">
        <v>0.17588899999999999</v>
      </c>
      <c r="G81" s="43">
        <v>0.17613000000000001</v>
      </c>
      <c r="H81" s="43">
        <v>0.1764</v>
      </c>
      <c r="I81" s="43">
        <v>0.176644</v>
      </c>
      <c r="J81" s="43">
        <v>0.17682700000000001</v>
      </c>
      <c r="K81" s="43">
        <v>0.17699300000000001</v>
      </c>
      <c r="L81" s="43">
        <v>0.17718700000000001</v>
      </c>
      <c r="M81" s="43">
        <v>0.17741100000000001</v>
      </c>
      <c r="N81" s="43">
        <v>0.177677</v>
      </c>
      <c r="O81" s="43">
        <v>0.17799899999999999</v>
      </c>
      <c r="P81" s="43">
        <v>0.17846799999999999</v>
      </c>
      <c r="Q81" s="43">
        <v>0.17904800000000001</v>
      </c>
      <c r="R81" s="43">
        <v>0.17976800000000001</v>
      </c>
      <c r="S81" s="43">
        <v>0.18060399999999999</v>
      </c>
      <c r="T81" s="43">
        <v>0.18156</v>
      </c>
      <c r="U81" s="43">
        <v>0.18252299999999999</v>
      </c>
      <c r="V81" s="43">
        <v>0.18349199999999999</v>
      </c>
      <c r="W81" s="43">
        <v>0.184477</v>
      </c>
      <c r="X81" s="43">
        <v>0.185472</v>
      </c>
      <c r="Y81" s="43">
        <v>0.18648400000000001</v>
      </c>
      <c r="Z81" s="43">
        <v>0.187523</v>
      </c>
      <c r="AA81" s="43">
        <v>0.18858900000000001</v>
      </c>
      <c r="AB81" s="43">
        <v>0.18967400000000001</v>
      </c>
      <c r="AC81" s="43">
        <v>0.19076899999999999</v>
      </c>
      <c r="AD81" s="43">
        <v>0.19186500000000001</v>
      </c>
      <c r="AE81" s="43">
        <v>0.19295899999999999</v>
      </c>
      <c r="AF81" s="43">
        <v>0.194049</v>
      </c>
      <c r="AG81" s="43">
        <v>0.195128</v>
      </c>
      <c r="AH81" s="44">
        <v>3.5339999999999998E-3</v>
      </c>
    </row>
    <row r="82" spans="1:34" ht="24.75" x14ac:dyDescent="0.25">
      <c r="A82" s="38" t="s">
        <v>117</v>
      </c>
      <c r="B82" s="42" t="s">
        <v>118</v>
      </c>
      <c r="C82" s="43">
        <v>0.25584699999999999</v>
      </c>
      <c r="D82" s="43">
        <v>0.26021100000000003</v>
      </c>
      <c r="E82" s="43">
        <v>0.264289</v>
      </c>
      <c r="F82" s="43">
        <v>0.26800299999999999</v>
      </c>
      <c r="G82" s="43">
        <v>0.27210600000000001</v>
      </c>
      <c r="H82" s="43">
        <v>0.27616800000000002</v>
      </c>
      <c r="I82" s="43">
        <v>0.27991199999999999</v>
      </c>
      <c r="J82" s="43">
        <v>0.28344900000000001</v>
      </c>
      <c r="K82" s="43">
        <v>0.28702899999999998</v>
      </c>
      <c r="L82" s="43">
        <v>0.29060000000000002</v>
      </c>
      <c r="M82" s="43">
        <v>0.29418800000000001</v>
      </c>
      <c r="N82" s="43">
        <v>0.29788199999999998</v>
      </c>
      <c r="O82" s="43">
        <v>0.30175999999999997</v>
      </c>
      <c r="P82" s="43">
        <v>0.30551099999999998</v>
      </c>
      <c r="Q82" s="43">
        <v>0.30939</v>
      </c>
      <c r="R82" s="43">
        <v>0.31340400000000002</v>
      </c>
      <c r="S82" s="43">
        <v>0.31765500000000002</v>
      </c>
      <c r="T82" s="43">
        <v>0.32194200000000001</v>
      </c>
      <c r="U82" s="43">
        <v>0.326239</v>
      </c>
      <c r="V82" s="43">
        <v>0.33050600000000002</v>
      </c>
      <c r="W82" s="43">
        <v>0.334727</v>
      </c>
      <c r="X82" s="43">
        <v>0.33888600000000002</v>
      </c>
      <c r="Y82" s="43">
        <v>0.34297699999999998</v>
      </c>
      <c r="Z82" s="43">
        <v>0.347331</v>
      </c>
      <c r="AA82" s="43">
        <v>0.35163899999999998</v>
      </c>
      <c r="AB82" s="43">
        <v>0.35589700000000002</v>
      </c>
      <c r="AC82" s="43">
        <v>0.36021500000000001</v>
      </c>
      <c r="AD82" s="43">
        <v>0.36444900000000002</v>
      </c>
      <c r="AE82" s="43">
        <v>0.36870999999999998</v>
      </c>
      <c r="AF82" s="43">
        <v>0.37317899999999998</v>
      </c>
      <c r="AG82" s="43">
        <v>0.37782100000000002</v>
      </c>
      <c r="AH82" s="44">
        <v>1.3079E-2</v>
      </c>
    </row>
    <row r="83" spans="1:34" x14ac:dyDescent="0.25">
      <c r="A83" s="38" t="s">
        <v>119</v>
      </c>
      <c r="B83" s="42" t="s">
        <v>120</v>
      </c>
      <c r="C83" s="43">
        <v>6.9181000000000006E-2</v>
      </c>
      <c r="D83" s="43">
        <v>6.8847000000000005E-2</v>
      </c>
      <c r="E83" s="43">
        <v>6.8695999999999993E-2</v>
      </c>
      <c r="F83" s="43">
        <v>6.8514000000000005E-2</v>
      </c>
      <c r="G83" s="43">
        <v>6.8303000000000003E-2</v>
      </c>
      <c r="H83" s="43">
        <v>6.8080000000000002E-2</v>
      </c>
      <c r="I83" s="43">
        <v>6.7833000000000004E-2</v>
      </c>
      <c r="J83" s="43">
        <v>6.7552000000000001E-2</v>
      </c>
      <c r="K83" s="43">
        <v>6.7285999999999999E-2</v>
      </c>
      <c r="L83" s="43">
        <v>6.7035999999999998E-2</v>
      </c>
      <c r="M83" s="43">
        <v>6.6805000000000003E-2</v>
      </c>
      <c r="N83" s="43">
        <v>6.6594E-2</v>
      </c>
      <c r="O83" s="43">
        <v>6.6406999999999994E-2</v>
      </c>
      <c r="P83" s="43">
        <v>6.6239000000000006E-2</v>
      </c>
      <c r="Q83" s="43">
        <v>6.6095000000000001E-2</v>
      </c>
      <c r="R83" s="43">
        <v>6.5983E-2</v>
      </c>
      <c r="S83" s="43">
        <v>6.59E-2</v>
      </c>
      <c r="T83" s="43">
        <v>6.5845000000000001E-2</v>
      </c>
      <c r="U83" s="43">
        <v>6.5823999999999994E-2</v>
      </c>
      <c r="V83" s="43">
        <v>6.5833000000000003E-2</v>
      </c>
      <c r="W83" s="43">
        <v>6.5878000000000006E-2</v>
      </c>
      <c r="X83" s="43">
        <v>6.5962999999999994E-2</v>
      </c>
      <c r="Y83" s="43">
        <v>6.6087999999999994E-2</v>
      </c>
      <c r="Z83" s="43">
        <v>6.6264000000000003E-2</v>
      </c>
      <c r="AA83" s="43">
        <v>6.6497000000000001E-2</v>
      </c>
      <c r="AB83" s="43">
        <v>6.6783999999999996E-2</v>
      </c>
      <c r="AC83" s="43">
        <v>6.7123000000000002E-2</v>
      </c>
      <c r="AD83" s="43">
        <v>6.7501000000000005E-2</v>
      </c>
      <c r="AE83" s="43">
        <v>6.7876000000000006E-2</v>
      </c>
      <c r="AF83" s="43">
        <v>6.8251000000000006E-2</v>
      </c>
      <c r="AG83" s="43">
        <v>6.8624000000000004E-2</v>
      </c>
      <c r="AH83" s="44">
        <v>-2.7E-4</v>
      </c>
    </row>
    <row r="84" spans="1:34" x14ac:dyDescent="0.25">
      <c r="A84" s="38" t="s">
        <v>121</v>
      </c>
      <c r="B84" s="42" t="s">
        <v>122</v>
      </c>
      <c r="C84" s="43">
        <v>0.21124699999999999</v>
      </c>
      <c r="D84" s="43">
        <v>0.204709</v>
      </c>
      <c r="E84" s="43">
        <v>0.202325</v>
      </c>
      <c r="F84" s="43">
        <v>0.20133100000000001</v>
      </c>
      <c r="G84" s="43">
        <v>0.20136299999999999</v>
      </c>
      <c r="H84" s="43">
        <v>0.19996900000000001</v>
      </c>
      <c r="I84" s="43">
        <v>0.19883400000000001</v>
      </c>
      <c r="J84" s="43">
        <v>0.19838500000000001</v>
      </c>
      <c r="K84" s="43">
        <v>0.198653</v>
      </c>
      <c r="L84" s="43">
        <v>0.199213</v>
      </c>
      <c r="M84" s="43">
        <v>0.19741900000000001</v>
      </c>
      <c r="N84" s="43">
        <v>0.19624800000000001</v>
      </c>
      <c r="O84" s="43">
        <v>0.19559699999999999</v>
      </c>
      <c r="P84" s="43">
        <v>0.19511400000000001</v>
      </c>
      <c r="Q84" s="43">
        <v>0.19497800000000001</v>
      </c>
      <c r="R84" s="43">
        <v>0.19514300000000001</v>
      </c>
      <c r="S84" s="43">
        <v>0.195525</v>
      </c>
      <c r="T84" s="43">
        <v>0.19600000000000001</v>
      </c>
      <c r="U84" s="43">
        <v>0.196543</v>
      </c>
      <c r="V84" s="43">
        <v>0.19711400000000001</v>
      </c>
      <c r="W84" s="43">
        <v>0.19439999999999999</v>
      </c>
      <c r="X84" s="43">
        <v>0.19228500000000001</v>
      </c>
      <c r="Y84" s="43">
        <v>0.19058800000000001</v>
      </c>
      <c r="Z84" s="43">
        <v>0.18950400000000001</v>
      </c>
      <c r="AA84" s="43">
        <v>0.18876000000000001</v>
      </c>
      <c r="AB84" s="43">
        <v>0.18824299999999999</v>
      </c>
      <c r="AC84" s="43">
        <v>0.18789700000000001</v>
      </c>
      <c r="AD84" s="43">
        <v>0.187552</v>
      </c>
      <c r="AE84" s="43">
        <v>0.187251</v>
      </c>
      <c r="AF84" s="43">
        <v>0.18709600000000001</v>
      </c>
      <c r="AG84" s="43">
        <v>0.187254</v>
      </c>
      <c r="AH84" s="44">
        <v>-4.0109999999999998E-3</v>
      </c>
    </row>
    <row r="85" spans="1:34" ht="36.75" x14ac:dyDescent="0.25">
      <c r="A85" s="38" t="s">
        <v>123</v>
      </c>
      <c r="B85" s="42" t="s">
        <v>124</v>
      </c>
      <c r="C85" s="43">
        <v>3.6778999999999999E-2</v>
      </c>
      <c r="D85" s="43">
        <v>3.7026000000000003E-2</v>
      </c>
      <c r="E85" s="43">
        <v>3.7373000000000003E-2</v>
      </c>
      <c r="F85" s="43">
        <v>3.771E-2</v>
      </c>
      <c r="G85" s="43">
        <v>3.8044000000000001E-2</v>
      </c>
      <c r="H85" s="43">
        <v>3.8386999999999998E-2</v>
      </c>
      <c r="I85" s="43">
        <v>3.8726999999999998E-2</v>
      </c>
      <c r="J85" s="43">
        <v>3.9054999999999999E-2</v>
      </c>
      <c r="K85" s="43">
        <v>3.9377000000000002E-2</v>
      </c>
      <c r="L85" s="43">
        <v>3.9694E-2</v>
      </c>
      <c r="M85" s="43">
        <v>4.0024999999999998E-2</v>
      </c>
      <c r="N85" s="43">
        <v>4.0351999999999999E-2</v>
      </c>
      <c r="O85" s="43">
        <v>4.0679E-2</v>
      </c>
      <c r="P85" s="43">
        <v>4.1000000000000002E-2</v>
      </c>
      <c r="Q85" s="43">
        <v>4.1314999999999998E-2</v>
      </c>
      <c r="R85" s="43">
        <v>4.1632000000000002E-2</v>
      </c>
      <c r="S85" s="43">
        <v>4.1942E-2</v>
      </c>
      <c r="T85" s="43">
        <v>4.2249000000000002E-2</v>
      </c>
      <c r="U85" s="43">
        <v>4.2553000000000001E-2</v>
      </c>
      <c r="V85" s="43">
        <v>4.2854000000000003E-2</v>
      </c>
      <c r="W85" s="43">
        <v>4.3154999999999999E-2</v>
      </c>
      <c r="X85" s="43">
        <v>4.3454E-2</v>
      </c>
      <c r="Y85" s="43">
        <v>4.3750999999999998E-2</v>
      </c>
      <c r="Z85" s="43">
        <v>4.4052000000000001E-2</v>
      </c>
      <c r="AA85" s="43">
        <v>4.4354999999999999E-2</v>
      </c>
      <c r="AB85" s="43">
        <v>4.4658999999999997E-2</v>
      </c>
      <c r="AC85" s="43">
        <v>4.4962000000000002E-2</v>
      </c>
      <c r="AD85" s="43">
        <v>4.5262999999999998E-2</v>
      </c>
      <c r="AE85" s="43">
        <v>4.5561999999999998E-2</v>
      </c>
      <c r="AF85" s="43">
        <v>4.5862E-2</v>
      </c>
      <c r="AG85" s="43">
        <v>4.6163000000000003E-2</v>
      </c>
      <c r="AH85" s="44">
        <v>7.6030000000000004E-3</v>
      </c>
    </row>
    <row r="86" spans="1:34" ht="36.75" x14ac:dyDescent="0.25">
      <c r="A86" s="38" t="s">
        <v>125</v>
      </c>
      <c r="B86" s="42" t="s">
        <v>126</v>
      </c>
      <c r="C86" s="43">
        <v>2.6616999999999998E-2</v>
      </c>
      <c r="D86" s="43">
        <v>2.6991999999999999E-2</v>
      </c>
      <c r="E86" s="43">
        <v>2.743E-2</v>
      </c>
      <c r="F86" s="43">
        <v>2.7851999999999998E-2</v>
      </c>
      <c r="G86" s="43">
        <v>2.8261999999999999E-2</v>
      </c>
      <c r="H86" s="43">
        <v>2.8667000000000002E-2</v>
      </c>
      <c r="I86" s="43">
        <v>2.9058E-2</v>
      </c>
      <c r="J86" s="43">
        <v>2.9425E-2</v>
      </c>
      <c r="K86" s="43">
        <v>2.9825000000000001E-2</v>
      </c>
      <c r="L86" s="43">
        <v>3.0258E-2</v>
      </c>
      <c r="M86" s="43">
        <v>3.0724999999999999E-2</v>
      </c>
      <c r="N86" s="43">
        <v>3.1229E-2</v>
      </c>
      <c r="O86" s="43">
        <v>3.1773999999999997E-2</v>
      </c>
      <c r="P86" s="43">
        <v>3.2358999999999999E-2</v>
      </c>
      <c r="Q86" s="43">
        <v>3.2987000000000002E-2</v>
      </c>
      <c r="R86" s="43">
        <v>3.3612999999999997E-2</v>
      </c>
      <c r="S86" s="43">
        <v>3.4234000000000001E-2</v>
      </c>
      <c r="T86" s="43">
        <v>3.4849999999999999E-2</v>
      </c>
      <c r="U86" s="43">
        <v>3.5463000000000001E-2</v>
      </c>
      <c r="V86" s="43">
        <v>3.6073000000000001E-2</v>
      </c>
      <c r="W86" s="43">
        <v>3.6681999999999999E-2</v>
      </c>
      <c r="X86" s="43">
        <v>3.7289000000000003E-2</v>
      </c>
      <c r="Y86" s="43">
        <v>3.7893999999999997E-2</v>
      </c>
      <c r="Z86" s="43">
        <v>3.8501000000000001E-2</v>
      </c>
      <c r="AA86" s="43">
        <v>3.9108999999999998E-2</v>
      </c>
      <c r="AB86" s="43">
        <v>3.9717000000000002E-2</v>
      </c>
      <c r="AC86" s="43">
        <v>4.0322999999999998E-2</v>
      </c>
      <c r="AD86" s="43">
        <v>4.0926999999999998E-2</v>
      </c>
      <c r="AE86" s="43">
        <v>4.1529000000000003E-2</v>
      </c>
      <c r="AF86" s="43">
        <v>4.2130000000000001E-2</v>
      </c>
      <c r="AG86" s="43">
        <v>4.2730999999999998E-2</v>
      </c>
      <c r="AH86" s="44">
        <v>1.5904999999999999E-2</v>
      </c>
    </row>
    <row r="87" spans="1:34" ht="72.75" x14ac:dyDescent="0.25">
      <c r="A87" s="38" t="s">
        <v>127</v>
      </c>
      <c r="B87" s="42" t="s">
        <v>128</v>
      </c>
      <c r="C87" s="43">
        <v>0.20913300000000001</v>
      </c>
      <c r="D87" s="43">
        <v>0.205207</v>
      </c>
      <c r="E87" s="43">
        <v>0.202543</v>
      </c>
      <c r="F87" s="43">
        <v>0.20023199999999999</v>
      </c>
      <c r="G87" s="43">
        <v>0.19889200000000001</v>
      </c>
      <c r="H87" s="43">
        <v>0.198295</v>
      </c>
      <c r="I87" s="43">
        <v>0.19822999999999999</v>
      </c>
      <c r="J87" s="43">
        <v>0.19878999999999999</v>
      </c>
      <c r="K87" s="43">
        <v>0.20006099999999999</v>
      </c>
      <c r="L87" s="43">
        <v>0.20200299999999999</v>
      </c>
      <c r="M87" s="43">
        <v>0.20463600000000001</v>
      </c>
      <c r="N87" s="43">
        <v>0.20782300000000001</v>
      </c>
      <c r="O87" s="43">
        <v>0.21160000000000001</v>
      </c>
      <c r="P87" s="43">
        <v>0.215644</v>
      </c>
      <c r="Q87" s="43">
        <v>0.22000500000000001</v>
      </c>
      <c r="R87" s="43">
        <v>0.22468299999999999</v>
      </c>
      <c r="S87" s="43">
        <v>0.22967000000000001</v>
      </c>
      <c r="T87" s="43">
        <v>0.23474700000000001</v>
      </c>
      <c r="U87" s="43">
        <v>0.23980299999999999</v>
      </c>
      <c r="V87" s="43">
        <v>0.244645</v>
      </c>
      <c r="W87" s="43">
        <v>0.24911700000000001</v>
      </c>
      <c r="X87" s="43">
        <v>0.25305699999999998</v>
      </c>
      <c r="Y87" s="43">
        <v>0.25641999999999998</v>
      </c>
      <c r="Z87" s="43">
        <v>0.25970900000000002</v>
      </c>
      <c r="AA87" s="43">
        <v>0.26287199999999999</v>
      </c>
      <c r="AB87" s="43">
        <v>0.26593099999999997</v>
      </c>
      <c r="AC87" s="43">
        <v>0.268959</v>
      </c>
      <c r="AD87" s="43">
        <v>0.27183800000000002</v>
      </c>
      <c r="AE87" s="43">
        <v>0.27464499999999997</v>
      </c>
      <c r="AF87" s="43">
        <v>0.27751500000000001</v>
      </c>
      <c r="AG87" s="43">
        <v>0.280476</v>
      </c>
      <c r="AH87" s="44">
        <v>9.8320000000000005E-3</v>
      </c>
    </row>
    <row r="88" spans="1:34" ht="72.75" x14ac:dyDescent="0.25">
      <c r="A88" s="38" t="s">
        <v>129</v>
      </c>
      <c r="B88" s="42" t="s">
        <v>130</v>
      </c>
      <c r="C88" s="43">
        <v>8.6664000000000005E-2</v>
      </c>
      <c r="D88" s="43">
        <v>8.3833000000000005E-2</v>
      </c>
      <c r="E88" s="43">
        <v>8.1494999999999998E-2</v>
      </c>
      <c r="F88" s="43">
        <v>7.9249E-2</v>
      </c>
      <c r="G88" s="43">
        <v>7.7311000000000005E-2</v>
      </c>
      <c r="H88" s="43">
        <v>7.5550000000000006E-2</v>
      </c>
      <c r="I88" s="43">
        <v>7.3888999999999996E-2</v>
      </c>
      <c r="J88" s="43">
        <v>7.2344000000000006E-2</v>
      </c>
      <c r="K88" s="43">
        <v>7.0940000000000003E-2</v>
      </c>
      <c r="L88" s="43">
        <v>6.9648000000000002E-2</v>
      </c>
      <c r="M88" s="43">
        <v>6.8455000000000002E-2</v>
      </c>
      <c r="N88" s="43">
        <v>6.7301E-2</v>
      </c>
      <c r="O88" s="43">
        <v>6.6194000000000003E-2</v>
      </c>
      <c r="P88" s="43">
        <v>6.5015000000000003E-2</v>
      </c>
      <c r="Q88" s="43">
        <v>6.3785999999999995E-2</v>
      </c>
      <c r="R88" s="43">
        <v>6.2496999999999997E-2</v>
      </c>
      <c r="S88" s="43">
        <v>6.1143000000000003E-2</v>
      </c>
      <c r="T88" s="43">
        <v>5.9822E-2</v>
      </c>
      <c r="U88" s="43">
        <v>5.8526000000000002E-2</v>
      </c>
      <c r="V88" s="43">
        <v>5.722E-2</v>
      </c>
      <c r="W88" s="43">
        <v>5.5891999999999997E-2</v>
      </c>
      <c r="X88" s="43">
        <v>5.4535E-2</v>
      </c>
      <c r="Y88" s="43">
        <v>5.3136000000000003E-2</v>
      </c>
      <c r="Z88" s="43">
        <v>5.1763000000000003E-2</v>
      </c>
      <c r="AA88" s="43">
        <v>5.0342999999999999E-2</v>
      </c>
      <c r="AB88" s="43">
        <v>4.8862000000000003E-2</v>
      </c>
      <c r="AC88" s="43">
        <v>4.7323999999999998E-2</v>
      </c>
      <c r="AD88" s="43">
        <v>4.5687999999999999E-2</v>
      </c>
      <c r="AE88" s="43">
        <v>4.3971000000000003E-2</v>
      </c>
      <c r="AF88" s="43">
        <v>4.2151000000000001E-2</v>
      </c>
      <c r="AG88" s="43">
        <v>4.0223000000000002E-2</v>
      </c>
      <c r="AH88" s="44">
        <v>-2.5262E-2</v>
      </c>
    </row>
    <row r="89" spans="1:34" ht="60.75" x14ac:dyDescent="0.25">
      <c r="A89" s="38" t="s">
        <v>131</v>
      </c>
      <c r="B89" s="42" t="s">
        <v>132</v>
      </c>
      <c r="C89" s="43">
        <v>7.8188999999999995E-2</v>
      </c>
      <c r="D89" s="43">
        <v>8.4238999999999994E-2</v>
      </c>
      <c r="E89" s="43">
        <v>8.4947999999999996E-2</v>
      </c>
      <c r="F89" s="43">
        <v>8.5345000000000004E-2</v>
      </c>
      <c r="G89" s="43">
        <v>8.5870000000000002E-2</v>
      </c>
      <c r="H89" s="43">
        <v>8.6289000000000005E-2</v>
      </c>
      <c r="I89" s="43">
        <v>8.6568000000000006E-2</v>
      </c>
      <c r="J89" s="43">
        <v>8.6861999999999995E-2</v>
      </c>
      <c r="K89" s="43">
        <v>8.7124999999999994E-2</v>
      </c>
      <c r="L89" s="43">
        <v>8.7312000000000001E-2</v>
      </c>
      <c r="M89" s="43">
        <v>8.7309999999999999E-2</v>
      </c>
      <c r="N89" s="43">
        <v>8.7224999999999997E-2</v>
      </c>
      <c r="O89" s="43">
        <v>8.6986999999999995E-2</v>
      </c>
      <c r="P89" s="43">
        <v>8.6527999999999994E-2</v>
      </c>
      <c r="Q89" s="43">
        <v>8.5852999999999999E-2</v>
      </c>
      <c r="R89" s="43">
        <v>8.5038000000000002E-2</v>
      </c>
      <c r="S89" s="43">
        <v>8.4087999999999996E-2</v>
      </c>
      <c r="T89" s="43">
        <v>8.3007999999999998E-2</v>
      </c>
      <c r="U89" s="43">
        <v>8.1807000000000005E-2</v>
      </c>
      <c r="V89" s="43">
        <v>8.0574000000000007E-2</v>
      </c>
      <c r="W89" s="43">
        <v>7.9389000000000001E-2</v>
      </c>
      <c r="X89" s="43">
        <v>7.8256999999999993E-2</v>
      </c>
      <c r="Y89" s="43">
        <v>7.7173000000000005E-2</v>
      </c>
      <c r="Z89" s="43">
        <v>7.6185000000000003E-2</v>
      </c>
      <c r="AA89" s="43">
        <v>7.5318999999999997E-2</v>
      </c>
      <c r="AB89" s="43">
        <v>7.4557999999999999E-2</v>
      </c>
      <c r="AC89" s="43">
        <v>7.3917999999999998E-2</v>
      </c>
      <c r="AD89" s="43">
        <v>7.3368000000000003E-2</v>
      </c>
      <c r="AE89" s="43">
        <v>7.2929999999999995E-2</v>
      </c>
      <c r="AF89" s="43">
        <v>7.2590000000000002E-2</v>
      </c>
      <c r="AG89" s="43">
        <v>7.2375999999999996E-2</v>
      </c>
      <c r="AH89" s="44">
        <v>-2.5720000000000001E-3</v>
      </c>
    </row>
    <row r="90" spans="1:34" ht="24.75" x14ac:dyDescent="0.25">
      <c r="A90" s="38" t="s">
        <v>133</v>
      </c>
      <c r="B90" s="42" t="s">
        <v>134</v>
      </c>
      <c r="C90" s="43">
        <v>2.095383</v>
      </c>
      <c r="D90" s="43">
        <v>2.1322380000000001</v>
      </c>
      <c r="E90" s="43">
        <v>2.0485739999999999</v>
      </c>
      <c r="F90" s="43">
        <v>2.0640299999999998</v>
      </c>
      <c r="G90" s="43">
        <v>2.07735</v>
      </c>
      <c r="H90" s="43">
        <v>2.0923419999999999</v>
      </c>
      <c r="I90" s="43">
        <v>2.115618</v>
      </c>
      <c r="J90" s="43">
        <v>2.138036</v>
      </c>
      <c r="K90" s="43">
        <v>2.161289</v>
      </c>
      <c r="L90" s="43">
        <v>2.1851430000000001</v>
      </c>
      <c r="M90" s="43">
        <v>2.2100650000000002</v>
      </c>
      <c r="N90" s="43">
        <v>2.2354660000000002</v>
      </c>
      <c r="O90" s="43">
        <v>2.2617669999999999</v>
      </c>
      <c r="P90" s="43">
        <v>2.2874650000000001</v>
      </c>
      <c r="Q90" s="43">
        <v>2.3169719999999998</v>
      </c>
      <c r="R90" s="43">
        <v>2.3457349999999999</v>
      </c>
      <c r="S90" s="43">
        <v>2.3752249999999999</v>
      </c>
      <c r="T90" s="43">
        <v>2.4048980000000002</v>
      </c>
      <c r="U90" s="43">
        <v>2.4347880000000002</v>
      </c>
      <c r="V90" s="43">
        <v>2.4650029999999998</v>
      </c>
      <c r="W90" s="43">
        <v>2.4948869999999999</v>
      </c>
      <c r="X90" s="43">
        <v>2.525166</v>
      </c>
      <c r="Y90" s="43">
        <v>2.5561419999999999</v>
      </c>
      <c r="Z90" s="43">
        <v>2.588781</v>
      </c>
      <c r="AA90" s="43">
        <v>2.6214010000000001</v>
      </c>
      <c r="AB90" s="43">
        <v>2.6542789999999998</v>
      </c>
      <c r="AC90" s="43">
        <v>2.6879270000000002</v>
      </c>
      <c r="AD90" s="43">
        <v>2.7217660000000001</v>
      </c>
      <c r="AE90" s="43">
        <v>2.7566000000000002</v>
      </c>
      <c r="AF90" s="43">
        <v>2.7923930000000001</v>
      </c>
      <c r="AG90" s="43">
        <v>2.82904</v>
      </c>
      <c r="AH90" s="44">
        <v>1.0057E-2</v>
      </c>
    </row>
    <row r="91" spans="1:34" ht="48.75" x14ac:dyDescent="0.25">
      <c r="A91" s="38" t="s">
        <v>135</v>
      </c>
      <c r="B91" s="41" t="s">
        <v>136</v>
      </c>
      <c r="C91" s="45">
        <v>11.442256</v>
      </c>
      <c r="D91" s="45">
        <v>11.399803</v>
      </c>
      <c r="E91" s="45">
        <v>11.535906000000001</v>
      </c>
      <c r="F91" s="45">
        <v>11.535371</v>
      </c>
      <c r="G91" s="45">
        <v>11.548773000000001</v>
      </c>
      <c r="H91" s="45">
        <v>11.556157000000001</v>
      </c>
      <c r="I91" s="45">
        <v>11.561229000000001</v>
      </c>
      <c r="J91" s="45">
        <v>11.563961000000001</v>
      </c>
      <c r="K91" s="45">
        <v>11.573698</v>
      </c>
      <c r="L91" s="45">
        <v>11.585768</v>
      </c>
      <c r="M91" s="45">
        <v>11.594315999999999</v>
      </c>
      <c r="N91" s="45">
        <v>11.610707</v>
      </c>
      <c r="O91" s="45">
        <v>11.634506</v>
      </c>
      <c r="P91" s="45">
        <v>11.656957</v>
      </c>
      <c r="Q91" s="45">
        <v>11.684771</v>
      </c>
      <c r="R91" s="45">
        <v>11.717517000000001</v>
      </c>
      <c r="S91" s="45">
        <v>11.755152000000001</v>
      </c>
      <c r="T91" s="45">
        <v>11.796516</v>
      </c>
      <c r="U91" s="45">
        <v>11.84014</v>
      </c>
      <c r="V91" s="45">
        <v>11.883994</v>
      </c>
      <c r="W91" s="45">
        <v>11.927332</v>
      </c>
      <c r="X91" s="45">
        <v>11.97101</v>
      </c>
      <c r="Y91" s="45">
        <v>12.016722</v>
      </c>
      <c r="Z91" s="45">
        <v>12.068111</v>
      </c>
      <c r="AA91" s="45">
        <v>12.121243</v>
      </c>
      <c r="AB91" s="45">
        <v>12.174308999999999</v>
      </c>
      <c r="AC91" s="45">
        <v>12.230999000000001</v>
      </c>
      <c r="AD91" s="45">
        <v>12.285940999999999</v>
      </c>
      <c r="AE91" s="45">
        <v>12.342146</v>
      </c>
      <c r="AF91" s="45">
        <v>12.400171</v>
      </c>
      <c r="AG91" s="45">
        <v>12.462014999999999</v>
      </c>
      <c r="AH91" s="46">
        <v>2.8500000000000001E-3</v>
      </c>
    </row>
    <row r="92" spans="1:34" ht="48.75" x14ac:dyDescent="0.25">
      <c r="A92" s="38" t="s">
        <v>137</v>
      </c>
      <c r="B92" s="42" t="s">
        <v>248</v>
      </c>
      <c r="C92" s="43">
        <v>7.8131000000000006E-2</v>
      </c>
      <c r="D92" s="43">
        <v>8.9439000000000005E-2</v>
      </c>
      <c r="E92" s="43">
        <v>9.8996000000000001E-2</v>
      </c>
      <c r="F92" s="43">
        <v>0.10828400000000001</v>
      </c>
      <c r="G92" s="43">
        <v>0.117412</v>
      </c>
      <c r="H92" s="43">
        <v>0.12662599999999999</v>
      </c>
      <c r="I92" s="43">
        <v>0.13608999999999999</v>
      </c>
      <c r="J92" s="43">
        <v>0.145616</v>
      </c>
      <c r="K92" s="43">
        <v>0.15523799999999999</v>
      </c>
      <c r="L92" s="43">
        <v>0.16494300000000001</v>
      </c>
      <c r="M92" s="43">
        <v>0.17486399999999999</v>
      </c>
      <c r="N92" s="43">
        <v>0.185082</v>
      </c>
      <c r="O92" s="43">
        <v>0.19552700000000001</v>
      </c>
      <c r="P92" s="43">
        <v>0.20619000000000001</v>
      </c>
      <c r="Q92" s="43">
        <v>0.217114</v>
      </c>
      <c r="R92" s="43">
        <v>0.22825300000000001</v>
      </c>
      <c r="S92" s="43">
        <v>0.23962600000000001</v>
      </c>
      <c r="T92" s="43">
        <v>0.25120300000000001</v>
      </c>
      <c r="U92" s="43">
        <v>0.26299899999999998</v>
      </c>
      <c r="V92" s="43">
        <v>0.275007</v>
      </c>
      <c r="W92" s="43">
        <v>0.287302</v>
      </c>
      <c r="X92" s="43">
        <v>0.29986499999999999</v>
      </c>
      <c r="Y92" s="43">
        <v>0.31278499999999998</v>
      </c>
      <c r="Z92" s="43">
        <v>0.326067</v>
      </c>
      <c r="AA92" s="43">
        <v>0.33971499999999999</v>
      </c>
      <c r="AB92" s="43">
        <v>0.35381099999999999</v>
      </c>
      <c r="AC92" s="43">
        <v>0.36832900000000002</v>
      </c>
      <c r="AD92" s="43">
        <v>0.38323400000000002</v>
      </c>
      <c r="AE92" s="43">
        <v>0.39861600000000003</v>
      </c>
      <c r="AF92" s="43">
        <v>0.41442000000000001</v>
      </c>
      <c r="AG92" s="43">
        <v>0.43064400000000003</v>
      </c>
      <c r="AH92" s="44">
        <v>5.8546000000000001E-2</v>
      </c>
    </row>
    <row r="93" spans="1:34" ht="36.75" x14ac:dyDescent="0.25">
      <c r="A93" s="38" t="s">
        <v>139</v>
      </c>
      <c r="B93" s="41" t="s">
        <v>140</v>
      </c>
      <c r="C93" s="45">
        <v>11.364125</v>
      </c>
      <c r="D93" s="45">
        <v>11.310364999999999</v>
      </c>
      <c r="E93" s="45">
        <v>11.436909999999999</v>
      </c>
      <c r="F93" s="45">
        <v>11.427087</v>
      </c>
      <c r="G93" s="45">
        <v>11.431361000000001</v>
      </c>
      <c r="H93" s="45">
        <v>11.429531000000001</v>
      </c>
      <c r="I93" s="45">
        <v>11.425138</v>
      </c>
      <c r="J93" s="45">
        <v>11.418343999999999</v>
      </c>
      <c r="K93" s="45">
        <v>11.41846</v>
      </c>
      <c r="L93" s="45">
        <v>11.420825000000001</v>
      </c>
      <c r="M93" s="45">
        <v>11.419453000000001</v>
      </c>
      <c r="N93" s="45">
        <v>11.425625</v>
      </c>
      <c r="O93" s="45">
        <v>11.438979</v>
      </c>
      <c r="P93" s="45">
        <v>11.450767000000001</v>
      </c>
      <c r="Q93" s="45">
        <v>11.467656</v>
      </c>
      <c r="R93" s="45">
        <v>11.489264</v>
      </c>
      <c r="S93" s="45">
        <v>11.515525999999999</v>
      </c>
      <c r="T93" s="45">
        <v>11.545313</v>
      </c>
      <c r="U93" s="45">
        <v>11.577142</v>
      </c>
      <c r="V93" s="45">
        <v>11.608987000000001</v>
      </c>
      <c r="W93" s="45">
        <v>11.640029999999999</v>
      </c>
      <c r="X93" s="45">
        <v>11.671144</v>
      </c>
      <c r="Y93" s="45">
        <v>11.703937</v>
      </c>
      <c r="Z93" s="45">
        <v>11.742044</v>
      </c>
      <c r="AA93" s="45">
        <v>11.781528</v>
      </c>
      <c r="AB93" s="45">
        <v>11.820498000000001</v>
      </c>
      <c r="AC93" s="45">
        <v>11.86267</v>
      </c>
      <c r="AD93" s="45">
        <v>11.902706999999999</v>
      </c>
      <c r="AE93" s="45">
        <v>11.943530000000001</v>
      </c>
      <c r="AF93" s="45">
        <v>11.985751</v>
      </c>
      <c r="AG93" s="45">
        <v>12.031371</v>
      </c>
      <c r="AH93" s="46">
        <v>1.9040000000000001E-3</v>
      </c>
    </row>
    <row r="95" spans="1:34" ht="36.75" x14ac:dyDescent="0.25">
      <c r="A95" s="38" t="s">
        <v>141</v>
      </c>
      <c r="B95" s="41" t="s">
        <v>4</v>
      </c>
      <c r="C95" s="45">
        <v>9.4179560000000002</v>
      </c>
      <c r="D95" s="45">
        <v>9.4692589999999992</v>
      </c>
      <c r="E95" s="45">
        <v>9.5235859999999999</v>
      </c>
      <c r="F95" s="45">
        <v>9.3535579999999996</v>
      </c>
      <c r="G95" s="45">
        <v>9.192634</v>
      </c>
      <c r="H95" s="45">
        <v>8.9611440000000009</v>
      </c>
      <c r="I95" s="45">
        <v>8.7546029999999995</v>
      </c>
      <c r="J95" s="45">
        <v>8.6916949999999993</v>
      </c>
      <c r="K95" s="45">
        <v>8.6860269999999993</v>
      </c>
      <c r="L95" s="45">
        <v>8.6995719999999999</v>
      </c>
      <c r="M95" s="45">
        <v>8.7289549999999991</v>
      </c>
      <c r="N95" s="45">
        <v>8.7613850000000006</v>
      </c>
      <c r="O95" s="45">
        <v>8.7698009999999993</v>
      </c>
      <c r="P95" s="45">
        <v>8.7926420000000007</v>
      </c>
      <c r="Q95" s="45">
        <v>8.8117920000000005</v>
      </c>
      <c r="R95" s="45">
        <v>8.8543400000000005</v>
      </c>
      <c r="S95" s="45">
        <v>8.8960539999999995</v>
      </c>
      <c r="T95" s="45">
        <v>8.9436619999999998</v>
      </c>
      <c r="U95" s="45">
        <v>8.9716509999999996</v>
      </c>
      <c r="V95" s="45">
        <v>9.0014699999999994</v>
      </c>
      <c r="W95" s="45">
        <v>9.0304009999999995</v>
      </c>
      <c r="X95" s="45">
        <v>9.0712130000000002</v>
      </c>
      <c r="Y95" s="45">
        <v>9.1142409999999998</v>
      </c>
      <c r="Z95" s="45">
        <v>9.1562610000000006</v>
      </c>
      <c r="AA95" s="45">
        <v>9.1960940000000004</v>
      </c>
      <c r="AB95" s="45">
        <v>9.2340040000000005</v>
      </c>
      <c r="AC95" s="45">
        <v>9.2814379999999996</v>
      </c>
      <c r="AD95" s="45">
        <v>9.3317099999999993</v>
      </c>
      <c r="AE95" s="45">
        <v>9.3964409999999994</v>
      </c>
      <c r="AF95" s="45">
        <v>9.4543610000000005</v>
      </c>
      <c r="AG95" s="45">
        <v>9.5046730000000004</v>
      </c>
      <c r="AH95" s="46">
        <v>3.0600000000000001E-4</v>
      </c>
    </row>
    <row r="97" spans="1:34" ht="60.75" x14ac:dyDescent="0.25">
      <c r="A97" s="35"/>
      <c r="B97" s="41" t="s">
        <v>142</v>
      </c>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c r="AH97" s="35"/>
    </row>
    <row r="98" spans="1:34" ht="24.75" x14ac:dyDescent="0.25">
      <c r="A98" s="38" t="s">
        <v>143</v>
      </c>
      <c r="B98" s="42" t="s">
        <v>108</v>
      </c>
      <c r="C98" s="43">
        <v>6.5168239999999997</v>
      </c>
      <c r="D98" s="43">
        <v>6.5780320000000003</v>
      </c>
      <c r="E98" s="43">
        <v>6.7208459999999999</v>
      </c>
      <c r="F98" s="43">
        <v>6.6579829999999998</v>
      </c>
      <c r="G98" s="43">
        <v>6.6074489999999999</v>
      </c>
      <c r="H98" s="43">
        <v>6.5398149999999999</v>
      </c>
      <c r="I98" s="43">
        <v>6.4632350000000001</v>
      </c>
      <c r="J98" s="43">
        <v>6.4025800000000004</v>
      </c>
      <c r="K98" s="43">
        <v>6.3519899999999998</v>
      </c>
      <c r="L98" s="43">
        <v>6.3025529999999996</v>
      </c>
      <c r="M98" s="43">
        <v>6.2526520000000003</v>
      </c>
      <c r="N98" s="43">
        <v>6.2066220000000003</v>
      </c>
      <c r="O98" s="43">
        <v>6.1599190000000004</v>
      </c>
      <c r="P98" s="43">
        <v>6.1143099999999997</v>
      </c>
      <c r="Q98" s="43">
        <v>6.067412</v>
      </c>
      <c r="R98" s="43">
        <v>6.0265639999999996</v>
      </c>
      <c r="S98" s="43">
        <v>5.9869919999999999</v>
      </c>
      <c r="T98" s="43">
        <v>5.949471</v>
      </c>
      <c r="U98" s="43">
        <v>5.9115840000000004</v>
      </c>
      <c r="V98" s="43">
        <v>5.8741750000000001</v>
      </c>
      <c r="W98" s="43">
        <v>5.8405300000000002</v>
      </c>
      <c r="X98" s="43">
        <v>5.8083960000000001</v>
      </c>
      <c r="Y98" s="43">
        <v>5.776459</v>
      </c>
      <c r="Z98" s="43">
        <v>5.7458369999999999</v>
      </c>
      <c r="AA98" s="43">
        <v>5.7147129999999997</v>
      </c>
      <c r="AB98" s="43">
        <v>5.6827969999999999</v>
      </c>
      <c r="AC98" s="43">
        <v>5.6533600000000002</v>
      </c>
      <c r="AD98" s="43">
        <v>5.6229139999999997</v>
      </c>
      <c r="AE98" s="43">
        <v>5.5925919999999998</v>
      </c>
      <c r="AF98" s="43">
        <v>5.5612750000000002</v>
      </c>
      <c r="AG98" s="43">
        <v>5.5296019999999997</v>
      </c>
      <c r="AH98" s="44">
        <v>-5.4609999999999997E-3</v>
      </c>
    </row>
    <row r="99" spans="1:34" ht="24.75" x14ac:dyDescent="0.25">
      <c r="A99" s="38" t="s">
        <v>144</v>
      </c>
      <c r="B99" s="42" t="s">
        <v>110</v>
      </c>
      <c r="C99" s="43">
        <v>2.365208</v>
      </c>
      <c r="D99" s="43">
        <v>2.24946</v>
      </c>
      <c r="E99" s="43">
        <v>2.5323359999999999</v>
      </c>
      <c r="F99" s="43">
        <v>2.5366749999999998</v>
      </c>
      <c r="G99" s="43">
        <v>2.5429349999999999</v>
      </c>
      <c r="H99" s="43">
        <v>2.5371100000000002</v>
      </c>
      <c r="I99" s="43">
        <v>2.5312239999999999</v>
      </c>
      <c r="J99" s="43">
        <v>2.5500940000000001</v>
      </c>
      <c r="K99" s="43">
        <v>2.579615</v>
      </c>
      <c r="L99" s="43">
        <v>2.612803</v>
      </c>
      <c r="M99" s="43">
        <v>2.6498650000000001</v>
      </c>
      <c r="N99" s="43">
        <v>2.6896990000000001</v>
      </c>
      <c r="O99" s="43">
        <v>2.7268240000000001</v>
      </c>
      <c r="P99" s="43">
        <v>2.766016</v>
      </c>
      <c r="Q99" s="43">
        <v>2.8042739999999999</v>
      </c>
      <c r="R99" s="43">
        <v>2.8495550000000001</v>
      </c>
      <c r="S99" s="43">
        <v>2.8966440000000002</v>
      </c>
      <c r="T99" s="43">
        <v>2.948172</v>
      </c>
      <c r="U99" s="43">
        <v>2.9958140000000002</v>
      </c>
      <c r="V99" s="43">
        <v>3.0438719999999999</v>
      </c>
      <c r="W99" s="43">
        <v>3.0937459999999999</v>
      </c>
      <c r="X99" s="43">
        <v>3.1447099999999999</v>
      </c>
      <c r="Y99" s="43">
        <v>3.1978279999999999</v>
      </c>
      <c r="Z99" s="43">
        <v>3.2515170000000002</v>
      </c>
      <c r="AA99" s="43">
        <v>3.306629</v>
      </c>
      <c r="AB99" s="43">
        <v>3.3606820000000002</v>
      </c>
      <c r="AC99" s="43">
        <v>3.4178510000000002</v>
      </c>
      <c r="AD99" s="43">
        <v>3.4746139999999999</v>
      </c>
      <c r="AE99" s="43">
        <v>3.536829</v>
      </c>
      <c r="AF99" s="43">
        <v>3.5983320000000001</v>
      </c>
      <c r="AG99" s="43">
        <v>3.6610960000000001</v>
      </c>
      <c r="AH99" s="44">
        <v>1.4670000000000001E-2</v>
      </c>
    </row>
    <row r="100" spans="1:34" ht="24.75" x14ac:dyDescent="0.25">
      <c r="A100" s="38" t="s">
        <v>145</v>
      </c>
      <c r="B100" s="42" t="s">
        <v>112</v>
      </c>
      <c r="C100" s="43">
        <v>2.8613599999999999</v>
      </c>
      <c r="D100" s="43">
        <v>2.8623729999999998</v>
      </c>
      <c r="E100" s="43">
        <v>2.8721990000000002</v>
      </c>
      <c r="F100" s="43">
        <v>2.8519269999999999</v>
      </c>
      <c r="G100" s="43">
        <v>2.8368310000000001</v>
      </c>
      <c r="H100" s="43">
        <v>2.8119640000000001</v>
      </c>
      <c r="I100" s="43">
        <v>2.7864360000000001</v>
      </c>
      <c r="J100" s="43">
        <v>2.7783440000000001</v>
      </c>
      <c r="K100" s="43">
        <v>2.7776939999999999</v>
      </c>
      <c r="L100" s="43">
        <v>2.779874</v>
      </c>
      <c r="M100" s="43">
        <v>2.7832170000000001</v>
      </c>
      <c r="N100" s="43">
        <v>2.7878889999999998</v>
      </c>
      <c r="O100" s="43">
        <v>2.7910910000000002</v>
      </c>
      <c r="P100" s="43">
        <v>2.7956599999999998</v>
      </c>
      <c r="Q100" s="43">
        <v>2.7990469999999998</v>
      </c>
      <c r="R100" s="43">
        <v>2.8060200000000002</v>
      </c>
      <c r="S100" s="43">
        <v>2.8136070000000002</v>
      </c>
      <c r="T100" s="43">
        <v>2.8218030000000001</v>
      </c>
      <c r="U100" s="43">
        <v>2.827823</v>
      </c>
      <c r="V100" s="43">
        <v>2.833275</v>
      </c>
      <c r="W100" s="43">
        <v>2.8388339999999999</v>
      </c>
      <c r="X100" s="43">
        <v>2.8454160000000002</v>
      </c>
      <c r="Y100" s="43">
        <v>2.8521290000000001</v>
      </c>
      <c r="Z100" s="43">
        <v>2.8600270000000001</v>
      </c>
      <c r="AA100" s="43">
        <v>2.8681390000000002</v>
      </c>
      <c r="AB100" s="43">
        <v>2.8765390000000002</v>
      </c>
      <c r="AC100" s="43">
        <v>2.8867500000000001</v>
      </c>
      <c r="AD100" s="43">
        <v>2.8975240000000002</v>
      </c>
      <c r="AE100" s="43">
        <v>2.9100670000000002</v>
      </c>
      <c r="AF100" s="43">
        <v>2.9226399999999999</v>
      </c>
      <c r="AG100" s="43">
        <v>2.9350309999999999</v>
      </c>
      <c r="AH100" s="44">
        <v>8.4800000000000001E-4</v>
      </c>
    </row>
    <row r="101" spans="1:34" ht="36.75" x14ac:dyDescent="0.25">
      <c r="A101" s="38" t="s">
        <v>146</v>
      </c>
      <c r="B101" s="42" t="s">
        <v>114</v>
      </c>
      <c r="C101" s="43">
        <v>0.85222200000000004</v>
      </c>
      <c r="D101" s="43">
        <v>0.845279</v>
      </c>
      <c r="E101" s="43">
        <v>0.84332200000000002</v>
      </c>
      <c r="F101" s="43">
        <v>0.82742899999999997</v>
      </c>
      <c r="G101" s="43">
        <v>0.81229600000000002</v>
      </c>
      <c r="H101" s="43">
        <v>0.79391599999999996</v>
      </c>
      <c r="I101" s="43">
        <v>0.77705100000000005</v>
      </c>
      <c r="J101" s="43">
        <v>0.76875000000000004</v>
      </c>
      <c r="K101" s="43">
        <v>0.76380000000000003</v>
      </c>
      <c r="L101" s="43">
        <v>0.76027400000000001</v>
      </c>
      <c r="M101" s="43">
        <v>0.75814400000000004</v>
      </c>
      <c r="N101" s="43">
        <v>0.75669399999999998</v>
      </c>
      <c r="O101" s="43">
        <v>0.75448899999999997</v>
      </c>
      <c r="P101" s="43">
        <v>0.75402100000000005</v>
      </c>
      <c r="Q101" s="43">
        <v>0.75374600000000003</v>
      </c>
      <c r="R101" s="43">
        <v>0.755498</v>
      </c>
      <c r="S101" s="43">
        <v>0.75773100000000004</v>
      </c>
      <c r="T101" s="43">
        <v>0.76084200000000002</v>
      </c>
      <c r="U101" s="43">
        <v>0.76366999999999996</v>
      </c>
      <c r="V101" s="43">
        <v>0.76732800000000001</v>
      </c>
      <c r="W101" s="43">
        <v>0.77202999999999999</v>
      </c>
      <c r="X101" s="43">
        <v>0.77810599999999996</v>
      </c>
      <c r="Y101" s="43">
        <v>0.78491699999999998</v>
      </c>
      <c r="Z101" s="43">
        <v>0.79128500000000002</v>
      </c>
      <c r="AA101" s="43">
        <v>0.79746600000000001</v>
      </c>
      <c r="AB101" s="43">
        <v>0.80348600000000003</v>
      </c>
      <c r="AC101" s="43">
        <v>0.80970399999999998</v>
      </c>
      <c r="AD101" s="43">
        <v>0.81597799999999998</v>
      </c>
      <c r="AE101" s="43">
        <v>0.82269700000000001</v>
      </c>
      <c r="AF101" s="43">
        <v>0.82868699999999995</v>
      </c>
      <c r="AG101" s="43">
        <v>0.83381799999999995</v>
      </c>
      <c r="AH101" s="44">
        <v>-7.27E-4</v>
      </c>
    </row>
    <row r="102" spans="1:34" x14ac:dyDescent="0.25">
      <c r="A102" s="38" t="s">
        <v>147</v>
      </c>
      <c r="B102" s="42" t="s">
        <v>116</v>
      </c>
      <c r="C102" s="43">
        <v>0.278059</v>
      </c>
      <c r="D102" s="43">
        <v>0.27805800000000003</v>
      </c>
      <c r="E102" s="43">
        <v>0.27937699999999999</v>
      </c>
      <c r="F102" s="43">
        <v>0.27807999999999999</v>
      </c>
      <c r="G102" s="43">
        <v>0.27677499999999999</v>
      </c>
      <c r="H102" s="43">
        <v>0.27469399999999999</v>
      </c>
      <c r="I102" s="43">
        <v>0.27271499999999999</v>
      </c>
      <c r="J102" s="43">
        <v>0.27221699999999999</v>
      </c>
      <c r="K102" s="43">
        <v>0.272233</v>
      </c>
      <c r="L102" s="43">
        <v>0.27239999999999998</v>
      </c>
      <c r="M102" s="43">
        <v>0.27269599999999999</v>
      </c>
      <c r="N102" s="43">
        <v>0.27295000000000003</v>
      </c>
      <c r="O102" s="43">
        <v>0.27287299999999998</v>
      </c>
      <c r="P102" s="43">
        <v>0.27314699999999997</v>
      </c>
      <c r="Q102" s="43">
        <v>0.27344600000000002</v>
      </c>
      <c r="R102" s="43">
        <v>0.27416299999999999</v>
      </c>
      <c r="S102" s="43">
        <v>0.27498699999999998</v>
      </c>
      <c r="T102" s="43">
        <v>0.27601700000000001</v>
      </c>
      <c r="U102" s="43">
        <v>0.27682200000000001</v>
      </c>
      <c r="V102" s="43">
        <v>0.277646</v>
      </c>
      <c r="W102" s="43">
        <v>0.27853299999999998</v>
      </c>
      <c r="X102" s="43">
        <v>0.27954699999999999</v>
      </c>
      <c r="Y102" s="43">
        <v>0.28057500000000002</v>
      </c>
      <c r="Z102" s="43">
        <v>0.28154200000000001</v>
      </c>
      <c r="AA102" s="43">
        <v>0.282503</v>
      </c>
      <c r="AB102" s="43">
        <v>0.283466</v>
      </c>
      <c r="AC102" s="43">
        <v>0.284497</v>
      </c>
      <c r="AD102" s="43">
        <v>0.28557100000000002</v>
      </c>
      <c r="AE102" s="43">
        <v>0.28676200000000002</v>
      </c>
      <c r="AF102" s="43">
        <v>0.28784999999999999</v>
      </c>
      <c r="AG102" s="43">
        <v>0.28881099999999998</v>
      </c>
      <c r="AH102" s="44">
        <v>1.2650000000000001E-3</v>
      </c>
    </row>
    <row r="103" spans="1:34" ht="24.75" x14ac:dyDescent="0.25">
      <c r="A103" s="38" t="s">
        <v>148</v>
      </c>
      <c r="B103" s="42" t="s">
        <v>118</v>
      </c>
      <c r="C103" s="43">
        <v>0.65924099999999997</v>
      </c>
      <c r="D103" s="43">
        <v>0.67057</v>
      </c>
      <c r="E103" s="43">
        <v>0.68315499999999996</v>
      </c>
      <c r="F103" s="43">
        <v>0.68423199999999995</v>
      </c>
      <c r="G103" s="43">
        <v>0.68615700000000002</v>
      </c>
      <c r="H103" s="43">
        <v>0.68444199999999999</v>
      </c>
      <c r="I103" s="43">
        <v>0.68227700000000002</v>
      </c>
      <c r="J103" s="43">
        <v>0.68603499999999995</v>
      </c>
      <c r="K103" s="43">
        <v>0.69225300000000001</v>
      </c>
      <c r="L103" s="43">
        <v>0.69918499999999995</v>
      </c>
      <c r="M103" s="43">
        <v>0.70697100000000002</v>
      </c>
      <c r="N103" s="43">
        <v>0.71482000000000001</v>
      </c>
      <c r="O103" s="43">
        <v>0.72161799999999998</v>
      </c>
      <c r="P103" s="43">
        <v>0.72884599999999999</v>
      </c>
      <c r="Q103" s="43">
        <v>0.735823</v>
      </c>
      <c r="R103" s="43">
        <v>0.74411300000000002</v>
      </c>
      <c r="S103" s="43">
        <v>0.752722</v>
      </c>
      <c r="T103" s="43">
        <v>0.76147699999999996</v>
      </c>
      <c r="U103" s="43">
        <v>0.76918900000000001</v>
      </c>
      <c r="V103" s="43">
        <v>0.77688199999999996</v>
      </c>
      <c r="W103" s="43">
        <v>0.78465799999999997</v>
      </c>
      <c r="X103" s="43">
        <v>0.79286900000000005</v>
      </c>
      <c r="Y103" s="43">
        <v>0.80090799999999995</v>
      </c>
      <c r="Z103" s="43">
        <v>0.80919700000000006</v>
      </c>
      <c r="AA103" s="43">
        <v>0.81719699999999995</v>
      </c>
      <c r="AB103" s="43">
        <v>0.82500600000000002</v>
      </c>
      <c r="AC103" s="43">
        <v>0.83329900000000001</v>
      </c>
      <c r="AD103" s="43">
        <v>0.84162899999999996</v>
      </c>
      <c r="AE103" s="43">
        <v>0.85063999999999995</v>
      </c>
      <c r="AF103" s="43">
        <v>0.859653</v>
      </c>
      <c r="AG103" s="43">
        <v>0.86843599999999999</v>
      </c>
      <c r="AH103" s="44">
        <v>9.2289999999999994E-3</v>
      </c>
    </row>
    <row r="104" spans="1:34" x14ac:dyDescent="0.25">
      <c r="A104" s="38" t="s">
        <v>149</v>
      </c>
      <c r="B104" s="42" t="s">
        <v>120</v>
      </c>
      <c r="C104" s="43">
        <v>0.198131</v>
      </c>
      <c r="D104" s="43">
        <v>0.19703899999999999</v>
      </c>
      <c r="E104" s="43">
        <v>0.19719600000000001</v>
      </c>
      <c r="F104" s="43">
        <v>0.194129</v>
      </c>
      <c r="G104" s="43">
        <v>0.19103999999999999</v>
      </c>
      <c r="H104" s="43">
        <v>0.18697</v>
      </c>
      <c r="I104" s="43">
        <v>0.18306</v>
      </c>
      <c r="J104" s="43">
        <v>0.18099199999999999</v>
      </c>
      <c r="K104" s="43">
        <v>0.179649</v>
      </c>
      <c r="L104" s="43">
        <v>0.178564</v>
      </c>
      <c r="M104" s="43">
        <v>0.17771100000000001</v>
      </c>
      <c r="N104" s="43">
        <v>0.17688599999999999</v>
      </c>
      <c r="O104" s="43">
        <v>0.17574600000000001</v>
      </c>
      <c r="P104" s="43">
        <v>0.17488200000000001</v>
      </c>
      <c r="Q104" s="43">
        <v>0.17393900000000001</v>
      </c>
      <c r="R104" s="43">
        <v>0.17333699999999999</v>
      </c>
      <c r="S104" s="43">
        <v>0.17274400000000001</v>
      </c>
      <c r="T104" s="43">
        <v>0.17225299999999999</v>
      </c>
      <c r="U104" s="43">
        <v>0.17160900000000001</v>
      </c>
      <c r="V104" s="43">
        <v>0.17108000000000001</v>
      </c>
      <c r="W104" s="43">
        <v>0.170713</v>
      </c>
      <c r="X104" s="43">
        <v>0.1706</v>
      </c>
      <c r="Y104" s="43">
        <v>0.1706</v>
      </c>
      <c r="Z104" s="43">
        <v>0.17064299999999999</v>
      </c>
      <c r="AA104" s="43">
        <v>0.17080400000000001</v>
      </c>
      <c r="AB104" s="43">
        <v>0.171095</v>
      </c>
      <c r="AC104" s="43">
        <v>0.171593</v>
      </c>
      <c r="AD104" s="43">
        <v>0.17224700000000001</v>
      </c>
      <c r="AE104" s="43">
        <v>0.17302699999999999</v>
      </c>
      <c r="AF104" s="43">
        <v>0.17368700000000001</v>
      </c>
      <c r="AG104" s="43">
        <v>0.17420099999999999</v>
      </c>
      <c r="AH104" s="44">
        <v>-4.2810000000000001E-3</v>
      </c>
    </row>
    <row r="105" spans="1:34" x14ac:dyDescent="0.25">
      <c r="A105" s="38" t="s">
        <v>150</v>
      </c>
      <c r="B105" s="42" t="s">
        <v>122</v>
      </c>
      <c r="C105" s="43">
        <v>0.60499700000000001</v>
      </c>
      <c r="D105" s="43">
        <v>0.58587500000000003</v>
      </c>
      <c r="E105" s="43">
        <v>0.580785</v>
      </c>
      <c r="F105" s="43">
        <v>0.57045400000000002</v>
      </c>
      <c r="G105" s="43">
        <v>0.56319900000000001</v>
      </c>
      <c r="H105" s="43">
        <v>0.54918</v>
      </c>
      <c r="I105" s="43">
        <v>0.53659199999999996</v>
      </c>
      <c r="J105" s="43">
        <v>0.531532</v>
      </c>
      <c r="K105" s="43">
        <v>0.530389</v>
      </c>
      <c r="L105" s="43">
        <v>0.53064699999999998</v>
      </c>
      <c r="M105" s="43">
        <v>0.52516300000000005</v>
      </c>
      <c r="N105" s="43">
        <v>0.52126899999999998</v>
      </c>
      <c r="O105" s="43">
        <v>0.517648</v>
      </c>
      <c r="P105" s="43">
        <v>0.51513299999999995</v>
      </c>
      <c r="Q105" s="43">
        <v>0.51311700000000005</v>
      </c>
      <c r="R105" s="43">
        <v>0.51264299999999996</v>
      </c>
      <c r="S105" s="43">
        <v>0.51252799999999998</v>
      </c>
      <c r="T105" s="43">
        <v>0.512741</v>
      </c>
      <c r="U105" s="43">
        <v>0.51240799999999997</v>
      </c>
      <c r="V105" s="43">
        <v>0.51224000000000003</v>
      </c>
      <c r="W105" s="43">
        <v>0.50375999999999999</v>
      </c>
      <c r="X105" s="43">
        <v>0.49730400000000002</v>
      </c>
      <c r="Y105" s="43">
        <v>0.49198399999999998</v>
      </c>
      <c r="Z105" s="43">
        <v>0.48801099999999997</v>
      </c>
      <c r="AA105" s="43">
        <v>0.48484899999999997</v>
      </c>
      <c r="AB105" s="43">
        <v>0.48225899999999999</v>
      </c>
      <c r="AC105" s="43">
        <v>0.48034199999999999</v>
      </c>
      <c r="AD105" s="43">
        <v>0.47859200000000002</v>
      </c>
      <c r="AE105" s="43">
        <v>0.47733399999999998</v>
      </c>
      <c r="AF105" s="43">
        <v>0.47613100000000003</v>
      </c>
      <c r="AG105" s="43">
        <v>0.47534199999999999</v>
      </c>
      <c r="AH105" s="44">
        <v>-8.0070000000000002E-3</v>
      </c>
    </row>
    <row r="106" spans="1:34" ht="36.75" x14ac:dyDescent="0.25">
      <c r="A106" s="38" t="s">
        <v>151</v>
      </c>
      <c r="B106" s="42" t="s">
        <v>124</v>
      </c>
      <c r="C106" s="43">
        <v>0.105334</v>
      </c>
      <c r="D106" s="43">
        <v>0.10596899999999999</v>
      </c>
      <c r="E106" s="43">
        <v>0.10728</v>
      </c>
      <c r="F106" s="43">
        <v>0.106848</v>
      </c>
      <c r="G106" s="43">
        <v>0.106407</v>
      </c>
      <c r="H106" s="43">
        <v>0.105422</v>
      </c>
      <c r="I106" s="43">
        <v>0.10451299999999999</v>
      </c>
      <c r="J106" s="43">
        <v>0.10464</v>
      </c>
      <c r="K106" s="43">
        <v>0.10513400000000001</v>
      </c>
      <c r="L106" s="43">
        <v>0.10573399999999999</v>
      </c>
      <c r="M106" s="43">
        <v>0.106471</v>
      </c>
      <c r="N106" s="43">
        <v>0.107181</v>
      </c>
      <c r="O106" s="43">
        <v>0.107657</v>
      </c>
      <c r="P106" s="43">
        <v>0.108247</v>
      </c>
      <c r="Q106" s="43">
        <v>0.10872800000000001</v>
      </c>
      <c r="R106" s="43">
        <v>0.10936700000000001</v>
      </c>
      <c r="S106" s="43">
        <v>0.109943</v>
      </c>
      <c r="T106" s="43">
        <v>0.110523</v>
      </c>
      <c r="U106" s="43">
        <v>0.110939</v>
      </c>
      <c r="V106" s="43">
        <v>0.111364</v>
      </c>
      <c r="W106" s="43">
        <v>0.11183</v>
      </c>
      <c r="X106" s="43">
        <v>0.112384</v>
      </c>
      <c r="Y106" s="43">
        <v>0.11294</v>
      </c>
      <c r="Z106" s="43">
        <v>0.113442</v>
      </c>
      <c r="AA106" s="43">
        <v>0.113931</v>
      </c>
      <c r="AB106" s="43">
        <v>0.114413</v>
      </c>
      <c r="AC106" s="43">
        <v>0.114942</v>
      </c>
      <c r="AD106" s="43">
        <v>0.11550000000000001</v>
      </c>
      <c r="AE106" s="43">
        <v>0.116144</v>
      </c>
      <c r="AF106" s="43">
        <v>0.116711</v>
      </c>
      <c r="AG106" s="43">
        <v>0.117184</v>
      </c>
      <c r="AH106" s="44">
        <v>3.5599999999999998E-3</v>
      </c>
    </row>
    <row r="107" spans="1:34" ht="36.75" x14ac:dyDescent="0.25">
      <c r="A107" s="38" t="s">
        <v>152</v>
      </c>
      <c r="B107" s="42" t="s">
        <v>126</v>
      </c>
      <c r="C107" s="43">
        <v>7.6228000000000004E-2</v>
      </c>
      <c r="D107" s="43">
        <v>7.7252000000000001E-2</v>
      </c>
      <c r="E107" s="43">
        <v>7.8738000000000002E-2</v>
      </c>
      <c r="F107" s="43">
        <v>7.8917000000000001E-2</v>
      </c>
      <c r="G107" s="43">
        <v>7.9047000000000006E-2</v>
      </c>
      <c r="H107" s="43">
        <v>7.8729999999999994E-2</v>
      </c>
      <c r="I107" s="43">
        <v>7.8419000000000003E-2</v>
      </c>
      <c r="J107" s="43">
        <v>7.8839000000000006E-2</v>
      </c>
      <c r="K107" s="43">
        <v>7.9629000000000005E-2</v>
      </c>
      <c r="L107" s="43">
        <v>8.0598000000000003E-2</v>
      </c>
      <c r="M107" s="43">
        <v>8.1734000000000001E-2</v>
      </c>
      <c r="N107" s="43">
        <v>8.2950999999999997E-2</v>
      </c>
      <c r="O107" s="43">
        <v>8.4090999999999999E-2</v>
      </c>
      <c r="P107" s="43">
        <v>8.5433999999999996E-2</v>
      </c>
      <c r="Q107" s="43">
        <v>8.6809999999999998E-2</v>
      </c>
      <c r="R107" s="43">
        <v>8.8303000000000006E-2</v>
      </c>
      <c r="S107" s="43">
        <v>8.9736999999999997E-2</v>
      </c>
      <c r="T107" s="43">
        <v>9.1167999999999999E-2</v>
      </c>
      <c r="U107" s="43">
        <v>9.2454999999999996E-2</v>
      </c>
      <c r="V107" s="43">
        <v>9.3743000000000007E-2</v>
      </c>
      <c r="W107" s="43">
        <v>9.5057000000000003E-2</v>
      </c>
      <c r="X107" s="43">
        <v>9.6439999999999998E-2</v>
      </c>
      <c r="Y107" s="43">
        <v>9.7821000000000005E-2</v>
      </c>
      <c r="Z107" s="43">
        <v>9.9148E-2</v>
      </c>
      <c r="AA107" s="43">
        <v>0.100456</v>
      </c>
      <c r="AB107" s="43">
        <v>0.101752</v>
      </c>
      <c r="AC107" s="43">
        <v>0.10308299999999999</v>
      </c>
      <c r="AD107" s="43">
        <v>0.104437</v>
      </c>
      <c r="AE107" s="43">
        <v>0.105864</v>
      </c>
      <c r="AF107" s="43">
        <v>0.107214</v>
      </c>
      <c r="AG107" s="43">
        <v>0.108471</v>
      </c>
      <c r="AH107" s="44">
        <v>1.1828E-2</v>
      </c>
    </row>
    <row r="108" spans="1:34" ht="72.75" x14ac:dyDescent="0.25">
      <c r="A108" s="38" t="s">
        <v>153</v>
      </c>
      <c r="B108" s="42" t="s">
        <v>128</v>
      </c>
      <c r="C108" s="43">
        <v>0.59894199999999997</v>
      </c>
      <c r="D108" s="43">
        <v>0.58730199999999999</v>
      </c>
      <c r="E108" s="43">
        <v>0.58140999999999998</v>
      </c>
      <c r="F108" s="43">
        <v>0.56733900000000004</v>
      </c>
      <c r="G108" s="43">
        <v>0.55628599999999995</v>
      </c>
      <c r="H108" s="43">
        <v>0.54458300000000004</v>
      </c>
      <c r="I108" s="43">
        <v>0.53496200000000005</v>
      </c>
      <c r="J108" s="43">
        <v>0.53261700000000001</v>
      </c>
      <c r="K108" s="43">
        <v>0.53414600000000001</v>
      </c>
      <c r="L108" s="43">
        <v>0.53807799999999995</v>
      </c>
      <c r="M108" s="43">
        <v>0.54436300000000004</v>
      </c>
      <c r="N108" s="43">
        <v>0.55201299999999998</v>
      </c>
      <c r="O108" s="43">
        <v>0.560002</v>
      </c>
      <c r="P108" s="43">
        <v>0.56933500000000004</v>
      </c>
      <c r="Q108" s="43">
        <v>0.57898000000000005</v>
      </c>
      <c r="R108" s="43">
        <v>0.59024399999999999</v>
      </c>
      <c r="S108" s="43">
        <v>0.60203099999999998</v>
      </c>
      <c r="T108" s="43">
        <v>0.61410299999999995</v>
      </c>
      <c r="U108" s="43">
        <v>0.62519100000000005</v>
      </c>
      <c r="V108" s="43">
        <v>0.63575899999999996</v>
      </c>
      <c r="W108" s="43">
        <v>0.64554999999999996</v>
      </c>
      <c r="X108" s="43">
        <v>0.654478</v>
      </c>
      <c r="Y108" s="43">
        <v>0.66192499999999999</v>
      </c>
      <c r="Z108" s="43">
        <v>0.66880399999999995</v>
      </c>
      <c r="AA108" s="43">
        <v>0.67521399999999998</v>
      </c>
      <c r="AB108" s="43">
        <v>0.681288</v>
      </c>
      <c r="AC108" s="43">
        <v>0.68757000000000001</v>
      </c>
      <c r="AD108" s="43">
        <v>0.69366899999999998</v>
      </c>
      <c r="AE108" s="43">
        <v>0.70011400000000001</v>
      </c>
      <c r="AF108" s="43">
        <v>0.70623400000000003</v>
      </c>
      <c r="AG108" s="43">
        <v>0.71198600000000001</v>
      </c>
      <c r="AH108" s="44">
        <v>5.7800000000000004E-3</v>
      </c>
    </row>
    <row r="109" spans="1:34" ht="72.75" x14ac:dyDescent="0.25">
      <c r="A109" s="38" t="s">
        <v>154</v>
      </c>
      <c r="B109" s="42" t="s">
        <v>130</v>
      </c>
      <c r="C109" s="43">
        <v>0.2482</v>
      </c>
      <c r="D109" s="43">
        <v>0.23993</v>
      </c>
      <c r="E109" s="43">
        <v>0.233935</v>
      </c>
      <c r="F109" s="43">
        <v>0.22454499999999999</v>
      </c>
      <c r="G109" s="43">
        <v>0.21623400000000001</v>
      </c>
      <c r="H109" s="43">
        <v>0.207486</v>
      </c>
      <c r="I109" s="43">
        <v>0.199404</v>
      </c>
      <c r="J109" s="43">
        <v>0.19383</v>
      </c>
      <c r="K109" s="43">
        <v>0.18940499999999999</v>
      </c>
      <c r="L109" s="43">
        <v>0.18552299999999999</v>
      </c>
      <c r="M109" s="43">
        <v>0.18210100000000001</v>
      </c>
      <c r="N109" s="43">
        <v>0.17876400000000001</v>
      </c>
      <c r="O109" s="43">
        <v>0.175182</v>
      </c>
      <c r="P109" s="43">
        <v>0.171651</v>
      </c>
      <c r="Q109" s="43">
        <v>0.16786400000000001</v>
      </c>
      <c r="R109" s="43">
        <v>0.16418099999999999</v>
      </c>
      <c r="S109" s="43">
        <v>0.160275</v>
      </c>
      <c r="T109" s="43">
        <v>0.156495</v>
      </c>
      <c r="U109" s="43">
        <v>0.152583</v>
      </c>
      <c r="V109" s="43">
        <v>0.148698</v>
      </c>
      <c r="W109" s="43">
        <v>0.14483499999999999</v>
      </c>
      <c r="X109" s="43">
        <v>0.141043</v>
      </c>
      <c r="Y109" s="43">
        <v>0.13716600000000001</v>
      </c>
      <c r="Z109" s="43">
        <v>0.1333</v>
      </c>
      <c r="AA109" s="43">
        <v>0.12931200000000001</v>
      </c>
      <c r="AB109" s="43">
        <v>0.12518000000000001</v>
      </c>
      <c r="AC109" s="43">
        <v>0.120979</v>
      </c>
      <c r="AD109" s="43">
        <v>0.116587</v>
      </c>
      <c r="AE109" s="43">
        <v>0.11208799999999999</v>
      </c>
      <c r="AF109" s="43">
        <v>0.107267</v>
      </c>
      <c r="AG109" s="43">
        <v>0.102107</v>
      </c>
      <c r="AH109" s="44">
        <v>-2.9173000000000001E-2</v>
      </c>
    </row>
    <row r="110" spans="1:34" ht="60.75" x14ac:dyDescent="0.25">
      <c r="A110" s="38" t="s">
        <v>155</v>
      </c>
      <c r="B110" s="42" t="s">
        <v>132</v>
      </c>
      <c r="C110" s="43">
        <v>0.22392699999999999</v>
      </c>
      <c r="D110" s="43">
        <v>0.241091</v>
      </c>
      <c r="E110" s="43">
        <v>0.24384900000000001</v>
      </c>
      <c r="F110" s="43">
        <v>0.24181800000000001</v>
      </c>
      <c r="G110" s="43">
        <v>0.240172</v>
      </c>
      <c r="H110" s="43">
        <v>0.23697799999999999</v>
      </c>
      <c r="I110" s="43">
        <v>0.23361999999999999</v>
      </c>
      <c r="J110" s="43">
        <v>0.23272999999999999</v>
      </c>
      <c r="K110" s="43">
        <v>0.23261699999999999</v>
      </c>
      <c r="L110" s="43">
        <v>0.232574</v>
      </c>
      <c r="M110" s="43">
        <v>0.23225799999999999</v>
      </c>
      <c r="N110" s="43">
        <v>0.231685</v>
      </c>
      <c r="O110" s="43">
        <v>0.230213</v>
      </c>
      <c r="P110" s="43">
        <v>0.22844900000000001</v>
      </c>
      <c r="Q110" s="43">
        <v>0.225937</v>
      </c>
      <c r="R110" s="43">
        <v>0.22339500000000001</v>
      </c>
      <c r="S110" s="43">
        <v>0.220419</v>
      </c>
      <c r="T110" s="43">
        <v>0.21715000000000001</v>
      </c>
      <c r="U110" s="43">
        <v>0.21328</v>
      </c>
      <c r="V110" s="43">
        <v>0.20938899999999999</v>
      </c>
      <c r="W110" s="43">
        <v>0.20572499999999999</v>
      </c>
      <c r="X110" s="43">
        <v>0.20239399999999999</v>
      </c>
      <c r="Y110" s="43">
        <v>0.199214</v>
      </c>
      <c r="Z110" s="43">
        <v>0.19619300000000001</v>
      </c>
      <c r="AA110" s="43">
        <v>0.193466</v>
      </c>
      <c r="AB110" s="43">
        <v>0.19101099999999999</v>
      </c>
      <c r="AC110" s="43">
        <v>0.18896299999999999</v>
      </c>
      <c r="AD110" s="43">
        <v>0.18722</v>
      </c>
      <c r="AE110" s="43">
        <v>0.18590899999999999</v>
      </c>
      <c r="AF110" s="43">
        <v>0.18473200000000001</v>
      </c>
      <c r="AG110" s="43">
        <v>0.183726</v>
      </c>
      <c r="AH110" s="44">
        <v>-6.574E-3</v>
      </c>
    </row>
    <row r="111" spans="1:34" ht="24.75" x14ac:dyDescent="0.25">
      <c r="A111" s="38" t="s">
        <v>156</v>
      </c>
      <c r="B111" s="42" t="s">
        <v>134</v>
      </c>
      <c r="C111" s="43">
        <v>5.4173179999999999</v>
      </c>
      <c r="D111" s="43">
        <v>5.517531</v>
      </c>
      <c r="E111" s="43">
        <v>5.2904280000000004</v>
      </c>
      <c r="F111" s="43">
        <v>5.2672829999999999</v>
      </c>
      <c r="G111" s="43">
        <v>5.2377719999999997</v>
      </c>
      <c r="H111" s="43">
        <v>5.1873639999999996</v>
      </c>
      <c r="I111" s="43">
        <v>5.1637300000000002</v>
      </c>
      <c r="J111" s="43">
        <v>5.1872299999999996</v>
      </c>
      <c r="K111" s="43">
        <v>5.230664</v>
      </c>
      <c r="L111" s="43">
        <v>5.2812229999999998</v>
      </c>
      <c r="M111" s="43">
        <v>5.3405129999999996</v>
      </c>
      <c r="N111" s="43">
        <v>5.3995030000000002</v>
      </c>
      <c r="O111" s="43">
        <v>5.4492139999999996</v>
      </c>
      <c r="P111" s="43">
        <v>5.5029890000000004</v>
      </c>
      <c r="Q111" s="43">
        <v>5.5620520000000004</v>
      </c>
      <c r="R111" s="43">
        <v>5.6262169999999996</v>
      </c>
      <c r="S111" s="43">
        <v>5.6897349999999998</v>
      </c>
      <c r="T111" s="43">
        <v>5.7543189999999997</v>
      </c>
      <c r="U111" s="43">
        <v>5.811509</v>
      </c>
      <c r="V111" s="43">
        <v>5.8701059999999998</v>
      </c>
      <c r="W111" s="43">
        <v>5.9295859999999996</v>
      </c>
      <c r="X111" s="43">
        <v>5.9946849999999996</v>
      </c>
      <c r="Y111" s="43">
        <v>6.0616380000000003</v>
      </c>
      <c r="Z111" s="43">
        <v>6.1295609999999998</v>
      </c>
      <c r="AA111" s="43">
        <v>6.1960689999999996</v>
      </c>
      <c r="AB111" s="43">
        <v>6.2625080000000004</v>
      </c>
      <c r="AC111" s="43">
        <v>6.3333490000000001</v>
      </c>
      <c r="AD111" s="43">
        <v>6.4064579999999998</v>
      </c>
      <c r="AE111" s="43">
        <v>6.4866570000000001</v>
      </c>
      <c r="AF111" s="43">
        <v>6.5649730000000002</v>
      </c>
      <c r="AG111" s="43">
        <v>6.6400810000000003</v>
      </c>
      <c r="AH111" s="44">
        <v>6.8069999999999997E-3</v>
      </c>
    </row>
    <row r="112" spans="1:34" ht="60.75" x14ac:dyDescent="0.25">
      <c r="A112" s="38" t="s">
        <v>157</v>
      </c>
      <c r="B112" s="41" t="s">
        <v>158</v>
      </c>
      <c r="C112" s="45">
        <v>21.005993</v>
      </c>
      <c r="D112" s="45">
        <v>21.035762999999999</v>
      </c>
      <c r="E112" s="45">
        <v>21.244858000000001</v>
      </c>
      <c r="F112" s="45">
        <v>21.087658000000001</v>
      </c>
      <c r="G112" s="45">
        <v>20.952598999999999</v>
      </c>
      <c r="H112" s="45">
        <v>20.738651000000001</v>
      </c>
      <c r="I112" s="45">
        <v>20.547239000000001</v>
      </c>
      <c r="J112" s="45">
        <v>20.500430999999999</v>
      </c>
      <c r="K112" s="45">
        <v>20.519217999999999</v>
      </c>
      <c r="L112" s="45">
        <v>20.560032</v>
      </c>
      <c r="M112" s="45">
        <v>20.613861</v>
      </c>
      <c r="N112" s="45">
        <v>20.678925</v>
      </c>
      <c r="O112" s="45">
        <v>20.726565999999998</v>
      </c>
      <c r="P112" s="45">
        <v>20.788119999999999</v>
      </c>
      <c r="Q112" s="45">
        <v>20.851172999999999</v>
      </c>
      <c r="R112" s="45">
        <v>20.9436</v>
      </c>
      <c r="S112" s="45">
        <v>21.040094</v>
      </c>
      <c r="T112" s="45">
        <v>21.146532000000001</v>
      </c>
      <c r="U112" s="45">
        <v>21.234878999999999</v>
      </c>
      <c r="V112" s="45">
        <v>21.325555999999999</v>
      </c>
      <c r="W112" s="45">
        <v>21.415388</v>
      </c>
      <c r="X112" s="45">
        <v>21.518371999999999</v>
      </c>
      <c r="Y112" s="45">
        <v>21.626104000000002</v>
      </c>
      <c r="Z112" s="45">
        <v>21.738506000000001</v>
      </c>
      <c r="AA112" s="45">
        <v>21.850746000000001</v>
      </c>
      <c r="AB112" s="45">
        <v>21.961483000000001</v>
      </c>
      <c r="AC112" s="45">
        <v>22.086281</v>
      </c>
      <c r="AD112" s="45">
        <v>22.21294</v>
      </c>
      <c r="AE112" s="45">
        <v>22.356724</v>
      </c>
      <c r="AF112" s="45">
        <v>22.495386</v>
      </c>
      <c r="AG112" s="45">
        <v>22.62989</v>
      </c>
      <c r="AH112" s="46">
        <v>2.4849999999999998E-3</v>
      </c>
    </row>
    <row r="113" spans="1:34" ht="48.75" x14ac:dyDescent="0.25">
      <c r="A113" s="38" t="s">
        <v>159</v>
      </c>
      <c r="B113" s="42" t="s">
        <v>160</v>
      </c>
      <c r="C113" s="43">
        <v>7.8131000000000006E-2</v>
      </c>
      <c r="D113" s="43">
        <v>8.9439000000000005E-2</v>
      </c>
      <c r="E113" s="43">
        <v>9.8996000000000001E-2</v>
      </c>
      <c r="F113" s="43">
        <v>0.10828400000000001</v>
      </c>
      <c r="G113" s="43">
        <v>0.117412</v>
      </c>
      <c r="H113" s="43">
        <v>0.12662599999999999</v>
      </c>
      <c r="I113" s="43">
        <v>0.13608999999999999</v>
      </c>
      <c r="J113" s="43">
        <v>0.145616</v>
      </c>
      <c r="K113" s="43">
        <v>0.15523799999999999</v>
      </c>
      <c r="L113" s="43">
        <v>0.16494300000000001</v>
      </c>
      <c r="M113" s="43">
        <v>0.17486399999999999</v>
      </c>
      <c r="N113" s="43">
        <v>0.185082</v>
      </c>
      <c r="O113" s="43">
        <v>0.19552700000000001</v>
      </c>
      <c r="P113" s="43">
        <v>0.20619000000000001</v>
      </c>
      <c r="Q113" s="43">
        <v>0.217114</v>
      </c>
      <c r="R113" s="43">
        <v>0.22825300000000001</v>
      </c>
      <c r="S113" s="43">
        <v>0.23962600000000001</v>
      </c>
      <c r="T113" s="43">
        <v>0.25120300000000001</v>
      </c>
      <c r="U113" s="43">
        <v>0.26299899999999998</v>
      </c>
      <c r="V113" s="43">
        <v>0.275007</v>
      </c>
      <c r="W113" s="43">
        <v>0.287302</v>
      </c>
      <c r="X113" s="43">
        <v>0.29986499999999999</v>
      </c>
      <c r="Y113" s="43">
        <v>0.31278499999999998</v>
      </c>
      <c r="Z113" s="43">
        <v>0.326067</v>
      </c>
      <c r="AA113" s="43">
        <v>0.33971499999999999</v>
      </c>
      <c r="AB113" s="43">
        <v>0.35381099999999999</v>
      </c>
      <c r="AC113" s="43">
        <v>0.36832900000000002</v>
      </c>
      <c r="AD113" s="43">
        <v>0.38323400000000002</v>
      </c>
      <c r="AE113" s="43">
        <v>0.39861600000000003</v>
      </c>
      <c r="AF113" s="43">
        <v>0.41442000000000001</v>
      </c>
      <c r="AG113" s="43">
        <v>0.43064400000000003</v>
      </c>
      <c r="AH113" s="44">
        <v>5.8546000000000001E-2</v>
      </c>
    </row>
    <row r="114" spans="1:34" ht="36.75" x14ac:dyDescent="0.25">
      <c r="A114" s="38" t="s">
        <v>161</v>
      </c>
      <c r="B114" s="41" t="s">
        <v>5</v>
      </c>
      <c r="C114" s="45">
        <v>20.927862000000001</v>
      </c>
      <c r="D114" s="45">
        <v>20.946323</v>
      </c>
      <c r="E114" s="45">
        <v>21.145861</v>
      </c>
      <c r="F114" s="45">
        <v>20.979374</v>
      </c>
      <c r="G114" s="45">
        <v>20.835186</v>
      </c>
      <c r="H114" s="45">
        <v>20.612026</v>
      </c>
      <c r="I114" s="45">
        <v>20.411148000000001</v>
      </c>
      <c r="J114" s="45">
        <v>20.354814999999999</v>
      </c>
      <c r="K114" s="45">
        <v>20.363980999999999</v>
      </c>
      <c r="L114" s="45">
        <v>20.395088000000001</v>
      </c>
      <c r="M114" s="45">
        <v>20.438997000000001</v>
      </c>
      <c r="N114" s="45">
        <v>20.493842999999998</v>
      </c>
      <c r="O114" s="45">
        <v>20.531037999999999</v>
      </c>
      <c r="P114" s="45">
        <v>20.58193</v>
      </c>
      <c r="Q114" s="45">
        <v>20.634060000000002</v>
      </c>
      <c r="R114" s="45">
        <v>20.715347000000001</v>
      </c>
      <c r="S114" s="45">
        <v>20.800467999999999</v>
      </c>
      <c r="T114" s="45">
        <v>20.895329</v>
      </c>
      <c r="U114" s="45">
        <v>20.971879999999999</v>
      </c>
      <c r="V114" s="45">
        <v>21.050549</v>
      </c>
      <c r="W114" s="45">
        <v>21.128086</v>
      </c>
      <c r="X114" s="45">
        <v>21.218506000000001</v>
      </c>
      <c r="Y114" s="45">
        <v>21.313320000000001</v>
      </c>
      <c r="Z114" s="45">
        <v>21.412438999999999</v>
      </c>
      <c r="AA114" s="45">
        <v>21.511030000000002</v>
      </c>
      <c r="AB114" s="45">
        <v>21.607672000000001</v>
      </c>
      <c r="AC114" s="45">
        <v>21.717950999999999</v>
      </c>
      <c r="AD114" s="45">
        <v>21.829706000000002</v>
      </c>
      <c r="AE114" s="45">
        <v>21.958109</v>
      </c>
      <c r="AF114" s="45">
        <v>22.080967000000001</v>
      </c>
      <c r="AG114" s="45">
        <v>22.199245000000001</v>
      </c>
      <c r="AH114" s="46">
        <v>1.9680000000000001E-3</v>
      </c>
    </row>
    <row r="116" spans="1:34" ht="48.75" x14ac:dyDescent="0.25">
      <c r="A116" s="35"/>
      <c r="B116" s="41" t="s">
        <v>162</v>
      </c>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c r="AG116" s="35"/>
      <c r="AH116" s="35"/>
    </row>
    <row r="117" spans="1:34" ht="48.75" x14ac:dyDescent="0.25">
      <c r="A117" s="38" t="s">
        <v>163</v>
      </c>
      <c r="B117" s="42" t="s">
        <v>164</v>
      </c>
      <c r="C117" s="43">
        <v>1.3027E-2</v>
      </c>
      <c r="D117" s="43">
        <v>1.5183E-2</v>
      </c>
      <c r="E117" s="43">
        <v>1.7817E-2</v>
      </c>
      <c r="F117" s="43">
        <v>1.9005000000000001E-2</v>
      </c>
      <c r="G117" s="43">
        <v>2.0483999999999999E-2</v>
      </c>
      <c r="H117" s="43">
        <v>2.1389999999999999E-2</v>
      </c>
      <c r="I117" s="43">
        <v>2.2734999999999998E-2</v>
      </c>
      <c r="J117" s="43">
        <v>2.3963000000000002E-2</v>
      </c>
      <c r="K117" s="43">
        <v>2.5274999999999999E-2</v>
      </c>
      <c r="L117" s="43">
        <v>2.6539E-2</v>
      </c>
      <c r="M117" s="43">
        <v>2.7795E-2</v>
      </c>
      <c r="N117" s="43">
        <v>2.8951000000000001E-2</v>
      </c>
      <c r="O117" s="43">
        <v>3.0151000000000001E-2</v>
      </c>
      <c r="P117" s="43">
        <v>3.1366999999999999E-2</v>
      </c>
      <c r="Q117" s="43">
        <v>3.2542000000000001E-2</v>
      </c>
      <c r="R117" s="43">
        <v>3.3729000000000002E-2</v>
      </c>
      <c r="S117" s="43">
        <v>3.4930999999999997E-2</v>
      </c>
      <c r="T117" s="43">
        <v>3.61E-2</v>
      </c>
      <c r="U117" s="43">
        <v>3.7217E-2</v>
      </c>
      <c r="V117" s="43">
        <v>3.8406000000000003E-2</v>
      </c>
      <c r="W117" s="43">
        <v>3.9655000000000003E-2</v>
      </c>
      <c r="X117" s="43">
        <v>4.0898999999999998E-2</v>
      </c>
      <c r="Y117" s="43">
        <v>4.2190999999999999E-2</v>
      </c>
      <c r="Z117" s="43">
        <v>4.3469000000000001E-2</v>
      </c>
      <c r="AA117" s="43">
        <v>4.4774000000000001E-2</v>
      </c>
      <c r="AB117" s="43">
        <v>4.6102999999999998E-2</v>
      </c>
      <c r="AC117" s="43">
        <v>4.7516000000000003E-2</v>
      </c>
      <c r="AD117" s="43">
        <v>4.8974999999999998E-2</v>
      </c>
      <c r="AE117" s="43">
        <v>5.0460999999999999E-2</v>
      </c>
      <c r="AF117" s="43">
        <v>5.1894000000000003E-2</v>
      </c>
      <c r="AG117" s="43">
        <v>5.3342000000000001E-2</v>
      </c>
      <c r="AH117" s="44">
        <v>4.8111000000000001E-2</v>
      </c>
    </row>
    <row r="118" spans="1:34" ht="36.75" x14ac:dyDescent="0.25">
      <c r="A118" s="38" t="s">
        <v>165</v>
      </c>
      <c r="B118" s="42" t="s">
        <v>166</v>
      </c>
      <c r="C118" s="43">
        <v>4.1875999999999997E-2</v>
      </c>
      <c r="D118" s="43">
        <v>4.5830999999999997E-2</v>
      </c>
      <c r="E118" s="43">
        <v>4.6117999999999999E-2</v>
      </c>
      <c r="F118" s="43">
        <v>4.5619E-2</v>
      </c>
      <c r="G118" s="43">
        <v>4.5566000000000002E-2</v>
      </c>
      <c r="H118" s="43">
        <v>4.4778999999999999E-2</v>
      </c>
      <c r="I118" s="43">
        <v>4.4589999999999998E-2</v>
      </c>
      <c r="J118" s="43">
        <v>4.4705000000000002E-2</v>
      </c>
      <c r="K118" s="43">
        <v>4.4933000000000001E-2</v>
      </c>
      <c r="L118" s="43">
        <v>4.5137999999999998E-2</v>
      </c>
      <c r="M118" s="43">
        <v>4.5601999999999997E-2</v>
      </c>
      <c r="N118" s="43">
        <v>4.5950999999999999E-2</v>
      </c>
      <c r="O118" s="43">
        <v>4.6161000000000001E-2</v>
      </c>
      <c r="P118" s="43">
        <v>4.6390000000000001E-2</v>
      </c>
      <c r="Q118" s="43">
        <v>4.6642999999999997E-2</v>
      </c>
      <c r="R118" s="43">
        <v>4.6836999999999997E-2</v>
      </c>
      <c r="S118" s="43">
        <v>4.7087999999999998E-2</v>
      </c>
      <c r="T118" s="43">
        <v>4.7438000000000001E-2</v>
      </c>
      <c r="U118" s="43">
        <v>4.7509999999999997E-2</v>
      </c>
      <c r="V118" s="43">
        <v>4.7744000000000002E-2</v>
      </c>
      <c r="W118" s="43">
        <v>4.7961999999999998E-2</v>
      </c>
      <c r="X118" s="43">
        <v>4.8198999999999999E-2</v>
      </c>
      <c r="Y118" s="43">
        <v>4.8433999999999998E-2</v>
      </c>
      <c r="Z118" s="43">
        <v>4.8627999999999998E-2</v>
      </c>
      <c r="AA118" s="43">
        <v>4.8779999999999997E-2</v>
      </c>
      <c r="AB118" s="43">
        <v>4.8828000000000003E-2</v>
      </c>
      <c r="AC118" s="43">
        <v>4.8940999999999998E-2</v>
      </c>
      <c r="AD118" s="43">
        <v>4.9234E-2</v>
      </c>
      <c r="AE118" s="43">
        <v>4.9318000000000001E-2</v>
      </c>
      <c r="AF118" s="43">
        <v>4.9361000000000002E-2</v>
      </c>
      <c r="AG118" s="43">
        <v>4.9486000000000002E-2</v>
      </c>
      <c r="AH118" s="44">
        <v>5.581E-3</v>
      </c>
    </row>
    <row r="119" spans="1:34" ht="36.75" x14ac:dyDescent="0.25">
      <c r="A119" s="38" t="s">
        <v>167</v>
      </c>
      <c r="B119" s="42" t="s">
        <v>168</v>
      </c>
      <c r="C119" s="43">
        <v>0.224748</v>
      </c>
      <c r="D119" s="43">
        <v>0.25952999999999998</v>
      </c>
      <c r="E119" s="43">
        <v>0.28950999999999999</v>
      </c>
      <c r="F119" s="43">
        <v>0.31522600000000001</v>
      </c>
      <c r="G119" s="43">
        <v>0.34195799999999998</v>
      </c>
      <c r="H119" s="43">
        <v>0.36465500000000001</v>
      </c>
      <c r="I119" s="43">
        <v>0.38978800000000002</v>
      </c>
      <c r="J119" s="43">
        <v>0.41790300000000002</v>
      </c>
      <c r="K119" s="43">
        <v>0.44681700000000002</v>
      </c>
      <c r="L119" s="43">
        <v>0.47486</v>
      </c>
      <c r="M119" s="43">
        <v>0.50702400000000003</v>
      </c>
      <c r="N119" s="43">
        <v>0.53750600000000004</v>
      </c>
      <c r="O119" s="43">
        <v>0.56687399999999999</v>
      </c>
      <c r="P119" s="43">
        <v>0.59701300000000002</v>
      </c>
      <c r="Q119" s="43">
        <v>0.62914899999999996</v>
      </c>
      <c r="R119" s="43">
        <v>0.66230100000000003</v>
      </c>
      <c r="S119" s="43">
        <v>0.69674899999999995</v>
      </c>
      <c r="T119" s="43">
        <v>0.73366699999999996</v>
      </c>
      <c r="U119" s="43">
        <v>0.76523300000000005</v>
      </c>
      <c r="V119" s="43">
        <v>0.80181400000000003</v>
      </c>
      <c r="W119" s="43">
        <v>0.838758</v>
      </c>
      <c r="X119" s="43">
        <v>0.87630799999999998</v>
      </c>
      <c r="Y119" s="43">
        <v>0.91482699999999995</v>
      </c>
      <c r="Z119" s="43">
        <v>0.95336900000000002</v>
      </c>
      <c r="AA119" s="43">
        <v>0.99279799999999996</v>
      </c>
      <c r="AB119" s="43">
        <v>1.0310410000000001</v>
      </c>
      <c r="AC119" s="43">
        <v>1.0708819999999999</v>
      </c>
      <c r="AD119" s="43">
        <v>1.114576</v>
      </c>
      <c r="AE119" s="43">
        <v>1.1559360000000001</v>
      </c>
      <c r="AF119" s="43">
        <v>1.196906</v>
      </c>
      <c r="AG119" s="43">
        <v>1.241698</v>
      </c>
      <c r="AH119" s="44">
        <v>5.8630000000000002E-2</v>
      </c>
    </row>
    <row r="120" spans="1:34" x14ac:dyDescent="0.25">
      <c r="A120" s="38" t="s">
        <v>169</v>
      </c>
      <c r="B120" s="42" t="s">
        <v>170</v>
      </c>
      <c r="C120" s="43">
        <v>1.7200000000000001E-4</v>
      </c>
      <c r="D120" s="43">
        <v>1.74E-4</v>
      </c>
      <c r="E120" s="43">
        <v>1.73E-4</v>
      </c>
      <c r="F120" s="43">
        <v>1.7100000000000001E-4</v>
      </c>
      <c r="G120" s="43">
        <v>1.7000000000000001E-4</v>
      </c>
      <c r="H120" s="43">
        <v>1.65E-4</v>
      </c>
      <c r="I120" s="43">
        <v>1.64E-4</v>
      </c>
      <c r="J120" s="43">
        <v>1.63E-4</v>
      </c>
      <c r="K120" s="43">
        <v>1.63E-4</v>
      </c>
      <c r="L120" s="43">
        <v>1.6200000000000001E-4</v>
      </c>
      <c r="M120" s="43">
        <v>1.6200000000000001E-4</v>
      </c>
      <c r="N120" s="43">
        <v>1.6200000000000001E-4</v>
      </c>
      <c r="O120" s="43">
        <v>1.6200000000000001E-4</v>
      </c>
      <c r="P120" s="43">
        <v>1.6100000000000001E-4</v>
      </c>
      <c r="Q120" s="43">
        <v>1.6100000000000001E-4</v>
      </c>
      <c r="R120" s="43">
        <v>1.6100000000000001E-4</v>
      </c>
      <c r="S120" s="43">
        <v>1.6100000000000001E-4</v>
      </c>
      <c r="T120" s="43">
        <v>1.6100000000000001E-4</v>
      </c>
      <c r="U120" s="43">
        <v>1.6000000000000001E-4</v>
      </c>
      <c r="V120" s="43">
        <v>1.6100000000000001E-4</v>
      </c>
      <c r="W120" s="43">
        <v>1.6200000000000001E-4</v>
      </c>
      <c r="X120" s="43">
        <v>1.63E-4</v>
      </c>
      <c r="Y120" s="43">
        <v>1.65E-4</v>
      </c>
      <c r="Z120" s="43">
        <v>1.6699999999999999E-4</v>
      </c>
      <c r="AA120" s="43">
        <v>1.6899999999999999E-4</v>
      </c>
      <c r="AB120" s="43">
        <v>1.7000000000000001E-4</v>
      </c>
      <c r="AC120" s="43">
        <v>1.7200000000000001E-4</v>
      </c>
      <c r="AD120" s="43">
        <v>1.74E-4</v>
      </c>
      <c r="AE120" s="43">
        <v>1.76E-4</v>
      </c>
      <c r="AF120" s="43">
        <v>1.7799999999999999E-4</v>
      </c>
      <c r="AG120" s="43">
        <v>1.8000000000000001E-4</v>
      </c>
      <c r="AH120" s="44">
        <v>1.374E-3</v>
      </c>
    </row>
    <row r="121" spans="1:34" x14ac:dyDescent="0.25">
      <c r="A121" s="38" t="s">
        <v>171</v>
      </c>
      <c r="B121" s="41" t="s">
        <v>172</v>
      </c>
      <c r="C121" s="45">
        <v>0.27982400000000002</v>
      </c>
      <c r="D121" s="45">
        <v>0.32071699999999997</v>
      </c>
      <c r="E121" s="45">
        <v>0.35361799999999999</v>
      </c>
      <c r="F121" s="45">
        <v>0.38002000000000002</v>
      </c>
      <c r="G121" s="45">
        <v>0.40817700000000001</v>
      </c>
      <c r="H121" s="45">
        <v>0.43098999999999998</v>
      </c>
      <c r="I121" s="45">
        <v>0.45727699999999999</v>
      </c>
      <c r="J121" s="45">
        <v>0.486734</v>
      </c>
      <c r="K121" s="45">
        <v>0.51718900000000001</v>
      </c>
      <c r="L121" s="45">
        <v>0.54669900000000005</v>
      </c>
      <c r="M121" s="45">
        <v>0.58058299999999996</v>
      </c>
      <c r="N121" s="45">
        <v>0.61256999999999995</v>
      </c>
      <c r="O121" s="45">
        <v>0.64334800000000003</v>
      </c>
      <c r="P121" s="45">
        <v>0.67493199999999998</v>
      </c>
      <c r="Q121" s="45">
        <v>0.70849499999999999</v>
      </c>
      <c r="R121" s="45">
        <v>0.74302800000000002</v>
      </c>
      <c r="S121" s="45">
        <v>0.77892899999999998</v>
      </c>
      <c r="T121" s="45">
        <v>0.81736699999999995</v>
      </c>
      <c r="U121" s="45">
        <v>0.85011999999999999</v>
      </c>
      <c r="V121" s="45">
        <v>0.88812500000000005</v>
      </c>
      <c r="W121" s="45">
        <v>0.92653700000000005</v>
      </c>
      <c r="X121" s="45">
        <v>0.96557000000000004</v>
      </c>
      <c r="Y121" s="45">
        <v>1.005617</v>
      </c>
      <c r="Z121" s="45">
        <v>1.045633</v>
      </c>
      <c r="AA121" s="45">
        <v>1.0865199999999999</v>
      </c>
      <c r="AB121" s="45">
        <v>1.126142</v>
      </c>
      <c r="AC121" s="45">
        <v>1.167511</v>
      </c>
      <c r="AD121" s="45">
        <v>1.21296</v>
      </c>
      <c r="AE121" s="45">
        <v>1.2558910000000001</v>
      </c>
      <c r="AF121" s="45">
        <v>1.2983389999999999</v>
      </c>
      <c r="AG121" s="45">
        <v>1.344705</v>
      </c>
      <c r="AH121" s="46">
        <v>5.3719000000000003E-2</v>
      </c>
    </row>
    <row r="123" spans="1:34" ht="36.75" x14ac:dyDescent="0.25">
      <c r="A123" s="35"/>
      <c r="B123" s="41" t="s">
        <v>6</v>
      </c>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c r="AF123" s="35"/>
      <c r="AG123" s="35"/>
      <c r="AH123" s="35"/>
    </row>
    <row r="124" spans="1:34" ht="24.75" x14ac:dyDescent="0.25">
      <c r="A124" s="38" t="s">
        <v>173</v>
      </c>
      <c r="B124" s="42" t="s">
        <v>174</v>
      </c>
      <c r="C124" s="47">
        <v>5958</v>
      </c>
      <c r="D124" s="47">
        <v>6244</v>
      </c>
      <c r="E124" s="47">
        <v>6198</v>
      </c>
      <c r="F124" s="47">
        <v>6187</v>
      </c>
      <c r="G124" s="47">
        <v>6176</v>
      </c>
      <c r="H124" s="47">
        <v>6165</v>
      </c>
      <c r="I124" s="47">
        <v>6153</v>
      </c>
      <c r="J124" s="47">
        <v>6142</v>
      </c>
      <c r="K124" s="47">
        <v>6130</v>
      </c>
      <c r="L124" s="47">
        <v>6118</v>
      </c>
      <c r="M124" s="47">
        <v>6107</v>
      </c>
      <c r="N124" s="47">
        <v>6095</v>
      </c>
      <c r="O124" s="47">
        <v>6083</v>
      </c>
      <c r="P124" s="47">
        <v>6071</v>
      </c>
      <c r="Q124" s="47">
        <v>6059</v>
      </c>
      <c r="R124" s="47">
        <v>6048</v>
      </c>
      <c r="S124" s="47">
        <v>6036</v>
      </c>
      <c r="T124" s="47">
        <v>6024</v>
      </c>
      <c r="U124" s="47">
        <v>6012</v>
      </c>
      <c r="V124" s="47">
        <v>6000</v>
      </c>
      <c r="W124" s="47">
        <v>5988</v>
      </c>
      <c r="X124" s="47">
        <v>5976</v>
      </c>
      <c r="Y124" s="47">
        <v>5964</v>
      </c>
      <c r="Z124" s="47">
        <v>5952</v>
      </c>
      <c r="AA124" s="47">
        <v>5940</v>
      </c>
      <c r="AB124" s="47">
        <v>5929</v>
      </c>
      <c r="AC124" s="47">
        <v>5917</v>
      </c>
      <c r="AD124" s="47">
        <v>5905</v>
      </c>
      <c r="AE124" s="47">
        <v>5893</v>
      </c>
      <c r="AF124" s="47">
        <v>5881</v>
      </c>
      <c r="AG124" s="47">
        <v>5869</v>
      </c>
      <c r="AH124" s="44">
        <v>-5.0199999999999995E-4</v>
      </c>
    </row>
    <row r="125" spans="1:34" ht="24.75" x14ac:dyDescent="0.25">
      <c r="A125" s="38" t="s">
        <v>175</v>
      </c>
      <c r="B125" s="42" t="s">
        <v>176</v>
      </c>
      <c r="C125" s="47">
        <v>5371</v>
      </c>
      <c r="D125" s="47">
        <v>5595</v>
      </c>
      <c r="E125" s="47">
        <v>5569</v>
      </c>
      <c r="F125" s="47">
        <v>5558</v>
      </c>
      <c r="G125" s="47">
        <v>5548</v>
      </c>
      <c r="H125" s="47">
        <v>5538</v>
      </c>
      <c r="I125" s="47">
        <v>5528</v>
      </c>
      <c r="J125" s="47">
        <v>5517</v>
      </c>
      <c r="K125" s="47">
        <v>5507</v>
      </c>
      <c r="L125" s="47">
        <v>5497</v>
      </c>
      <c r="M125" s="47">
        <v>5487</v>
      </c>
      <c r="N125" s="47">
        <v>5477</v>
      </c>
      <c r="O125" s="47">
        <v>5467</v>
      </c>
      <c r="P125" s="47">
        <v>5457</v>
      </c>
      <c r="Q125" s="47">
        <v>5446</v>
      </c>
      <c r="R125" s="47">
        <v>5436</v>
      </c>
      <c r="S125" s="47">
        <v>5426</v>
      </c>
      <c r="T125" s="47">
        <v>5416</v>
      </c>
      <c r="U125" s="47">
        <v>5406</v>
      </c>
      <c r="V125" s="47">
        <v>5396</v>
      </c>
      <c r="W125" s="47">
        <v>5386</v>
      </c>
      <c r="X125" s="47">
        <v>5376</v>
      </c>
      <c r="Y125" s="47">
        <v>5366</v>
      </c>
      <c r="Z125" s="47">
        <v>5355</v>
      </c>
      <c r="AA125" s="47">
        <v>5345</v>
      </c>
      <c r="AB125" s="47">
        <v>5335</v>
      </c>
      <c r="AC125" s="47">
        <v>5325</v>
      </c>
      <c r="AD125" s="47">
        <v>5315</v>
      </c>
      <c r="AE125" s="47">
        <v>5305</v>
      </c>
      <c r="AF125" s="47">
        <v>5295</v>
      </c>
      <c r="AG125" s="47">
        <v>5285</v>
      </c>
      <c r="AH125" s="44">
        <v>-5.3799999999999996E-4</v>
      </c>
    </row>
    <row r="126" spans="1:34" ht="36.75" x14ac:dyDescent="0.25">
      <c r="A126" s="38" t="s">
        <v>177</v>
      </c>
      <c r="B126" s="42" t="s">
        <v>178</v>
      </c>
      <c r="C126" s="47">
        <v>6000</v>
      </c>
      <c r="D126" s="47">
        <v>6217</v>
      </c>
      <c r="E126" s="47">
        <v>6172</v>
      </c>
      <c r="F126" s="47">
        <v>6167</v>
      </c>
      <c r="G126" s="47">
        <v>6163</v>
      </c>
      <c r="H126" s="47">
        <v>6159</v>
      </c>
      <c r="I126" s="47">
        <v>6155</v>
      </c>
      <c r="J126" s="47">
        <v>6151</v>
      </c>
      <c r="K126" s="47">
        <v>6147</v>
      </c>
      <c r="L126" s="47">
        <v>6143</v>
      </c>
      <c r="M126" s="47">
        <v>6138</v>
      </c>
      <c r="N126" s="47">
        <v>6134</v>
      </c>
      <c r="O126" s="47">
        <v>6130</v>
      </c>
      <c r="P126" s="47">
        <v>6126</v>
      </c>
      <c r="Q126" s="47">
        <v>6122</v>
      </c>
      <c r="R126" s="47">
        <v>6118</v>
      </c>
      <c r="S126" s="47">
        <v>6114</v>
      </c>
      <c r="T126" s="47">
        <v>6109</v>
      </c>
      <c r="U126" s="47">
        <v>6105</v>
      </c>
      <c r="V126" s="47">
        <v>6101</v>
      </c>
      <c r="W126" s="47">
        <v>6097</v>
      </c>
      <c r="X126" s="47">
        <v>6093</v>
      </c>
      <c r="Y126" s="47">
        <v>6089</v>
      </c>
      <c r="Z126" s="47">
        <v>6084</v>
      </c>
      <c r="AA126" s="47">
        <v>6080</v>
      </c>
      <c r="AB126" s="47">
        <v>6076</v>
      </c>
      <c r="AC126" s="47">
        <v>6072</v>
      </c>
      <c r="AD126" s="47">
        <v>6068</v>
      </c>
      <c r="AE126" s="47">
        <v>6064</v>
      </c>
      <c r="AF126" s="47">
        <v>6059</v>
      </c>
      <c r="AG126" s="47">
        <v>6055</v>
      </c>
      <c r="AH126" s="44">
        <v>3.0400000000000002E-4</v>
      </c>
    </row>
    <row r="127" spans="1:34" ht="36.75" x14ac:dyDescent="0.25">
      <c r="A127" s="38" t="s">
        <v>179</v>
      </c>
      <c r="B127" s="42" t="s">
        <v>180</v>
      </c>
      <c r="C127" s="47">
        <v>6410</v>
      </c>
      <c r="D127" s="47">
        <v>6529</v>
      </c>
      <c r="E127" s="47">
        <v>6490</v>
      </c>
      <c r="F127" s="47">
        <v>6489</v>
      </c>
      <c r="G127" s="47">
        <v>6487</v>
      </c>
      <c r="H127" s="47">
        <v>6485</v>
      </c>
      <c r="I127" s="47">
        <v>6483</v>
      </c>
      <c r="J127" s="47">
        <v>6481</v>
      </c>
      <c r="K127" s="47">
        <v>6479</v>
      </c>
      <c r="L127" s="47">
        <v>6477</v>
      </c>
      <c r="M127" s="47">
        <v>6474</v>
      </c>
      <c r="N127" s="47">
        <v>6472</v>
      </c>
      <c r="O127" s="47">
        <v>6470</v>
      </c>
      <c r="P127" s="47">
        <v>6467</v>
      </c>
      <c r="Q127" s="47">
        <v>6465</v>
      </c>
      <c r="R127" s="47">
        <v>6462</v>
      </c>
      <c r="S127" s="47">
        <v>6459</v>
      </c>
      <c r="T127" s="47">
        <v>6457</v>
      </c>
      <c r="U127" s="47">
        <v>6454</v>
      </c>
      <c r="V127" s="47">
        <v>6451</v>
      </c>
      <c r="W127" s="47">
        <v>6449</v>
      </c>
      <c r="X127" s="47">
        <v>6446</v>
      </c>
      <c r="Y127" s="47">
        <v>6443</v>
      </c>
      <c r="Z127" s="47">
        <v>6440</v>
      </c>
      <c r="AA127" s="47">
        <v>6437</v>
      </c>
      <c r="AB127" s="47">
        <v>6434</v>
      </c>
      <c r="AC127" s="47">
        <v>6431</v>
      </c>
      <c r="AD127" s="47">
        <v>6428</v>
      </c>
      <c r="AE127" s="47">
        <v>6426</v>
      </c>
      <c r="AF127" s="47">
        <v>6423</v>
      </c>
      <c r="AG127" s="47">
        <v>6420</v>
      </c>
      <c r="AH127" s="44">
        <v>5.1999999999999997E-5</v>
      </c>
    </row>
    <row r="128" spans="1:34" ht="24.75" x14ac:dyDescent="0.25">
      <c r="A128" s="38" t="s">
        <v>181</v>
      </c>
      <c r="B128" s="42" t="s">
        <v>182</v>
      </c>
      <c r="C128" s="47">
        <v>2335</v>
      </c>
      <c r="D128" s="47">
        <v>2486</v>
      </c>
      <c r="E128" s="47">
        <v>2520</v>
      </c>
      <c r="F128" s="47">
        <v>2511</v>
      </c>
      <c r="G128" s="47">
        <v>2503</v>
      </c>
      <c r="H128" s="47">
        <v>2495</v>
      </c>
      <c r="I128" s="47">
        <v>2487</v>
      </c>
      <c r="J128" s="47">
        <v>2479</v>
      </c>
      <c r="K128" s="47">
        <v>2471</v>
      </c>
      <c r="L128" s="47">
        <v>2463</v>
      </c>
      <c r="M128" s="47">
        <v>2455</v>
      </c>
      <c r="N128" s="47">
        <v>2448</v>
      </c>
      <c r="O128" s="47">
        <v>2440</v>
      </c>
      <c r="P128" s="47">
        <v>2432</v>
      </c>
      <c r="Q128" s="47">
        <v>2424</v>
      </c>
      <c r="R128" s="47">
        <v>2417</v>
      </c>
      <c r="S128" s="47">
        <v>2409</v>
      </c>
      <c r="T128" s="47">
        <v>2401</v>
      </c>
      <c r="U128" s="47">
        <v>2393</v>
      </c>
      <c r="V128" s="47">
        <v>2385</v>
      </c>
      <c r="W128" s="47">
        <v>2378</v>
      </c>
      <c r="X128" s="47">
        <v>2370</v>
      </c>
      <c r="Y128" s="47">
        <v>2362</v>
      </c>
      <c r="Z128" s="47">
        <v>2355</v>
      </c>
      <c r="AA128" s="47">
        <v>2347</v>
      </c>
      <c r="AB128" s="47">
        <v>2339</v>
      </c>
      <c r="AC128" s="47">
        <v>2332</v>
      </c>
      <c r="AD128" s="47">
        <v>2324</v>
      </c>
      <c r="AE128" s="47">
        <v>2316</v>
      </c>
      <c r="AF128" s="47">
        <v>2309</v>
      </c>
      <c r="AG128" s="47">
        <v>2301</v>
      </c>
      <c r="AH128" s="44">
        <v>-4.8899999999999996E-4</v>
      </c>
    </row>
    <row r="129" spans="1:34" ht="36.75" x14ac:dyDescent="0.25">
      <c r="A129" s="38" t="s">
        <v>183</v>
      </c>
      <c r="B129" s="42" t="s">
        <v>184</v>
      </c>
      <c r="C129" s="47">
        <v>3119</v>
      </c>
      <c r="D129" s="47">
        <v>3304</v>
      </c>
      <c r="E129" s="47">
        <v>3319</v>
      </c>
      <c r="F129" s="47">
        <v>3314</v>
      </c>
      <c r="G129" s="47">
        <v>3310</v>
      </c>
      <c r="H129" s="47">
        <v>3306</v>
      </c>
      <c r="I129" s="47">
        <v>3302</v>
      </c>
      <c r="J129" s="47">
        <v>3297</v>
      </c>
      <c r="K129" s="47">
        <v>3293</v>
      </c>
      <c r="L129" s="47">
        <v>3288</v>
      </c>
      <c r="M129" s="47">
        <v>3284</v>
      </c>
      <c r="N129" s="47">
        <v>3280</v>
      </c>
      <c r="O129" s="47">
        <v>3275</v>
      </c>
      <c r="P129" s="47">
        <v>3271</v>
      </c>
      <c r="Q129" s="47">
        <v>3266</v>
      </c>
      <c r="R129" s="47">
        <v>3262</v>
      </c>
      <c r="S129" s="47">
        <v>3257</v>
      </c>
      <c r="T129" s="47">
        <v>3252</v>
      </c>
      <c r="U129" s="47">
        <v>3248</v>
      </c>
      <c r="V129" s="47">
        <v>3243</v>
      </c>
      <c r="W129" s="47">
        <v>3238</v>
      </c>
      <c r="X129" s="47">
        <v>3234</v>
      </c>
      <c r="Y129" s="47">
        <v>3229</v>
      </c>
      <c r="Z129" s="47">
        <v>3224</v>
      </c>
      <c r="AA129" s="47">
        <v>3220</v>
      </c>
      <c r="AB129" s="47">
        <v>3215</v>
      </c>
      <c r="AC129" s="47">
        <v>3210</v>
      </c>
      <c r="AD129" s="47">
        <v>3206</v>
      </c>
      <c r="AE129" s="47">
        <v>3201</v>
      </c>
      <c r="AF129" s="47">
        <v>3196</v>
      </c>
      <c r="AG129" s="47">
        <v>3191</v>
      </c>
      <c r="AH129" s="44">
        <v>7.6099999999999996E-4</v>
      </c>
    </row>
    <row r="130" spans="1:34" ht="36.75" x14ac:dyDescent="0.25">
      <c r="A130" s="38" t="s">
        <v>185</v>
      </c>
      <c r="B130" s="42" t="s">
        <v>186</v>
      </c>
      <c r="C130" s="47">
        <v>1829</v>
      </c>
      <c r="D130" s="47">
        <v>1910</v>
      </c>
      <c r="E130" s="47">
        <v>2015</v>
      </c>
      <c r="F130" s="47">
        <v>2009</v>
      </c>
      <c r="G130" s="47">
        <v>2004</v>
      </c>
      <c r="H130" s="47">
        <v>1999</v>
      </c>
      <c r="I130" s="47">
        <v>1994</v>
      </c>
      <c r="J130" s="47">
        <v>1988</v>
      </c>
      <c r="K130" s="47">
        <v>1983</v>
      </c>
      <c r="L130" s="47">
        <v>1978</v>
      </c>
      <c r="M130" s="47">
        <v>1973</v>
      </c>
      <c r="N130" s="47">
        <v>1967</v>
      </c>
      <c r="O130" s="47">
        <v>1962</v>
      </c>
      <c r="P130" s="47">
        <v>1957</v>
      </c>
      <c r="Q130" s="47">
        <v>1952</v>
      </c>
      <c r="R130" s="47">
        <v>1947</v>
      </c>
      <c r="S130" s="47">
        <v>1942</v>
      </c>
      <c r="T130" s="47">
        <v>1937</v>
      </c>
      <c r="U130" s="47">
        <v>1932</v>
      </c>
      <c r="V130" s="47">
        <v>1927</v>
      </c>
      <c r="W130" s="47">
        <v>1922</v>
      </c>
      <c r="X130" s="47">
        <v>1917</v>
      </c>
      <c r="Y130" s="47">
        <v>1912</v>
      </c>
      <c r="Z130" s="47">
        <v>1907</v>
      </c>
      <c r="AA130" s="47">
        <v>1902</v>
      </c>
      <c r="AB130" s="47">
        <v>1897</v>
      </c>
      <c r="AC130" s="47">
        <v>1892</v>
      </c>
      <c r="AD130" s="47">
        <v>1887</v>
      </c>
      <c r="AE130" s="47">
        <v>1882</v>
      </c>
      <c r="AF130" s="47">
        <v>1877</v>
      </c>
      <c r="AG130" s="47">
        <v>1873</v>
      </c>
      <c r="AH130" s="44">
        <v>7.9299999999999998E-4</v>
      </c>
    </row>
    <row r="131" spans="1:34" ht="24.75" x14ac:dyDescent="0.25">
      <c r="A131" s="38" t="s">
        <v>187</v>
      </c>
      <c r="B131" s="42" t="s">
        <v>188</v>
      </c>
      <c r="C131" s="47">
        <v>4810</v>
      </c>
      <c r="D131" s="47">
        <v>4802</v>
      </c>
      <c r="E131" s="47">
        <v>4793</v>
      </c>
      <c r="F131" s="47">
        <v>4780</v>
      </c>
      <c r="G131" s="47">
        <v>4768</v>
      </c>
      <c r="H131" s="47">
        <v>4755</v>
      </c>
      <c r="I131" s="47">
        <v>4742</v>
      </c>
      <c r="J131" s="47">
        <v>4730</v>
      </c>
      <c r="K131" s="47">
        <v>4717</v>
      </c>
      <c r="L131" s="47">
        <v>4704</v>
      </c>
      <c r="M131" s="47">
        <v>4691</v>
      </c>
      <c r="N131" s="47">
        <v>4678</v>
      </c>
      <c r="O131" s="47">
        <v>4664</v>
      </c>
      <c r="P131" s="47">
        <v>4651</v>
      </c>
      <c r="Q131" s="47">
        <v>4638</v>
      </c>
      <c r="R131" s="47">
        <v>4624</v>
      </c>
      <c r="S131" s="47">
        <v>4611</v>
      </c>
      <c r="T131" s="47">
        <v>4597</v>
      </c>
      <c r="U131" s="47">
        <v>4584</v>
      </c>
      <c r="V131" s="47">
        <v>4570</v>
      </c>
      <c r="W131" s="47">
        <v>4557</v>
      </c>
      <c r="X131" s="47">
        <v>4543</v>
      </c>
      <c r="Y131" s="47">
        <v>4530</v>
      </c>
      <c r="Z131" s="47">
        <v>4517</v>
      </c>
      <c r="AA131" s="47">
        <v>4503</v>
      </c>
      <c r="AB131" s="47">
        <v>4490</v>
      </c>
      <c r="AC131" s="47">
        <v>4476</v>
      </c>
      <c r="AD131" s="47">
        <v>4463</v>
      </c>
      <c r="AE131" s="47">
        <v>4450</v>
      </c>
      <c r="AF131" s="47">
        <v>4436</v>
      </c>
      <c r="AG131" s="47">
        <v>4423</v>
      </c>
      <c r="AH131" s="44">
        <v>-2.7920000000000002E-3</v>
      </c>
    </row>
    <row r="132" spans="1:34" x14ac:dyDescent="0.25">
      <c r="A132" s="38" t="s">
        <v>189</v>
      </c>
      <c r="B132" s="42" t="s">
        <v>190</v>
      </c>
      <c r="C132" s="47">
        <v>3335</v>
      </c>
      <c r="D132" s="47">
        <v>3363</v>
      </c>
      <c r="E132" s="47">
        <v>3253</v>
      </c>
      <c r="F132" s="47">
        <v>3243</v>
      </c>
      <c r="G132" s="47">
        <v>3232</v>
      </c>
      <c r="H132" s="47">
        <v>3222</v>
      </c>
      <c r="I132" s="47">
        <v>3212</v>
      </c>
      <c r="J132" s="47">
        <v>3201</v>
      </c>
      <c r="K132" s="47">
        <v>3191</v>
      </c>
      <c r="L132" s="47">
        <v>3180</v>
      </c>
      <c r="M132" s="47">
        <v>3169</v>
      </c>
      <c r="N132" s="47">
        <v>3159</v>
      </c>
      <c r="O132" s="47">
        <v>3148</v>
      </c>
      <c r="P132" s="47">
        <v>3137</v>
      </c>
      <c r="Q132" s="47">
        <v>3126</v>
      </c>
      <c r="R132" s="47">
        <v>3116</v>
      </c>
      <c r="S132" s="47">
        <v>3105</v>
      </c>
      <c r="T132" s="47">
        <v>3094</v>
      </c>
      <c r="U132" s="47">
        <v>3083</v>
      </c>
      <c r="V132" s="47">
        <v>3072</v>
      </c>
      <c r="W132" s="47">
        <v>3061</v>
      </c>
      <c r="X132" s="47">
        <v>3050</v>
      </c>
      <c r="Y132" s="47">
        <v>3039</v>
      </c>
      <c r="Z132" s="47">
        <v>3028</v>
      </c>
      <c r="AA132" s="47">
        <v>3017</v>
      </c>
      <c r="AB132" s="47">
        <v>3005</v>
      </c>
      <c r="AC132" s="47">
        <v>2994</v>
      </c>
      <c r="AD132" s="47">
        <v>2983</v>
      </c>
      <c r="AE132" s="47">
        <v>2972</v>
      </c>
      <c r="AF132" s="47">
        <v>2961</v>
      </c>
      <c r="AG132" s="47">
        <v>2950</v>
      </c>
      <c r="AH132" s="44">
        <v>-4.0810000000000004E-3</v>
      </c>
    </row>
    <row r="133" spans="1:34" ht="24.75" x14ac:dyDescent="0.25">
      <c r="A133" s="38" t="s">
        <v>191</v>
      </c>
      <c r="B133" s="41" t="s">
        <v>192</v>
      </c>
      <c r="C133" s="49">
        <v>3994.5471189999998</v>
      </c>
      <c r="D133" s="49">
        <v>4123.486328</v>
      </c>
      <c r="E133" s="49">
        <v>4106.1538090000004</v>
      </c>
      <c r="F133" s="49">
        <v>4092.9008789999998</v>
      </c>
      <c r="G133" s="49">
        <v>4080.1918949999999</v>
      </c>
      <c r="H133" s="49">
        <v>4067.608154</v>
      </c>
      <c r="I133" s="49">
        <v>4055.0151369999999</v>
      </c>
      <c r="J133" s="49">
        <v>4042.108643</v>
      </c>
      <c r="K133" s="49">
        <v>4029.5825199999999</v>
      </c>
      <c r="L133" s="49">
        <v>4016.8515619999998</v>
      </c>
      <c r="M133" s="49">
        <v>4004.033203</v>
      </c>
      <c r="N133" s="49">
        <v>3991.616211</v>
      </c>
      <c r="O133" s="49">
        <v>3978.8229980000001</v>
      </c>
      <c r="P133" s="49">
        <v>3966.1135250000002</v>
      </c>
      <c r="Q133" s="49">
        <v>3953.3046880000002</v>
      </c>
      <c r="R133" s="49">
        <v>3940.9418949999999</v>
      </c>
      <c r="S133" s="49">
        <v>3928.1752929999998</v>
      </c>
      <c r="T133" s="49">
        <v>3915.2416990000002</v>
      </c>
      <c r="U133" s="49">
        <v>3902.5</v>
      </c>
      <c r="V133" s="49">
        <v>3889.59375</v>
      </c>
      <c r="W133" s="49">
        <v>3877.0180660000001</v>
      </c>
      <c r="X133" s="49">
        <v>3864.1130370000001</v>
      </c>
      <c r="Y133" s="49">
        <v>3851.210693</v>
      </c>
      <c r="Z133" s="49">
        <v>3838.2595209999999</v>
      </c>
      <c r="AA133" s="49">
        <v>3825.2751459999999</v>
      </c>
      <c r="AB133" s="49">
        <v>3812.1760250000002</v>
      </c>
      <c r="AC133" s="49">
        <v>3799.3579100000002</v>
      </c>
      <c r="AD133" s="49">
        <v>3786.5341800000001</v>
      </c>
      <c r="AE133" s="49">
        <v>3773.8266600000002</v>
      </c>
      <c r="AF133" s="49">
        <v>3761.2253420000002</v>
      </c>
      <c r="AG133" s="49">
        <v>3748.8479000000002</v>
      </c>
      <c r="AH133" s="46">
        <v>-2.114E-3</v>
      </c>
    </row>
    <row r="135" spans="1:34" ht="36.75" x14ac:dyDescent="0.25">
      <c r="A135" s="35"/>
      <c r="B135" s="41" t="s">
        <v>7</v>
      </c>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c r="AF135" s="35"/>
      <c r="AG135" s="35"/>
      <c r="AH135" s="35"/>
    </row>
    <row r="136" spans="1:34" ht="24.75" x14ac:dyDescent="0.25">
      <c r="A136" s="38" t="s">
        <v>193</v>
      </c>
      <c r="B136" s="42" t="s">
        <v>174</v>
      </c>
      <c r="C136" s="47">
        <v>652</v>
      </c>
      <c r="D136" s="47">
        <v>505</v>
      </c>
      <c r="E136" s="47">
        <v>579</v>
      </c>
      <c r="F136" s="47">
        <v>584</v>
      </c>
      <c r="G136" s="47">
        <v>590</v>
      </c>
      <c r="H136" s="47">
        <v>596</v>
      </c>
      <c r="I136" s="47">
        <v>602</v>
      </c>
      <c r="J136" s="47">
        <v>608</v>
      </c>
      <c r="K136" s="47">
        <v>614</v>
      </c>
      <c r="L136" s="47">
        <v>620</v>
      </c>
      <c r="M136" s="47">
        <v>626</v>
      </c>
      <c r="N136" s="47">
        <v>632</v>
      </c>
      <c r="O136" s="47">
        <v>638</v>
      </c>
      <c r="P136" s="47">
        <v>644</v>
      </c>
      <c r="Q136" s="47">
        <v>650</v>
      </c>
      <c r="R136" s="47">
        <v>656</v>
      </c>
      <c r="S136" s="47">
        <v>662</v>
      </c>
      <c r="T136" s="47">
        <v>668</v>
      </c>
      <c r="U136" s="47">
        <v>674</v>
      </c>
      <c r="V136" s="47">
        <v>680</v>
      </c>
      <c r="W136" s="47">
        <v>686</v>
      </c>
      <c r="X136" s="47">
        <v>692</v>
      </c>
      <c r="Y136" s="47">
        <v>698</v>
      </c>
      <c r="Z136" s="47">
        <v>704</v>
      </c>
      <c r="AA136" s="47">
        <v>710</v>
      </c>
      <c r="AB136" s="47">
        <v>716</v>
      </c>
      <c r="AC136" s="47">
        <v>723</v>
      </c>
      <c r="AD136" s="47">
        <v>729</v>
      </c>
      <c r="AE136" s="47">
        <v>735</v>
      </c>
      <c r="AF136" s="47">
        <v>741</v>
      </c>
      <c r="AG136" s="47">
        <v>747</v>
      </c>
      <c r="AH136" s="44">
        <v>4.5440000000000003E-3</v>
      </c>
    </row>
    <row r="137" spans="1:34" ht="24.75" x14ac:dyDescent="0.25">
      <c r="A137" s="38" t="s">
        <v>194</v>
      </c>
      <c r="B137" s="42" t="s">
        <v>176</v>
      </c>
      <c r="C137" s="47">
        <v>840</v>
      </c>
      <c r="D137" s="47">
        <v>706</v>
      </c>
      <c r="E137" s="47">
        <v>826</v>
      </c>
      <c r="F137" s="47">
        <v>834</v>
      </c>
      <c r="G137" s="47">
        <v>842</v>
      </c>
      <c r="H137" s="47">
        <v>850</v>
      </c>
      <c r="I137" s="47">
        <v>858</v>
      </c>
      <c r="J137" s="47">
        <v>867</v>
      </c>
      <c r="K137" s="47">
        <v>875</v>
      </c>
      <c r="L137" s="47">
        <v>883</v>
      </c>
      <c r="M137" s="47">
        <v>891</v>
      </c>
      <c r="N137" s="47">
        <v>899</v>
      </c>
      <c r="O137" s="47">
        <v>907</v>
      </c>
      <c r="P137" s="47">
        <v>916</v>
      </c>
      <c r="Q137" s="47">
        <v>924</v>
      </c>
      <c r="R137" s="47">
        <v>932</v>
      </c>
      <c r="S137" s="47">
        <v>940</v>
      </c>
      <c r="T137" s="47">
        <v>948</v>
      </c>
      <c r="U137" s="47">
        <v>956</v>
      </c>
      <c r="V137" s="47">
        <v>965</v>
      </c>
      <c r="W137" s="47">
        <v>973</v>
      </c>
      <c r="X137" s="47">
        <v>981</v>
      </c>
      <c r="Y137" s="47">
        <v>989</v>
      </c>
      <c r="Z137" s="47">
        <v>997</v>
      </c>
      <c r="AA137" s="47">
        <v>1005</v>
      </c>
      <c r="AB137" s="47">
        <v>1014</v>
      </c>
      <c r="AC137" s="47">
        <v>1022</v>
      </c>
      <c r="AD137" s="47">
        <v>1030</v>
      </c>
      <c r="AE137" s="47">
        <v>1038</v>
      </c>
      <c r="AF137" s="47">
        <v>1046</v>
      </c>
      <c r="AG137" s="47">
        <v>1054</v>
      </c>
      <c r="AH137" s="44">
        <v>7.5940000000000001E-3</v>
      </c>
    </row>
    <row r="138" spans="1:34" ht="36.75" x14ac:dyDescent="0.25">
      <c r="A138" s="38" t="s">
        <v>195</v>
      </c>
      <c r="B138" s="42" t="s">
        <v>178</v>
      </c>
      <c r="C138" s="47">
        <v>831</v>
      </c>
      <c r="D138" s="47">
        <v>767</v>
      </c>
      <c r="E138" s="47">
        <v>857</v>
      </c>
      <c r="F138" s="47">
        <v>864</v>
      </c>
      <c r="G138" s="47">
        <v>870</v>
      </c>
      <c r="H138" s="47">
        <v>876</v>
      </c>
      <c r="I138" s="47">
        <v>882</v>
      </c>
      <c r="J138" s="47">
        <v>889</v>
      </c>
      <c r="K138" s="47">
        <v>895</v>
      </c>
      <c r="L138" s="47">
        <v>901</v>
      </c>
      <c r="M138" s="47">
        <v>907</v>
      </c>
      <c r="N138" s="47">
        <v>914</v>
      </c>
      <c r="O138" s="47">
        <v>920</v>
      </c>
      <c r="P138" s="47">
        <v>926</v>
      </c>
      <c r="Q138" s="47">
        <v>932</v>
      </c>
      <c r="R138" s="47">
        <v>939</v>
      </c>
      <c r="S138" s="47">
        <v>945</v>
      </c>
      <c r="T138" s="47">
        <v>951</v>
      </c>
      <c r="U138" s="47">
        <v>958</v>
      </c>
      <c r="V138" s="47">
        <v>964</v>
      </c>
      <c r="W138" s="47">
        <v>970</v>
      </c>
      <c r="X138" s="47">
        <v>976</v>
      </c>
      <c r="Y138" s="47">
        <v>983</v>
      </c>
      <c r="Z138" s="47">
        <v>989</v>
      </c>
      <c r="AA138" s="47">
        <v>995</v>
      </c>
      <c r="AB138" s="47">
        <v>1002</v>
      </c>
      <c r="AC138" s="47">
        <v>1008</v>
      </c>
      <c r="AD138" s="47">
        <v>1014</v>
      </c>
      <c r="AE138" s="47">
        <v>1021</v>
      </c>
      <c r="AF138" s="47">
        <v>1027</v>
      </c>
      <c r="AG138" s="47">
        <v>1033</v>
      </c>
      <c r="AH138" s="44">
        <v>7.28E-3</v>
      </c>
    </row>
    <row r="139" spans="1:34" ht="36.75" x14ac:dyDescent="0.25">
      <c r="A139" s="38" t="s">
        <v>196</v>
      </c>
      <c r="B139" s="42" t="s">
        <v>180</v>
      </c>
      <c r="C139" s="47">
        <v>975</v>
      </c>
      <c r="D139" s="47">
        <v>956</v>
      </c>
      <c r="E139" s="47">
        <v>1035</v>
      </c>
      <c r="F139" s="47">
        <v>1040</v>
      </c>
      <c r="G139" s="47">
        <v>1046</v>
      </c>
      <c r="H139" s="47">
        <v>1051</v>
      </c>
      <c r="I139" s="47">
        <v>1057</v>
      </c>
      <c r="J139" s="47">
        <v>1062</v>
      </c>
      <c r="K139" s="47">
        <v>1068</v>
      </c>
      <c r="L139" s="47">
        <v>1074</v>
      </c>
      <c r="M139" s="47">
        <v>1079</v>
      </c>
      <c r="N139" s="47">
        <v>1085</v>
      </c>
      <c r="O139" s="47">
        <v>1091</v>
      </c>
      <c r="P139" s="47">
        <v>1096</v>
      </c>
      <c r="Q139" s="47">
        <v>1102</v>
      </c>
      <c r="R139" s="47">
        <v>1108</v>
      </c>
      <c r="S139" s="47">
        <v>1114</v>
      </c>
      <c r="T139" s="47">
        <v>1119</v>
      </c>
      <c r="U139" s="47">
        <v>1125</v>
      </c>
      <c r="V139" s="47">
        <v>1131</v>
      </c>
      <c r="W139" s="47">
        <v>1137</v>
      </c>
      <c r="X139" s="47">
        <v>1142</v>
      </c>
      <c r="Y139" s="47">
        <v>1148</v>
      </c>
      <c r="Z139" s="47">
        <v>1154</v>
      </c>
      <c r="AA139" s="47">
        <v>1160</v>
      </c>
      <c r="AB139" s="47">
        <v>1166</v>
      </c>
      <c r="AC139" s="47">
        <v>1171</v>
      </c>
      <c r="AD139" s="47">
        <v>1177</v>
      </c>
      <c r="AE139" s="47">
        <v>1183</v>
      </c>
      <c r="AF139" s="47">
        <v>1189</v>
      </c>
      <c r="AG139" s="47">
        <v>1195</v>
      </c>
      <c r="AH139" s="44">
        <v>6.8050000000000003E-3</v>
      </c>
    </row>
    <row r="140" spans="1:34" ht="24.75" x14ac:dyDescent="0.25">
      <c r="A140" s="38" t="s">
        <v>197</v>
      </c>
      <c r="B140" s="42" t="s">
        <v>182</v>
      </c>
      <c r="C140" s="47">
        <v>2274</v>
      </c>
      <c r="D140" s="47">
        <v>2219</v>
      </c>
      <c r="E140" s="47">
        <v>2359</v>
      </c>
      <c r="F140" s="47">
        <v>2373</v>
      </c>
      <c r="G140" s="47">
        <v>2388</v>
      </c>
      <c r="H140" s="47">
        <v>2402</v>
      </c>
      <c r="I140" s="47">
        <v>2417</v>
      </c>
      <c r="J140" s="47">
        <v>2431</v>
      </c>
      <c r="K140" s="47">
        <v>2445</v>
      </c>
      <c r="L140" s="47">
        <v>2460</v>
      </c>
      <c r="M140" s="47">
        <v>2474</v>
      </c>
      <c r="N140" s="47">
        <v>2488</v>
      </c>
      <c r="O140" s="47">
        <v>2503</v>
      </c>
      <c r="P140" s="47">
        <v>2517</v>
      </c>
      <c r="Q140" s="47">
        <v>2531</v>
      </c>
      <c r="R140" s="47">
        <v>2546</v>
      </c>
      <c r="S140" s="47">
        <v>2560</v>
      </c>
      <c r="T140" s="47">
        <v>2575</v>
      </c>
      <c r="U140" s="47">
        <v>2589</v>
      </c>
      <c r="V140" s="47">
        <v>2603</v>
      </c>
      <c r="W140" s="47">
        <v>2618</v>
      </c>
      <c r="X140" s="47">
        <v>2632</v>
      </c>
      <c r="Y140" s="47">
        <v>2647</v>
      </c>
      <c r="Z140" s="47">
        <v>2661</v>
      </c>
      <c r="AA140" s="47">
        <v>2676</v>
      </c>
      <c r="AB140" s="47">
        <v>2690</v>
      </c>
      <c r="AC140" s="47">
        <v>2705</v>
      </c>
      <c r="AD140" s="47">
        <v>2719</v>
      </c>
      <c r="AE140" s="47">
        <v>2734</v>
      </c>
      <c r="AF140" s="47">
        <v>2748</v>
      </c>
      <c r="AG140" s="47">
        <v>2763</v>
      </c>
      <c r="AH140" s="44">
        <v>6.5139999999999998E-3</v>
      </c>
    </row>
    <row r="141" spans="1:34" ht="36.75" x14ac:dyDescent="0.25">
      <c r="A141" s="38" t="s">
        <v>198</v>
      </c>
      <c r="B141" s="42" t="s">
        <v>184</v>
      </c>
      <c r="C141" s="47">
        <v>1623</v>
      </c>
      <c r="D141" s="47">
        <v>1710</v>
      </c>
      <c r="E141" s="47">
        <v>1808</v>
      </c>
      <c r="F141" s="47">
        <v>1818</v>
      </c>
      <c r="G141" s="47">
        <v>1828</v>
      </c>
      <c r="H141" s="47">
        <v>1838</v>
      </c>
      <c r="I141" s="47">
        <v>1848</v>
      </c>
      <c r="J141" s="47">
        <v>1858</v>
      </c>
      <c r="K141" s="47">
        <v>1868</v>
      </c>
      <c r="L141" s="47">
        <v>1878</v>
      </c>
      <c r="M141" s="47">
        <v>1888</v>
      </c>
      <c r="N141" s="47">
        <v>1898</v>
      </c>
      <c r="O141" s="47">
        <v>1909</v>
      </c>
      <c r="P141" s="47">
        <v>1919</v>
      </c>
      <c r="Q141" s="47">
        <v>1929</v>
      </c>
      <c r="R141" s="47">
        <v>1939</v>
      </c>
      <c r="S141" s="47">
        <v>1949</v>
      </c>
      <c r="T141" s="47">
        <v>1959</v>
      </c>
      <c r="U141" s="47">
        <v>1969</v>
      </c>
      <c r="V141" s="47">
        <v>1980</v>
      </c>
      <c r="W141" s="47">
        <v>1990</v>
      </c>
      <c r="X141" s="47">
        <v>2000</v>
      </c>
      <c r="Y141" s="47">
        <v>2010</v>
      </c>
      <c r="Z141" s="47">
        <v>2020</v>
      </c>
      <c r="AA141" s="47">
        <v>2031</v>
      </c>
      <c r="AB141" s="47">
        <v>2041</v>
      </c>
      <c r="AC141" s="47">
        <v>2051</v>
      </c>
      <c r="AD141" s="47">
        <v>2061</v>
      </c>
      <c r="AE141" s="47">
        <v>2071</v>
      </c>
      <c r="AF141" s="47">
        <v>2082</v>
      </c>
      <c r="AG141" s="47">
        <v>2092</v>
      </c>
      <c r="AH141" s="44">
        <v>8.4969999999999993E-3</v>
      </c>
    </row>
    <row r="142" spans="1:34" ht="36.75" x14ac:dyDescent="0.25">
      <c r="A142" s="38" t="s">
        <v>199</v>
      </c>
      <c r="B142" s="42" t="s">
        <v>186</v>
      </c>
      <c r="C142" s="47">
        <v>2730</v>
      </c>
      <c r="D142" s="47">
        <v>2770</v>
      </c>
      <c r="E142" s="47">
        <v>2861</v>
      </c>
      <c r="F142" s="47">
        <v>2875</v>
      </c>
      <c r="G142" s="47">
        <v>2889</v>
      </c>
      <c r="H142" s="47">
        <v>2904</v>
      </c>
      <c r="I142" s="47">
        <v>2918</v>
      </c>
      <c r="J142" s="47">
        <v>2932</v>
      </c>
      <c r="K142" s="47">
        <v>2947</v>
      </c>
      <c r="L142" s="47">
        <v>2961</v>
      </c>
      <c r="M142" s="47">
        <v>2976</v>
      </c>
      <c r="N142" s="47">
        <v>2990</v>
      </c>
      <c r="O142" s="47">
        <v>3004</v>
      </c>
      <c r="P142" s="47">
        <v>3018</v>
      </c>
      <c r="Q142" s="47">
        <v>3033</v>
      </c>
      <c r="R142" s="47">
        <v>3047</v>
      </c>
      <c r="S142" s="47">
        <v>3061</v>
      </c>
      <c r="T142" s="47">
        <v>3076</v>
      </c>
      <c r="U142" s="47">
        <v>3090</v>
      </c>
      <c r="V142" s="47">
        <v>3104</v>
      </c>
      <c r="W142" s="47">
        <v>3119</v>
      </c>
      <c r="X142" s="47">
        <v>3133</v>
      </c>
      <c r="Y142" s="47">
        <v>3147</v>
      </c>
      <c r="Z142" s="47">
        <v>3161</v>
      </c>
      <c r="AA142" s="47">
        <v>3176</v>
      </c>
      <c r="AB142" s="47">
        <v>3190</v>
      </c>
      <c r="AC142" s="47">
        <v>3204</v>
      </c>
      <c r="AD142" s="47">
        <v>3218</v>
      </c>
      <c r="AE142" s="47">
        <v>3233</v>
      </c>
      <c r="AF142" s="47">
        <v>3247</v>
      </c>
      <c r="AG142" s="47">
        <v>3261</v>
      </c>
      <c r="AH142" s="44">
        <v>5.9420000000000002E-3</v>
      </c>
    </row>
    <row r="143" spans="1:34" ht="24.75" x14ac:dyDescent="0.25">
      <c r="A143" s="38" t="s">
        <v>200</v>
      </c>
      <c r="B143" s="42" t="s">
        <v>188</v>
      </c>
      <c r="C143" s="47">
        <v>1639</v>
      </c>
      <c r="D143" s="47">
        <v>1471</v>
      </c>
      <c r="E143" s="47">
        <v>1560</v>
      </c>
      <c r="F143" s="47">
        <v>1568</v>
      </c>
      <c r="G143" s="47">
        <v>1577</v>
      </c>
      <c r="H143" s="47">
        <v>1586</v>
      </c>
      <c r="I143" s="47">
        <v>1595</v>
      </c>
      <c r="J143" s="47">
        <v>1604</v>
      </c>
      <c r="K143" s="47">
        <v>1613</v>
      </c>
      <c r="L143" s="47">
        <v>1622</v>
      </c>
      <c r="M143" s="47">
        <v>1631</v>
      </c>
      <c r="N143" s="47">
        <v>1641</v>
      </c>
      <c r="O143" s="47">
        <v>1650</v>
      </c>
      <c r="P143" s="47">
        <v>1659</v>
      </c>
      <c r="Q143" s="47">
        <v>1668</v>
      </c>
      <c r="R143" s="47">
        <v>1678</v>
      </c>
      <c r="S143" s="47">
        <v>1687</v>
      </c>
      <c r="T143" s="47">
        <v>1697</v>
      </c>
      <c r="U143" s="47">
        <v>1706</v>
      </c>
      <c r="V143" s="47">
        <v>1715</v>
      </c>
      <c r="W143" s="47">
        <v>1725</v>
      </c>
      <c r="X143" s="47">
        <v>1734</v>
      </c>
      <c r="Y143" s="47">
        <v>1744</v>
      </c>
      <c r="Z143" s="47">
        <v>1753</v>
      </c>
      <c r="AA143" s="47">
        <v>1763</v>
      </c>
      <c r="AB143" s="47">
        <v>1772</v>
      </c>
      <c r="AC143" s="47">
        <v>1782</v>
      </c>
      <c r="AD143" s="47">
        <v>1791</v>
      </c>
      <c r="AE143" s="47">
        <v>1801</v>
      </c>
      <c r="AF143" s="47">
        <v>1810</v>
      </c>
      <c r="AG143" s="47">
        <v>1820</v>
      </c>
      <c r="AH143" s="44">
        <v>3.4979999999999998E-3</v>
      </c>
    </row>
    <row r="144" spans="1:34" x14ac:dyDescent="0.25">
      <c r="A144" s="38" t="s">
        <v>201</v>
      </c>
      <c r="B144" s="42" t="s">
        <v>190</v>
      </c>
      <c r="C144" s="47">
        <v>1012</v>
      </c>
      <c r="D144" s="47">
        <v>840</v>
      </c>
      <c r="E144" s="47">
        <v>963</v>
      </c>
      <c r="F144" s="47">
        <v>969</v>
      </c>
      <c r="G144" s="47">
        <v>975</v>
      </c>
      <c r="H144" s="47">
        <v>982</v>
      </c>
      <c r="I144" s="47">
        <v>988</v>
      </c>
      <c r="J144" s="47">
        <v>994</v>
      </c>
      <c r="K144" s="47">
        <v>1001</v>
      </c>
      <c r="L144" s="47">
        <v>1007</v>
      </c>
      <c r="M144" s="47">
        <v>1013</v>
      </c>
      <c r="N144" s="47">
        <v>1020</v>
      </c>
      <c r="O144" s="47">
        <v>1026</v>
      </c>
      <c r="P144" s="47">
        <v>1032</v>
      </c>
      <c r="Q144" s="47">
        <v>1039</v>
      </c>
      <c r="R144" s="47">
        <v>1045</v>
      </c>
      <c r="S144" s="47">
        <v>1052</v>
      </c>
      <c r="T144" s="47">
        <v>1058</v>
      </c>
      <c r="U144" s="47">
        <v>1065</v>
      </c>
      <c r="V144" s="47">
        <v>1071</v>
      </c>
      <c r="W144" s="47">
        <v>1078</v>
      </c>
      <c r="X144" s="47">
        <v>1084</v>
      </c>
      <c r="Y144" s="47">
        <v>1091</v>
      </c>
      <c r="Z144" s="47">
        <v>1097</v>
      </c>
      <c r="AA144" s="47">
        <v>1104</v>
      </c>
      <c r="AB144" s="47">
        <v>1110</v>
      </c>
      <c r="AC144" s="47">
        <v>1117</v>
      </c>
      <c r="AD144" s="47">
        <v>1123</v>
      </c>
      <c r="AE144" s="47">
        <v>1130</v>
      </c>
      <c r="AF144" s="47">
        <v>1136</v>
      </c>
      <c r="AG144" s="47">
        <v>1143</v>
      </c>
      <c r="AH144" s="44">
        <v>4.0660000000000002E-3</v>
      </c>
    </row>
    <row r="145" spans="1:34" ht="24.75" x14ac:dyDescent="0.25">
      <c r="A145" s="38" t="s">
        <v>202</v>
      </c>
      <c r="B145" s="41" t="s">
        <v>192</v>
      </c>
      <c r="C145" s="49">
        <v>1496.4417719999999</v>
      </c>
      <c r="D145" s="49">
        <v>1423.084351</v>
      </c>
      <c r="E145" s="49">
        <v>1533.780518</v>
      </c>
      <c r="F145" s="49">
        <v>1545.432861</v>
      </c>
      <c r="G145" s="49">
        <v>1557.3450929999999</v>
      </c>
      <c r="H145" s="49">
        <v>1569.296509</v>
      </c>
      <c r="I145" s="49">
        <v>1581.2326660000001</v>
      </c>
      <c r="J145" s="49">
        <v>1593.1649170000001</v>
      </c>
      <c r="K145" s="49">
        <v>1605.2078859999999</v>
      </c>
      <c r="L145" s="49">
        <v>1617.1710210000001</v>
      </c>
      <c r="M145" s="49">
        <v>1629.009888</v>
      </c>
      <c r="N145" s="49">
        <v>1641.1838379999999</v>
      </c>
      <c r="O145" s="49">
        <v>1653.26001</v>
      </c>
      <c r="P145" s="49">
        <v>1665.1435550000001</v>
      </c>
      <c r="Q145" s="49">
        <v>1677.2926030000001</v>
      </c>
      <c r="R145" s="49">
        <v>1689.587524</v>
      </c>
      <c r="S145" s="49">
        <v>1701.6491699999999</v>
      </c>
      <c r="T145" s="49">
        <v>1713.928101</v>
      </c>
      <c r="U145" s="49">
        <v>1726.156616</v>
      </c>
      <c r="V145" s="49">
        <v>1738.2735600000001</v>
      </c>
      <c r="W145" s="49">
        <v>1750.842529</v>
      </c>
      <c r="X145" s="49">
        <v>1762.7661129999999</v>
      </c>
      <c r="Y145" s="49">
        <v>1775.36499</v>
      </c>
      <c r="Z145" s="49">
        <v>1787.387939</v>
      </c>
      <c r="AA145" s="49">
        <v>1800.091797</v>
      </c>
      <c r="AB145" s="49">
        <v>1812.380737</v>
      </c>
      <c r="AC145" s="49">
        <v>1824.8900149999999</v>
      </c>
      <c r="AD145" s="49">
        <v>1836.9436040000001</v>
      </c>
      <c r="AE145" s="49">
        <v>1849.7070309999999</v>
      </c>
      <c r="AF145" s="49">
        <v>1861.689087</v>
      </c>
      <c r="AG145" s="49">
        <v>1874.0201420000001</v>
      </c>
      <c r="AH145" s="46">
        <v>7.528E-3</v>
      </c>
    </row>
    <row r="146" spans="1:34" ht="15.75" thickBot="1" x14ac:dyDescent="0.3">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c r="AF146" s="35"/>
      <c r="AG146" s="35"/>
      <c r="AH146" s="35"/>
    </row>
    <row r="147" spans="1:34" x14ac:dyDescent="0.25">
      <c r="A147" s="35"/>
      <c r="B147" s="130" t="s">
        <v>203</v>
      </c>
      <c r="C147" s="130"/>
      <c r="D147" s="130"/>
      <c r="E147" s="130"/>
      <c r="F147" s="130"/>
      <c r="G147" s="130"/>
      <c r="H147" s="130"/>
      <c r="I147" s="130"/>
      <c r="J147" s="130"/>
      <c r="K147" s="130"/>
      <c r="L147" s="130"/>
      <c r="M147" s="130"/>
      <c r="N147" s="130"/>
      <c r="O147" s="130"/>
      <c r="P147" s="130"/>
      <c r="Q147" s="130"/>
      <c r="R147" s="130"/>
      <c r="S147" s="130"/>
      <c r="T147" s="130"/>
      <c r="U147" s="130"/>
      <c r="V147" s="130"/>
      <c r="W147" s="130"/>
      <c r="X147" s="130"/>
      <c r="Y147" s="130"/>
      <c r="Z147" s="130"/>
      <c r="AA147" s="130"/>
      <c r="AB147" s="130"/>
      <c r="AC147" s="130"/>
      <c r="AD147" s="130"/>
      <c r="AE147" s="130"/>
      <c r="AF147" s="130"/>
      <c r="AG147" s="130"/>
      <c r="AH147" s="130"/>
    </row>
    <row r="148" spans="1:34" x14ac:dyDescent="0.25">
      <c r="A148" s="35"/>
      <c r="B148" s="31" t="s">
        <v>249</v>
      </c>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c r="AF148" s="35"/>
      <c r="AG148" s="35"/>
      <c r="AH148" s="35"/>
    </row>
    <row r="149" spans="1:34" x14ac:dyDescent="0.25">
      <c r="A149" s="35"/>
      <c r="B149" s="31" t="s">
        <v>205</v>
      </c>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c r="AF149" s="35"/>
      <c r="AG149" s="35"/>
      <c r="AH149" s="35"/>
    </row>
    <row r="150" spans="1:34" x14ac:dyDescent="0.25">
      <c r="A150" s="35"/>
      <c r="B150" s="31" t="s">
        <v>250</v>
      </c>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c r="AF150" s="35"/>
      <c r="AG150" s="35"/>
      <c r="AH150" s="35"/>
    </row>
    <row r="151" spans="1:34" x14ac:dyDescent="0.25">
      <c r="A151" s="35"/>
      <c r="B151" s="31" t="s">
        <v>207</v>
      </c>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c r="AF151" s="35"/>
      <c r="AG151" s="35"/>
      <c r="AH151" s="35"/>
    </row>
    <row r="152" spans="1:34" x14ac:dyDescent="0.25">
      <c r="A152" s="35"/>
      <c r="B152" s="31" t="s">
        <v>251</v>
      </c>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c r="AF152" s="35"/>
      <c r="AG152" s="35"/>
      <c r="AH152" s="35"/>
    </row>
    <row r="153" spans="1:34" x14ac:dyDescent="0.25">
      <c r="A153" s="35"/>
      <c r="B153" s="31" t="s">
        <v>252</v>
      </c>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c r="AF153" s="35"/>
      <c r="AG153" s="35"/>
      <c r="AH153" s="35"/>
    </row>
    <row r="154" spans="1:34" x14ac:dyDescent="0.25">
      <c r="A154" s="35"/>
      <c r="B154" s="31" t="s">
        <v>212</v>
      </c>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c r="AF154" s="35"/>
      <c r="AG154" s="35"/>
      <c r="AH154" s="35"/>
    </row>
    <row r="155" spans="1:34" x14ac:dyDescent="0.25">
      <c r="A155" s="35"/>
      <c r="B155" s="31" t="s">
        <v>213</v>
      </c>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c r="AF155" s="35"/>
      <c r="AG155" s="35"/>
      <c r="AH155" s="35"/>
    </row>
    <row r="156" spans="1:34" x14ac:dyDescent="0.25">
      <c r="A156" s="35"/>
      <c r="B156" s="31" t="s">
        <v>214</v>
      </c>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c r="AF156" s="35"/>
      <c r="AG156" s="35"/>
      <c r="AH156" s="35"/>
    </row>
    <row r="157" spans="1:34" x14ac:dyDescent="0.25">
      <c r="A157" s="35"/>
      <c r="B157" s="31" t="s">
        <v>215</v>
      </c>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c r="AF157" s="35"/>
      <c r="AG157" s="35"/>
      <c r="AH157" s="35"/>
    </row>
    <row r="158" spans="1:34" x14ac:dyDescent="0.25">
      <c r="A158" s="35"/>
      <c r="B158" s="31" t="s">
        <v>216</v>
      </c>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c r="AF158" s="35"/>
      <c r="AG158" s="35"/>
      <c r="AH158" s="35"/>
    </row>
    <row r="159" spans="1:34" x14ac:dyDescent="0.25">
      <c r="A159" s="35"/>
      <c r="B159" s="31" t="s">
        <v>217</v>
      </c>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c r="AF159" s="35"/>
      <c r="AG159" s="35"/>
      <c r="AH159" s="35"/>
    </row>
    <row r="160" spans="1:34" x14ac:dyDescent="0.25">
      <c r="A160" s="35"/>
      <c r="B160" s="31" t="s">
        <v>253</v>
      </c>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c r="AF160" s="35"/>
      <c r="AG160" s="35"/>
      <c r="AH160" s="35"/>
    </row>
    <row r="161" spans="2:2" x14ac:dyDescent="0.25">
      <c r="B161" s="31" t="s">
        <v>254</v>
      </c>
    </row>
    <row r="162" spans="2:2" x14ac:dyDescent="0.25">
      <c r="B162" s="31" t="s">
        <v>222</v>
      </c>
    </row>
    <row r="163" spans="2:2" x14ac:dyDescent="0.25">
      <c r="B163" s="31" t="s">
        <v>223</v>
      </c>
    </row>
    <row r="164" spans="2:2" x14ac:dyDescent="0.25">
      <c r="B164" s="31" t="s">
        <v>224</v>
      </c>
    </row>
    <row r="165" spans="2:2" x14ac:dyDescent="0.25">
      <c r="B165" s="31" t="s">
        <v>225</v>
      </c>
    </row>
    <row r="166" spans="2:2" x14ac:dyDescent="0.25">
      <c r="B166" s="31" t="s">
        <v>255</v>
      </c>
    </row>
    <row r="167" spans="2:2" x14ac:dyDescent="0.25">
      <c r="B167" s="31" t="s">
        <v>256</v>
      </c>
    </row>
  </sheetData>
  <mergeCells count="1">
    <mergeCell ref="B147:AH14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B14A1-FD07-490C-B212-B1DFED9E4F93}">
  <dimension ref="A1:L66"/>
  <sheetViews>
    <sheetView workbookViewId="0">
      <pane ySplit="4" topLeftCell="A5" activePane="bottomLeft" state="frozen"/>
      <selection pane="bottomLeft" activeCell="B2" sqref="B2"/>
    </sheetView>
  </sheetViews>
  <sheetFormatPr defaultColWidth="9.140625" defaultRowHeight="15" x14ac:dyDescent="0.25"/>
  <cols>
    <col min="1" max="1" width="18.42578125" style="53" customWidth="1"/>
    <col min="2" max="2" width="37.7109375" style="53" customWidth="1"/>
    <col min="3" max="8" width="17.85546875" style="53" customWidth="1"/>
    <col min="9" max="16384" width="9.140625" style="53"/>
  </cols>
  <sheetData>
    <row r="1" spans="1:12" ht="2.25" customHeight="1" x14ac:dyDescent="0.25">
      <c r="B1" s="77" t="s">
        <v>312</v>
      </c>
      <c r="C1" s="77"/>
      <c r="D1" s="77"/>
      <c r="E1" s="77"/>
      <c r="F1" s="77"/>
      <c r="G1" s="77"/>
      <c r="H1" s="77"/>
    </row>
    <row r="2" spans="1:12" ht="25.5" customHeight="1" x14ac:dyDescent="0.25">
      <c r="B2" s="66" t="s">
        <v>323</v>
      </c>
      <c r="C2" s="65"/>
      <c r="D2" s="65"/>
      <c r="E2" s="65"/>
      <c r="F2" s="65"/>
      <c r="G2" s="65"/>
      <c r="H2" s="65"/>
    </row>
    <row r="3" spans="1:12" s="63" customFormat="1" ht="56.1" customHeight="1" x14ac:dyDescent="0.25">
      <c r="B3" s="78" t="s">
        <v>311</v>
      </c>
      <c r="C3" s="82" t="s">
        <v>322</v>
      </c>
      <c r="D3" s="80" t="s">
        <v>321</v>
      </c>
      <c r="E3" s="81"/>
      <c r="F3" s="81"/>
      <c r="G3" s="81"/>
      <c r="H3" s="81"/>
      <c r="J3" s="64"/>
      <c r="K3" s="64"/>
      <c r="L3" s="64"/>
    </row>
    <row r="4" spans="1:12" s="61" customFormat="1" x14ac:dyDescent="0.25">
      <c r="B4" s="79"/>
      <c r="C4" s="79"/>
      <c r="D4" s="62">
        <v>2020</v>
      </c>
      <c r="E4" s="62">
        <v>2021</v>
      </c>
      <c r="F4" s="62">
        <v>2022</v>
      </c>
      <c r="G4" s="62">
        <v>2023</v>
      </c>
      <c r="H4" s="62">
        <v>2024</v>
      </c>
    </row>
    <row r="5" spans="1:12" x14ac:dyDescent="0.25">
      <c r="B5" s="60" t="s">
        <v>310</v>
      </c>
      <c r="C5" s="59">
        <v>140498736</v>
      </c>
      <c r="D5" s="59">
        <v>140811440</v>
      </c>
      <c r="E5" s="59">
        <v>142172055</v>
      </c>
      <c r="F5" s="59">
        <v>143799370</v>
      </c>
      <c r="G5" s="59">
        <v>145359015</v>
      </c>
      <c r="H5" s="59">
        <v>146770711</v>
      </c>
    </row>
    <row r="6" spans="1:12" x14ac:dyDescent="0.25">
      <c r="B6" s="58" t="s">
        <v>320</v>
      </c>
      <c r="C6" s="54">
        <v>24716535</v>
      </c>
      <c r="D6" s="54">
        <v>24739713</v>
      </c>
      <c r="E6" s="54">
        <v>24848852</v>
      </c>
      <c r="F6" s="54">
        <v>24988514</v>
      </c>
      <c r="G6" s="54">
        <v>25107966</v>
      </c>
      <c r="H6" s="54">
        <v>25223673</v>
      </c>
    </row>
    <row r="7" spans="1:12" x14ac:dyDescent="0.25">
      <c r="B7" s="58" t="s">
        <v>319</v>
      </c>
      <c r="C7" s="54">
        <v>30458967</v>
      </c>
      <c r="D7" s="54">
        <v>30498361</v>
      </c>
      <c r="E7" s="54">
        <v>30681056</v>
      </c>
      <c r="F7" s="54">
        <v>30887488</v>
      </c>
      <c r="G7" s="54">
        <v>31087368</v>
      </c>
      <c r="H7" s="54">
        <v>31250348</v>
      </c>
    </row>
    <row r="8" spans="1:12" x14ac:dyDescent="0.25">
      <c r="B8" s="58" t="s">
        <v>318</v>
      </c>
      <c r="C8" s="54">
        <v>54542609</v>
      </c>
      <c r="D8" s="54">
        <v>54709662</v>
      </c>
      <c r="E8" s="54">
        <v>55441906</v>
      </c>
      <c r="F8" s="54">
        <v>56321445</v>
      </c>
      <c r="G8" s="54">
        <v>57178079</v>
      </c>
      <c r="H8" s="54">
        <v>57964002</v>
      </c>
    </row>
    <row r="9" spans="1:12" x14ac:dyDescent="0.25">
      <c r="B9" s="57" t="s">
        <v>317</v>
      </c>
      <c r="C9" s="56">
        <v>30780625</v>
      </c>
      <c r="D9" s="56">
        <v>30863704</v>
      </c>
      <c r="E9" s="56">
        <v>31200241</v>
      </c>
      <c r="F9" s="56">
        <v>31601923</v>
      </c>
      <c r="G9" s="56">
        <v>31985602</v>
      </c>
      <c r="H9" s="56">
        <v>32332688</v>
      </c>
    </row>
    <row r="10" spans="1:12" x14ac:dyDescent="0.25">
      <c r="A10" s="53" t="s">
        <v>326</v>
      </c>
      <c r="B10" s="55" t="s">
        <v>309</v>
      </c>
      <c r="C10" s="54">
        <v>2288337</v>
      </c>
      <c r="D10" s="54">
        <v>2292694</v>
      </c>
      <c r="E10" s="54">
        <v>2313291</v>
      </c>
      <c r="F10" s="54">
        <v>2338998</v>
      </c>
      <c r="G10" s="54">
        <v>2359765</v>
      </c>
      <c r="H10" s="54">
        <v>2381817</v>
      </c>
    </row>
    <row r="11" spans="1:12" x14ac:dyDescent="0.25">
      <c r="A11" s="53" t="s">
        <v>328</v>
      </c>
      <c r="B11" s="55" t="s">
        <v>308</v>
      </c>
      <c r="C11" s="54">
        <v>326199</v>
      </c>
      <c r="D11" s="54">
        <v>326593</v>
      </c>
      <c r="E11" s="54">
        <v>327863</v>
      </c>
      <c r="F11" s="54">
        <v>329245</v>
      </c>
      <c r="G11" s="54">
        <v>329677</v>
      </c>
      <c r="H11" s="54">
        <v>330463</v>
      </c>
    </row>
    <row r="12" spans="1:12" x14ac:dyDescent="0.25">
      <c r="A12" s="53" t="s">
        <v>330</v>
      </c>
      <c r="B12" s="55" t="s">
        <v>307</v>
      </c>
      <c r="C12" s="54">
        <v>3081997</v>
      </c>
      <c r="D12" s="54">
        <v>3092927</v>
      </c>
      <c r="E12" s="54">
        <v>3139761</v>
      </c>
      <c r="F12" s="54">
        <v>3189962</v>
      </c>
      <c r="G12" s="54">
        <v>3243011</v>
      </c>
      <c r="H12" s="54">
        <v>3299651</v>
      </c>
    </row>
    <row r="13" spans="1:12" x14ac:dyDescent="0.25">
      <c r="A13" s="53" t="s">
        <v>332</v>
      </c>
      <c r="B13" s="55" t="s">
        <v>306</v>
      </c>
      <c r="C13" s="54">
        <v>1365266</v>
      </c>
      <c r="D13" s="54">
        <v>1368214</v>
      </c>
      <c r="E13" s="54">
        <v>1380505</v>
      </c>
      <c r="F13" s="54">
        <v>1395318</v>
      </c>
      <c r="G13" s="54">
        <v>1408912</v>
      </c>
      <c r="H13" s="54">
        <v>1421037</v>
      </c>
    </row>
    <row r="14" spans="1:12" x14ac:dyDescent="0.25">
      <c r="A14" s="53" t="s">
        <v>334</v>
      </c>
      <c r="B14" s="55" t="s">
        <v>305</v>
      </c>
      <c r="C14" s="54">
        <v>14392141</v>
      </c>
      <c r="D14" s="54">
        <v>14417494</v>
      </c>
      <c r="E14" s="54">
        <v>14524995</v>
      </c>
      <c r="F14" s="54">
        <v>14642752</v>
      </c>
      <c r="G14" s="54">
        <v>14762262</v>
      </c>
      <c r="H14" s="54">
        <v>14877904</v>
      </c>
    </row>
    <row r="15" spans="1:12" x14ac:dyDescent="0.25">
      <c r="A15" s="53" t="s">
        <v>336</v>
      </c>
      <c r="B15" s="55" t="s">
        <v>304</v>
      </c>
      <c r="C15" s="54">
        <v>2491404</v>
      </c>
      <c r="D15" s="54">
        <v>2500752</v>
      </c>
      <c r="E15" s="54">
        <v>2540442</v>
      </c>
      <c r="F15" s="54">
        <v>2591143</v>
      </c>
      <c r="G15" s="54">
        <v>2639267</v>
      </c>
      <c r="H15" s="54">
        <v>2676415</v>
      </c>
    </row>
    <row r="16" spans="1:12" x14ac:dyDescent="0.25">
      <c r="A16" s="53" t="s">
        <v>338</v>
      </c>
      <c r="B16" s="55" t="s">
        <v>303</v>
      </c>
      <c r="C16" s="54">
        <v>1530193</v>
      </c>
      <c r="D16" s="54">
        <v>1531476</v>
      </c>
      <c r="E16" s="54">
        <v>1536314</v>
      </c>
      <c r="F16" s="54">
        <v>1540585</v>
      </c>
      <c r="G16" s="54">
        <v>1546931</v>
      </c>
      <c r="H16" s="54">
        <v>1554121</v>
      </c>
    </row>
    <row r="17" spans="1:8" x14ac:dyDescent="0.25">
      <c r="A17" s="53" t="s">
        <v>340</v>
      </c>
      <c r="B17" s="55" t="s">
        <v>302</v>
      </c>
      <c r="C17" s="54">
        <v>448735</v>
      </c>
      <c r="D17" s="54">
        <v>450131</v>
      </c>
      <c r="E17" s="54">
        <v>457806</v>
      </c>
      <c r="F17" s="54">
        <v>465556</v>
      </c>
      <c r="G17" s="54">
        <v>471318</v>
      </c>
      <c r="H17" s="54">
        <v>476405</v>
      </c>
    </row>
    <row r="18" spans="1:8" x14ac:dyDescent="0.25">
      <c r="A18" s="53" t="s">
        <v>428</v>
      </c>
      <c r="B18" s="55" t="s">
        <v>301</v>
      </c>
      <c r="C18" s="54">
        <v>350365</v>
      </c>
      <c r="D18" s="54">
        <v>351429</v>
      </c>
      <c r="E18" s="54">
        <v>357360</v>
      </c>
      <c r="F18" s="54">
        <v>360735</v>
      </c>
      <c r="G18" s="54">
        <v>367036</v>
      </c>
      <c r="H18" s="54">
        <v>368736</v>
      </c>
    </row>
    <row r="19" spans="1:8" x14ac:dyDescent="0.25">
      <c r="A19" s="53" t="s">
        <v>342</v>
      </c>
      <c r="B19" s="55" t="s">
        <v>300</v>
      </c>
      <c r="C19" s="54">
        <v>9865359</v>
      </c>
      <c r="D19" s="54">
        <v>9900384</v>
      </c>
      <c r="E19" s="54">
        <v>10051531</v>
      </c>
      <c r="F19" s="54">
        <v>10252120</v>
      </c>
      <c r="G19" s="54">
        <v>10448447</v>
      </c>
      <c r="H19" s="54">
        <v>10629918</v>
      </c>
    </row>
    <row r="20" spans="1:8" x14ac:dyDescent="0.25">
      <c r="A20" s="53" t="s">
        <v>344</v>
      </c>
      <c r="B20" s="55" t="s">
        <v>299</v>
      </c>
      <c r="C20" s="54">
        <v>4410948</v>
      </c>
      <c r="D20" s="54">
        <v>4423066</v>
      </c>
      <c r="E20" s="54">
        <v>4474261</v>
      </c>
      <c r="F20" s="54">
        <v>4537424</v>
      </c>
      <c r="G20" s="54">
        <v>4609378</v>
      </c>
      <c r="H20" s="54">
        <v>4668859</v>
      </c>
    </row>
    <row r="21" spans="1:8" x14ac:dyDescent="0.25">
      <c r="A21" s="53" t="s">
        <v>346</v>
      </c>
      <c r="B21" s="55" t="s">
        <v>298</v>
      </c>
      <c r="C21" s="54">
        <v>561064</v>
      </c>
      <c r="D21" s="54">
        <v>562001</v>
      </c>
      <c r="E21" s="54">
        <v>564848</v>
      </c>
      <c r="F21" s="54">
        <v>567983</v>
      </c>
      <c r="G21" s="54">
        <v>571997</v>
      </c>
      <c r="H21" s="54">
        <v>572781</v>
      </c>
    </row>
    <row r="22" spans="1:8" x14ac:dyDescent="0.25">
      <c r="A22" s="53" t="s">
        <v>348</v>
      </c>
      <c r="B22" s="55" t="s">
        <v>297</v>
      </c>
      <c r="C22" s="54">
        <v>751858</v>
      </c>
      <c r="D22" s="54">
        <v>756169</v>
      </c>
      <c r="E22" s="54">
        <v>774925</v>
      </c>
      <c r="F22" s="54">
        <v>796392</v>
      </c>
      <c r="G22" s="54">
        <v>814938</v>
      </c>
      <c r="H22" s="54">
        <v>832675</v>
      </c>
    </row>
    <row r="23" spans="1:8" x14ac:dyDescent="0.25">
      <c r="A23" s="53" t="s">
        <v>350</v>
      </c>
      <c r="B23" s="55" t="s">
        <v>296</v>
      </c>
      <c r="C23" s="54">
        <v>5426431</v>
      </c>
      <c r="D23" s="54">
        <v>5430318</v>
      </c>
      <c r="E23" s="54">
        <v>5443437</v>
      </c>
      <c r="F23" s="54">
        <v>5458112</v>
      </c>
      <c r="G23" s="54">
        <v>5473943</v>
      </c>
      <c r="H23" s="54">
        <v>5482770</v>
      </c>
    </row>
    <row r="24" spans="1:8" x14ac:dyDescent="0.25">
      <c r="A24" s="53" t="s">
        <v>352</v>
      </c>
      <c r="B24" s="55" t="s">
        <v>295</v>
      </c>
      <c r="C24" s="54">
        <v>2923177</v>
      </c>
      <c r="D24" s="54">
        <v>2927771</v>
      </c>
      <c r="E24" s="54">
        <v>2949743</v>
      </c>
      <c r="F24" s="54">
        <v>2976530</v>
      </c>
      <c r="G24" s="54">
        <v>3002118</v>
      </c>
      <c r="H24" s="54">
        <v>3026199</v>
      </c>
    </row>
    <row r="25" spans="1:8" x14ac:dyDescent="0.25">
      <c r="A25" s="53" t="s">
        <v>354</v>
      </c>
      <c r="B25" s="55" t="s">
        <v>294</v>
      </c>
      <c r="C25" s="54">
        <v>1412790</v>
      </c>
      <c r="D25" s="54">
        <v>1415325</v>
      </c>
      <c r="E25" s="54">
        <v>1426635</v>
      </c>
      <c r="F25" s="54">
        <v>1438895</v>
      </c>
      <c r="G25" s="54">
        <v>1449752</v>
      </c>
      <c r="H25" s="54">
        <v>1458797</v>
      </c>
    </row>
    <row r="26" spans="1:8" x14ac:dyDescent="0.25">
      <c r="A26" s="53" t="s">
        <v>356</v>
      </c>
      <c r="B26" s="55" t="s">
        <v>293</v>
      </c>
      <c r="C26" s="54">
        <v>1275683</v>
      </c>
      <c r="D26" s="54">
        <v>1277301</v>
      </c>
      <c r="E26" s="54">
        <v>1285149</v>
      </c>
      <c r="F26" s="54">
        <v>1294073</v>
      </c>
      <c r="G26" s="54">
        <v>1302600</v>
      </c>
      <c r="H26" s="54">
        <v>1310506</v>
      </c>
    </row>
    <row r="27" spans="1:8" x14ac:dyDescent="0.25">
      <c r="A27" s="53" t="s">
        <v>358</v>
      </c>
      <c r="B27" s="55" t="s">
        <v>292</v>
      </c>
      <c r="C27" s="54">
        <v>1994307</v>
      </c>
      <c r="D27" s="54">
        <v>1996957</v>
      </c>
      <c r="E27" s="54">
        <v>2008022</v>
      </c>
      <c r="F27" s="54">
        <v>2022842</v>
      </c>
      <c r="G27" s="54">
        <v>2036532</v>
      </c>
      <c r="H27" s="54">
        <v>2051075</v>
      </c>
    </row>
    <row r="28" spans="1:8" x14ac:dyDescent="0.25">
      <c r="A28" s="53" t="s">
        <v>360</v>
      </c>
      <c r="B28" s="55" t="s">
        <v>291</v>
      </c>
      <c r="C28" s="54">
        <v>2073197</v>
      </c>
      <c r="D28" s="54">
        <v>2076547</v>
      </c>
      <c r="E28" s="54">
        <v>2093177</v>
      </c>
      <c r="F28" s="54">
        <v>2110679</v>
      </c>
      <c r="G28" s="54">
        <v>2125085</v>
      </c>
      <c r="H28" s="54">
        <v>2138991</v>
      </c>
    </row>
    <row r="29" spans="1:8" x14ac:dyDescent="0.25">
      <c r="A29" s="53" t="s">
        <v>362</v>
      </c>
      <c r="B29" s="55" t="s">
        <v>290</v>
      </c>
      <c r="C29" s="54">
        <v>739071</v>
      </c>
      <c r="D29" s="54">
        <v>740116</v>
      </c>
      <c r="E29" s="54">
        <v>745238</v>
      </c>
      <c r="F29" s="54">
        <v>751616</v>
      </c>
      <c r="G29" s="54">
        <v>758703</v>
      </c>
      <c r="H29" s="54">
        <v>764778</v>
      </c>
    </row>
    <row r="30" spans="1:8" x14ac:dyDescent="0.25">
      <c r="A30" s="53" t="s">
        <v>364</v>
      </c>
      <c r="B30" s="55" t="s">
        <v>289</v>
      </c>
      <c r="C30" s="54">
        <v>2530847</v>
      </c>
      <c r="D30" s="54">
        <v>2534120</v>
      </c>
      <c r="E30" s="54">
        <v>2546548</v>
      </c>
      <c r="F30" s="54">
        <v>2559756</v>
      </c>
      <c r="G30" s="54">
        <v>2574810</v>
      </c>
      <c r="H30" s="54">
        <v>2588397</v>
      </c>
    </row>
    <row r="31" spans="1:8" x14ac:dyDescent="0.25">
      <c r="A31" s="53" t="s">
        <v>366</v>
      </c>
      <c r="B31" s="55" t="s">
        <v>288</v>
      </c>
      <c r="C31" s="54">
        <v>2998547</v>
      </c>
      <c r="D31" s="54">
        <v>3001700</v>
      </c>
      <c r="E31" s="54">
        <v>3015556</v>
      </c>
      <c r="F31" s="54">
        <v>3030973</v>
      </c>
      <c r="G31" s="54">
        <v>3045802</v>
      </c>
      <c r="H31" s="54">
        <v>3058052</v>
      </c>
    </row>
    <row r="32" spans="1:8" x14ac:dyDescent="0.25">
      <c r="A32" s="53" t="s">
        <v>368</v>
      </c>
      <c r="B32" s="55" t="s">
        <v>287</v>
      </c>
      <c r="C32" s="54">
        <v>4570168</v>
      </c>
      <c r="D32" s="54">
        <v>4575143</v>
      </c>
      <c r="E32" s="54">
        <v>4596900</v>
      </c>
      <c r="F32" s="54">
        <v>4622165</v>
      </c>
      <c r="G32" s="54">
        <v>4648158</v>
      </c>
      <c r="H32" s="54">
        <v>4670131</v>
      </c>
    </row>
    <row r="33" spans="1:8" x14ac:dyDescent="0.25">
      <c r="A33" s="53" t="s">
        <v>370</v>
      </c>
      <c r="B33" s="55" t="s">
        <v>286</v>
      </c>
      <c r="C33" s="54">
        <v>2485560</v>
      </c>
      <c r="D33" s="54">
        <v>2491759</v>
      </c>
      <c r="E33" s="54">
        <v>2516743</v>
      </c>
      <c r="F33" s="54">
        <v>2547096</v>
      </c>
      <c r="G33" s="54">
        <v>2574859</v>
      </c>
      <c r="H33" s="54">
        <v>2597286</v>
      </c>
    </row>
    <row r="34" spans="1:8" x14ac:dyDescent="0.25">
      <c r="A34" s="53" t="s">
        <v>372</v>
      </c>
      <c r="B34" s="55" t="s">
        <v>285</v>
      </c>
      <c r="C34" s="54">
        <v>1319943</v>
      </c>
      <c r="D34" s="54">
        <v>1321935</v>
      </c>
      <c r="E34" s="54">
        <v>1331915</v>
      </c>
      <c r="F34" s="54">
        <v>1342610</v>
      </c>
      <c r="G34" s="54">
        <v>1350543</v>
      </c>
      <c r="H34" s="54">
        <v>1359303</v>
      </c>
    </row>
    <row r="35" spans="1:8" x14ac:dyDescent="0.25">
      <c r="A35" s="53" t="s">
        <v>374</v>
      </c>
      <c r="B35" s="55" t="s">
        <v>284</v>
      </c>
      <c r="C35" s="54">
        <v>2786618</v>
      </c>
      <c r="D35" s="54">
        <v>2790304</v>
      </c>
      <c r="E35" s="54">
        <v>2807427</v>
      </c>
      <c r="F35" s="54">
        <v>2826421</v>
      </c>
      <c r="G35" s="54">
        <v>2844462</v>
      </c>
      <c r="H35" s="54">
        <v>2858603</v>
      </c>
    </row>
    <row r="36" spans="1:8" x14ac:dyDescent="0.25">
      <c r="A36" s="53" t="s">
        <v>376</v>
      </c>
      <c r="B36" s="55" t="s">
        <v>283</v>
      </c>
      <c r="C36" s="54">
        <v>514800</v>
      </c>
      <c r="D36" s="54">
        <v>515936</v>
      </c>
      <c r="E36" s="54">
        <v>521787</v>
      </c>
      <c r="F36" s="54">
        <v>528959</v>
      </c>
      <c r="G36" s="54">
        <v>535384</v>
      </c>
      <c r="H36" s="54">
        <v>539670</v>
      </c>
    </row>
    <row r="37" spans="1:8" x14ac:dyDescent="0.25">
      <c r="A37" s="53" t="s">
        <v>378</v>
      </c>
      <c r="B37" s="55" t="s">
        <v>282</v>
      </c>
      <c r="C37" s="54">
        <v>844276</v>
      </c>
      <c r="D37" s="54">
        <v>845921</v>
      </c>
      <c r="E37" s="54">
        <v>854159</v>
      </c>
      <c r="F37" s="54">
        <v>863634</v>
      </c>
      <c r="G37" s="54">
        <v>873489</v>
      </c>
      <c r="H37" s="54">
        <v>881148</v>
      </c>
    </row>
    <row r="38" spans="1:8" x14ac:dyDescent="0.25">
      <c r="A38" s="53" t="s">
        <v>380</v>
      </c>
      <c r="B38" s="55" t="s">
        <v>281</v>
      </c>
      <c r="C38" s="54">
        <v>1281017</v>
      </c>
      <c r="D38" s="54">
        <v>1285890</v>
      </c>
      <c r="E38" s="54">
        <v>1305154</v>
      </c>
      <c r="F38" s="54">
        <v>1328125</v>
      </c>
      <c r="G38" s="54">
        <v>1347834</v>
      </c>
      <c r="H38" s="54">
        <v>1365961</v>
      </c>
    </row>
    <row r="39" spans="1:8" x14ac:dyDescent="0.25">
      <c r="A39" s="53" t="s">
        <v>382</v>
      </c>
      <c r="B39" s="55" t="s">
        <v>280</v>
      </c>
      <c r="C39" s="54">
        <v>638800</v>
      </c>
      <c r="D39" s="54">
        <v>639886</v>
      </c>
      <c r="E39" s="54">
        <v>643904</v>
      </c>
      <c r="F39" s="54">
        <v>648441</v>
      </c>
      <c r="G39" s="54">
        <v>652988</v>
      </c>
      <c r="H39" s="54">
        <v>657232</v>
      </c>
    </row>
    <row r="40" spans="1:8" x14ac:dyDescent="0.25">
      <c r="A40" s="53" t="s">
        <v>384</v>
      </c>
      <c r="B40" s="55" t="s">
        <v>279</v>
      </c>
      <c r="C40" s="54">
        <v>3761236</v>
      </c>
      <c r="D40" s="54">
        <v>3764910</v>
      </c>
      <c r="E40" s="54">
        <v>3779004</v>
      </c>
      <c r="F40" s="54">
        <v>3791456</v>
      </c>
      <c r="G40" s="54">
        <v>3804011</v>
      </c>
      <c r="H40" s="54">
        <v>3818712</v>
      </c>
    </row>
    <row r="41" spans="1:8" x14ac:dyDescent="0.25">
      <c r="A41" s="53" t="s">
        <v>386</v>
      </c>
      <c r="B41" s="55" t="s">
        <v>278</v>
      </c>
      <c r="C41" s="54">
        <v>940857</v>
      </c>
      <c r="D41" s="54">
        <v>942223</v>
      </c>
      <c r="E41" s="54">
        <v>947513</v>
      </c>
      <c r="F41" s="54">
        <v>955729</v>
      </c>
      <c r="G41" s="54">
        <v>964986</v>
      </c>
      <c r="H41" s="54">
        <v>974158</v>
      </c>
    </row>
    <row r="42" spans="1:8" x14ac:dyDescent="0.25">
      <c r="A42" s="53" t="s">
        <v>388</v>
      </c>
      <c r="B42" s="55" t="s">
        <v>277</v>
      </c>
      <c r="C42" s="54">
        <v>8488064</v>
      </c>
      <c r="D42" s="54">
        <v>8495483</v>
      </c>
      <c r="E42" s="54">
        <v>8537073</v>
      </c>
      <c r="F42" s="54">
        <v>8586192</v>
      </c>
      <c r="G42" s="54">
        <v>8631753</v>
      </c>
      <c r="H42" s="54">
        <v>8677605</v>
      </c>
    </row>
    <row r="43" spans="1:8" x14ac:dyDescent="0.25">
      <c r="A43" s="53" t="s">
        <v>390</v>
      </c>
      <c r="B43" s="55" t="s">
        <v>276</v>
      </c>
      <c r="C43" s="54">
        <v>4708715</v>
      </c>
      <c r="D43" s="54">
        <v>4729649</v>
      </c>
      <c r="E43" s="54">
        <v>4805141</v>
      </c>
      <c r="F43" s="54">
        <v>4890338</v>
      </c>
      <c r="G43" s="54">
        <v>4979417</v>
      </c>
      <c r="H43" s="54">
        <v>5073639</v>
      </c>
    </row>
    <row r="44" spans="1:8" x14ac:dyDescent="0.25">
      <c r="A44" s="53" t="s">
        <v>392</v>
      </c>
      <c r="B44" s="55" t="s">
        <v>275</v>
      </c>
      <c r="C44" s="54">
        <v>370642</v>
      </c>
      <c r="D44" s="54">
        <v>371167</v>
      </c>
      <c r="E44" s="54">
        <v>374387</v>
      </c>
      <c r="F44" s="54">
        <v>377674</v>
      </c>
      <c r="G44" s="54">
        <v>380779</v>
      </c>
      <c r="H44" s="54">
        <v>383085</v>
      </c>
    </row>
    <row r="45" spans="1:8" x14ac:dyDescent="0.25">
      <c r="A45" s="53" t="s">
        <v>394</v>
      </c>
      <c r="B45" s="55" t="s">
        <v>274</v>
      </c>
      <c r="C45" s="54">
        <v>5242525</v>
      </c>
      <c r="D45" s="54">
        <v>5246276</v>
      </c>
      <c r="E45" s="54">
        <v>5269204</v>
      </c>
      <c r="F45" s="54">
        <v>5292849</v>
      </c>
      <c r="G45" s="54">
        <v>5316938</v>
      </c>
      <c r="H45" s="54">
        <v>5336940</v>
      </c>
    </row>
    <row r="46" spans="1:8" x14ac:dyDescent="0.25">
      <c r="A46" s="53" t="s">
        <v>396</v>
      </c>
      <c r="B46" s="55" t="s">
        <v>273</v>
      </c>
      <c r="C46" s="54">
        <v>1746812</v>
      </c>
      <c r="D46" s="54">
        <v>1749328</v>
      </c>
      <c r="E46" s="54">
        <v>1761892</v>
      </c>
      <c r="F46" s="54">
        <v>1776279</v>
      </c>
      <c r="G46" s="54">
        <v>1788739</v>
      </c>
      <c r="H46" s="54">
        <v>1800410</v>
      </c>
    </row>
    <row r="47" spans="1:8" x14ac:dyDescent="0.25">
      <c r="A47" s="53" t="s">
        <v>398</v>
      </c>
      <c r="B47" s="55" t="s">
        <v>272</v>
      </c>
      <c r="C47" s="54">
        <v>1813746</v>
      </c>
      <c r="D47" s="54">
        <v>1819196</v>
      </c>
      <c r="E47" s="54">
        <v>1836691</v>
      </c>
      <c r="F47" s="54">
        <v>1858777</v>
      </c>
      <c r="G47" s="54">
        <v>1879262</v>
      </c>
      <c r="H47" s="54">
        <v>1896933</v>
      </c>
    </row>
    <row r="48" spans="1:8" x14ac:dyDescent="0.25">
      <c r="A48" s="53" t="s">
        <v>400</v>
      </c>
      <c r="B48" s="55" t="s">
        <v>271</v>
      </c>
      <c r="C48" s="54">
        <v>5742838</v>
      </c>
      <c r="D48" s="54">
        <v>5747653</v>
      </c>
      <c r="E48" s="54">
        <v>5770150</v>
      </c>
      <c r="F48" s="54">
        <v>5814288</v>
      </c>
      <c r="G48" s="54">
        <v>5839334</v>
      </c>
      <c r="H48" s="54">
        <v>5861503</v>
      </c>
    </row>
    <row r="49" spans="1:8" x14ac:dyDescent="0.25">
      <c r="A49" s="53" t="s">
        <v>402</v>
      </c>
      <c r="B49" s="55" t="s">
        <v>270</v>
      </c>
      <c r="C49" s="54">
        <v>483468</v>
      </c>
      <c r="D49" s="54">
        <v>483744</v>
      </c>
      <c r="E49" s="54">
        <v>484872</v>
      </c>
      <c r="F49" s="54">
        <v>485990</v>
      </c>
      <c r="G49" s="54">
        <v>487108</v>
      </c>
      <c r="H49" s="54">
        <v>488030</v>
      </c>
    </row>
    <row r="50" spans="1:8" x14ac:dyDescent="0.25">
      <c r="A50" s="53" t="s">
        <v>404</v>
      </c>
      <c r="B50" s="55" t="s">
        <v>269</v>
      </c>
      <c r="C50" s="54">
        <v>2344968</v>
      </c>
      <c r="D50" s="54">
        <v>2353576</v>
      </c>
      <c r="E50" s="54">
        <v>2395199</v>
      </c>
      <c r="F50" s="54">
        <v>2445435</v>
      </c>
      <c r="G50" s="54">
        <v>2489523</v>
      </c>
      <c r="H50" s="54">
        <v>2531444</v>
      </c>
    </row>
    <row r="51" spans="1:8" x14ac:dyDescent="0.25">
      <c r="A51" s="53" t="s">
        <v>406</v>
      </c>
      <c r="B51" s="55" t="s">
        <v>268</v>
      </c>
      <c r="C51" s="54">
        <v>393371</v>
      </c>
      <c r="D51" s="54">
        <v>394347</v>
      </c>
      <c r="E51" s="54">
        <v>400665</v>
      </c>
      <c r="F51" s="54">
        <v>408104</v>
      </c>
      <c r="G51" s="54">
        <v>417081</v>
      </c>
      <c r="H51" s="54">
        <v>423789</v>
      </c>
    </row>
    <row r="52" spans="1:8" x14ac:dyDescent="0.25">
      <c r="A52" s="53" t="s">
        <v>410</v>
      </c>
      <c r="B52" s="55" t="s">
        <v>267</v>
      </c>
      <c r="C52" s="54">
        <v>3031609</v>
      </c>
      <c r="D52" s="54">
        <v>3041022</v>
      </c>
      <c r="E52" s="54">
        <v>3089320</v>
      </c>
      <c r="F52" s="54">
        <v>3145836</v>
      </c>
      <c r="G52" s="54">
        <v>3197030</v>
      </c>
      <c r="H52" s="54">
        <v>3243988</v>
      </c>
    </row>
    <row r="53" spans="1:8" x14ac:dyDescent="0.25">
      <c r="A53" s="53" t="s">
        <v>412</v>
      </c>
      <c r="B53" s="55" t="s">
        <v>266</v>
      </c>
      <c r="C53" s="54">
        <v>11589313</v>
      </c>
      <c r="D53" s="54">
        <v>11640025</v>
      </c>
      <c r="E53" s="54">
        <v>11865731</v>
      </c>
      <c r="F53" s="54">
        <v>12131677</v>
      </c>
      <c r="G53" s="54">
        <v>12390851</v>
      </c>
      <c r="H53" s="54">
        <v>12617283</v>
      </c>
    </row>
    <row r="54" spans="1:8" x14ac:dyDescent="0.25">
      <c r="A54" s="53" t="s">
        <v>414</v>
      </c>
      <c r="B54" s="55" t="s">
        <v>265</v>
      </c>
      <c r="C54" s="54">
        <v>1151414</v>
      </c>
      <c r="D54" s="54">
        <v>1158355</v>
      </c>
      <c r="E54" s="54">
        <v>1189571</v>
      </c>
      <c r="F54" s="54">
        <v>1227811</v>
      </c>
      <c r="G54" s="54">
        <v>1258513</v>
      </c>
      <c r="H54" s="54">
        <v>1283337</v>
      </c>
    </row>
    <row r="55" spans="1:8" x14ac:dyDescent="0.25">
      <c r="A55" s="53" t="s">
        <v>416</v>
      </c>
      <c r="B55" s="55" t="s">
        <v>264</v>
      </c>
      <c r="C55" s="54">
        <v>334318</v>
      </c>
      <c r="D55" s="54">
        <v>334745</v>
      </c>
      <c r="E55" s="54">
        <v>336741</v>
      </c>
      <c r="F55" s="54">
        <v>338973</v>
      </c>
      <c r="G55" s="54">
        <v>341336</v>
      </c>
      <c r="H55" s="54">
        <v>343640</v>
      </c>
    </row>
    <row r="56" spans="1:8" x14ac:dyDescent="0.25">
      <c r="A56" s="53" t="s">
        <v>418</v>
      </c>
      <c r="B56" s="55" t="s">
        <v>263</v>
      </c>
      <c r="C56" s="54">
        <v>3618240</v>
      </c>
      <c r="D56" s="54">
        <v>3624493</v>
      </c>
      <c r="E56" s="54">
        <v>3651776</v>
      </c>
      <c r="F56" s="54">
        <v>3684301</v>
      </c>
      <c r="G56" s="54">
        <v>3717008</v>
      </c>
      <c r="H56" s="54">
        <v>3746256</v>
      </c>
    </row>
    <row r="57" spans="1:8" x14ac:dyDescent="0.25">
      <c r="A57" s="53" t="s">
        <v>420</v>
      </c>
      <c r="B57" s="55" t="s">
        <v>262</v>
      </c>
      <c r="C57" s="54">
        <v>3202240</v>
      </c>
      <c r="D57" s="54">
        <v>3213888</v>
      </c>
      <c r="E57" s="54">
        <v>3252356</v>
      </c>
      <c r="F57" s="54">
        <v>3307995</v>
      </c>
      <c r="G57" s="54">
        <v>3358396</v>
      </c>
      <c r="H57" s="54">
        <v>3400917</v>
      </c>
    </row>
    <row r="58" spans="1:8" x14ac:dyDescent="0.25">
      <c r="A58" s="53" t="s">
        <v>422</v>
      </c>
      <c r="B58" s="55" t="s">
        <v>261</v>
      </c>
      <c r="C58" s="54">
        <v>855648</v>
      </c>
      <c r="D58" s="54">
        <v>856092</v>
      </c>
      <c r="E58" s="54">
        <v>858431</v>
      </c>
      <c r="F58" s="54">
        <v>861541</v>
      </c>
      <c r="G58" s="54">
        <v>863685</v>
      </c>
      <c r="H58" s="54">
        <v>866444</v>
      </c>
    </row>
    <row r="59" spans="1:8" x14ac:dyDescent="0.25">
      <c r="A59" s="53" t="s">
        <v>424</v>
      </c>
      <c r="B59" s="55" t="s">
        <v>260</v>
      </c>
      <c r="C59" s="54">
        <v>2727726</v>
      </c>
      <c r="D59" s="54">
        <v>2732729</v>
      </c>
      <c r="E59" s="54">
        <v>2756607</v>
      </c>
      <c r="F59" s="54">
        <v>2781935</v>
      </c>
      <c r="G59" s="54">
        <v>2803189</v>
      </c>
      <c r="H59" s="54">
        <v>2821094</v>
      </c>
    </row>
    <row r="60" spans="1:8" x14ac:dyDescent="0.25">
      <c r="A60" s="53" t="s">
        <v>426</v>
      </c>
      <c r="B60" s="55" t="s">
        <v>259</v>
      </c>
      <c r="C60" s="54">
        <v>271888</v>
      </c>
      <c r="D60" s="54">
        <v>272280</v>
      </c>
      <c r="E60" s="54">
        <v>274335</v>
      </c>
      <c r="F60" s="54">
        <v>277050</v>
      </c>
      <c r="G60" s="54">
        <v>280075</v>
      </c>
      <c r="H60" s="54">
        <v>281823</v>
      </c>
    </row>
    <row r="61" spans="1:8" ht="24.95" customHeight="1" x14ac:dyDescent="0.25">
      <c r="A61" s="53" t="s">
        <v>429</v>
      </c>
      <c r="B61" s="71" t="s">
        <v>316</v>
      </c>
      <c r="C61" s="72"/>
      <c r="D61" s="72"/>
      <c r="E61" s="72"/>
      <c r="F61" s="72"/>
      <c r="G61" s="72"/>
      <c r="H61" s="72"/>
    </row>
    <row r="62" spans="1:8" ht="45.95" customHeight="1" x14ac:dyDescent="0.25">
      <c r="A62" s="53" t="s">
        <v>430</v>
      </c>
      <c r="B62" s="73" t="s">
        <v>315</v>
      </c>
      <c r="C62" s="74"/>
      <c r="D62" s="74"/>
      <c r="E62" s="74"/>
      <c r="F62" s="74"/>
      <c r="G62" s="74"/>
      <c r="H62" s="75"/>
    </row>
    <row r="63" spans="1:8" ht="14.45" customHeight="1" x14ac:dyDescent="0.25">
      <c r="A63" s="53" t="s">
        <v>258</v>
      </c>
      <c r="B63" s="83" t="s">
        <v>258</v>
      </c>
      <c r="C63" s="84"/>
      <c r="D63" s="84"/>
      <c r="E63" s="84"/>
      <c r="F63" s="84"/>
      <c r="G63" s="84"/>
      <c r="H63" s="85"/>
    </row>
    <row r="64" spans="1:8" ht="14.45" customHeight="1" x14ac:dyDescent="0.25">
      <c r="A64" s="53" t="s">
        <v>314</v>
      </c>
      <c r="B64" s="76" t="s">
        <v>314</v>
      </c>
      <c r="C64" s="86"/>
      <c r="D64" s="86"/>
      <c r="E64" s="86"/>
      <c r="F64" s="86"/>
      <c r="G64" s="86"/>
      <c r="H64" s="87"/>
    </row>
    <row r="65" spans="1:8" ht="15" customHeight="1" x14ac:dyDescent="0.25">
      <c r="A65" s="53" t="s">
        <v>431</v>
      </c>
      <c r="B65" s="76" t="s">
        <v>257</v>
      </c>
      <c r="C65" s="86"/>
      <c r="D65" s="86"/>
      <c r="E65" s="86"/>
      <c r="F65" s="86"/>
      <c r="G65" s="86"/>
      <c r="H65" s="87"/>
    </row>
    <row r="66" spans="1:8" x14ac:dyDescent="0.25">
      <c r="A66" s="53" t="s">
        <v>313</v>
      </c>
      <c r="B66" s="88" t="s">
        <v>313</v>
      </c>
      <c r="C66" s="89"/>
      <c r="D66" s="89"/>
      <c r="E66" s="89"/>
      <c r="F66" s="89"/>
      <c r="G66" s="89"/>
      <c r="H66" s="90"/>
    </row>
  </sheetData>
  <pageMargins left="0.25" right="0.25" top="0.75" bottom="1" header="0.5" footer="0.5"/>
  <pageSetup scale="80" orientation="landscape" horizontalDpi="200" verticalDpi="200" r:id="rId1"/>
  <headerFooter alignWithMargins="0"/>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ED5CD-DAD5-47B5-A785-106C78265E1F}">
  <dimension ref="A1:W59"/>
  <sheetViews>
    <sheetView zoomScaleNormal="100" workbookViewId="0">
      <pane ySplit="5" topLeftCell="A6" activePane="bottomLeft" state="frozen"/>
      <selection sqref="A1:Q11"/>
      <selection pane="bottomLeft" activeCell="K2" sqref="K2"/>
    </sheetView>
  </sheetViews>
  <sheetFormatPr defaultColWidth="9.140625" defaultRowHeight="15" x14ac:dyDescent="0.25"/>
  <cols>
    <col min="1" max="1" width="9.42578125" style="114" bestFit="1" customWidth="1"/>
    <col min="2" max="2" width="18.7109375" style="92" bestFit="1" customWidth="1"/>
    <col min="3" max="3" width="14.140625" style="92" bestFit="1" customWidth="1"/>
    <col min="4" max="6" width="12.5703125" style="92" bestFit="1" customWidth="1"/>
    <col min="7" max="7" width="13.5703125" style="92" customWidth="1"/>
    <col min="8" max="8" width="6.42578125" style="92" customWidth="1"/>
    <col min="9" max="11" width="13.42578125" style="92" bestFit="1" customWidth="1"/>
    <col min="12" max="12" width="12.5703125" style="92" customWidth="1"/>
    <col min="13" max="13" width="13.42578125" style="92" bestFit="1" customWidth="1"/>
    <col min="14" max="14" width="11" style="92" customWidth="1"/>
    <col min="15" max="15" width="13.42578125" style="92" bestFit="1" customWidth="1"/>
    <col min="16" max="16" width="9.140625" style="92"/>
    <col min="17" max="23" width="13.42578125" style="92" bestFit="1" customWidth="1"/>
    <col min="24" max="16384" width="9.140625" style="92"/>
  </cols>
  <sheetData>
    <row r="1" spans="1:23" ht="25.5" customHeight="1" x14ac:dyDescent="0.25">
      <c r="A1" s="125" t="s">
        <v>434</v>
      </c>
      <c r="B1" s="116"/>
      <c r="C1" s="116"/>
      <c r="D1" s="116"/>
      <c r="E1" s="116"/>
      <c r="F1" s="116"/>
      <c r="G1" s="116"/>
      <c r="H1" s="116"/>
      <c r="I1" s="116"/>
      <c r="J1" s="116"/>
      <c r="K1" s="116"/>
      <c r="L1" s="116"/>
      <c r="M1" s="116"/>
      <c r="N1" s="116"/>
      <c r="O1" s="116"/>
      <c r="P1" s="116"/>
    </row>
    <row r="2" spans="1:23" ht="26.25" customHeight="1" thickBot="1" x14ac:dyDescent="0.3">
      <c r="A2" s="117" t="s">
        <v>435</v>
      </c>
      <c r="B2" s="117"/>
      <c r="C2" s="117"/>
      <c r="D2" s="117"/>
      <c r="E2" s="117"/>
      <c r="F2" s="117"/>
      <c r="G2" s="117"/>
      <c r="H2" s="117"/>
      <c r="I2" s="117"/>
      <c r="J2" s="117"/>
      <c r="K2" s="117"/>
      <c r="L2" s="117"/>
      <c r="M2" s="117"/>
      <c r="N2" s="117"/>
      <c r="O2" s="117"/>
      <c r="P2" s="117"/>
      <c r="Q2" s="117"/>
      <c r="R2" s="117"/>
    </row>
    <row r="3" spans="1:23" ht="15.75" thickBot="1" x14ac:dyDescent="0.3">
      <c r="A3" s="118" t="s">
        <v>436</v>
      </c>
      <c r="B3" s="120" t="s">
        <v>437</v>
      </c>
      <c r="C3" s="122" t="s">
        <v>438</v>
      </c>
      <c r="D3" s="123"/>
      <c r="E3" s="123"/>
      <c r="F3" s="124"/>
    </row>
    <row r="4" spans="1:23" ht="16.5" thickTop="1" thickBot="1" x14ac:dyDescent="0.3">
      <c r="A4" s="119"/>
      <c r="B4" s="121"/>
      <c r="C4" s="93">
        <v>2020</v>
      </c>
      <c r="D4" s="94">
        <v>2030</v>
      </c>
      <c r="E4" s="94">
        <v>2040</v>
      </c>
      <c r="F4" s="95">
        <v>2050</v>
      </c>
      <c r="I4" s="96" t="s">
        <v>439</v>
      </c>
      <c r="J4" s="96"/>
      <c r="Q4" s="96" t="s">
        <v>440</v>
      </c>
    </row>
    <row r="5" spans="1:23" s="96" customFormat="1" x14ac:dyDescent="0.25">
      <c r="A5" s="97">
        <v>0</v>
      </c>
      <c r="B5" s="96" t="s">
        <v>310</v>
      </c>
      <c r="C5" s="98">
        <v>331449281</v>
      </c>
      <c r="D5" s="99">
        <v>349695864.83600509</v>
      </c>
      <c r="E5" s="99">
        <v>362293471.00603873</v>
      </c>
      <c r="F5" s="100">
        <v>371766981.53281736</v>
      </c>
      <c r="I5" s="96">
        <v>2020</v>
      </c>
      <c r="J5" s="96">
        <v>2025</v>
      </c>
      <c r="K5" s="96">
        <v>2030</v>
      </c>
      <c r="L5" s="96">
        <v>2035</v>
      </c>
      <c r="M5" s="96">
        <v>2040</v>
      </c>
      <c r="N5" s="96">
        <v>2045</v>
      </c>
      <c r="O5" s="96">
        <v>2050</v>
      </c>
      <c r="Q5" s="96">
        <v>2020</v>
      </c>
      <c r="R5" s="96">
        <v>2025</v>
      </c>
      <c r="S5" s="96">
        <v>2030</v>
      </c>
      <c r="T5" s="96">
        <v>2035</v>
      </c>
      <c r="U5" s="96">
        <v>2040</v>
      </c>
      <c r="V5" s="96">
        <v>2045</v>
      </c>
      <c r="W5" s="96">
        <v>2050</v>
      </c>
    </row>
    <row r="6" spans="1:23" x14ac:dyDescent="0.25">
      <c r="A6" s="101">
        <v>1</v>
      </c>
      <c r="B6" s="92" t="s">
        <v>326</v>
      </c>
      <c r="C6" s="102">
        <v>5024279</v>
      </c>
      <c r="D6" s="103">
        <v>5213941.9593999544</v>
      </c>
      <c r="E6" s="103">
        <v>5269411.9940482555</v>
      </c>
      <c r="F6" s="104">
        <v>5263068.8276395518</v>
      </c>
      <c r="G6" s="105" t="str">
        <f>B6</f>
        <v>Alabama</v>
      </c>
      <c r="H6" s="105" t="s">
        <v>327</v>
      </c>
      <c r="I6" s="126">
        <f>SUMIFS('NST-EST2024-HU'!D:D,'NST-EST2024-HU'!A:A,G6)</f>
        <v>2292694</v>
      </c>
      <c r="J6" s="126">
        <f>AVERAGE(I6,K6)</f>
        <v>2335967.7840631977</v>
      </c>
      <c r="K6" s="126">
        <f>I6*$D6/$C6</f>
        <v>2379241.5681263958</v>
      </c>
      <c r="L6" s="126">
        <f>AVERAGE(K6,M6)</f>
        <v>2391897.6940718251</v>
      </c>
      <c r="M6" s="126">
        <f>K6*$E6/$D6</f>
        <v>2404553.8200172544</v>
      </c>
      <c r="N6" s="126">
        <f>AVERAGE(M6,O6)</f>
        <v>2403106.5536964312</v>
      </c>
      <c r="O6" s="126">
        <f>M6*$F6/$E6</f>
        <v>2401659.2873756085</v>
      </c>
      <c r="P6" s="127" t="s">
        <v>327</v>
      </c>
      <c r="Q6" s="126">
        <f>C6</f>
        <v>5024279</v>
      </c>
      <c r="R6" s="126">
        <f>AVERAGE(Q6,S6)</f>
        <v>5119110.4796999767</v>
      </c>
      <c r="S6" s="126">
        <f>Q6*$D6/$C6</f>
        <v>5213941.9593999544</v>
      </c>
      <c r="T6" s="126">
        <f>AVERAGE(S6,U6)</f>
        <v>5241676.976724105</v>
      </c>
      <c r="U6" s="126">
        <f>S6*$E6/$D6</f>
        <v>5269411.9940482555</v>
      </c>
      <c r="V6" s="126">
        <f>AVERAGE(U6,W6)</f>
        <v>5266240.4108439032</v>
      </c>
      <c r="W6" s="126">
        <f>U6*$F6/$E6</f>
        <v>5263068.8276395518</v>
      </c>
    </row>
    <row r="7" spans="1:23" x14ac:dyDescent="0.25">
      <c r="A7" s="101">
        <v>2</v>
      </c>
      <c r="B7" s="92" t="s">
        <v>328</v>
      </c>
      <c r="C7" s="102">
        <v>733391</v>
      </c>
      <c r="D7" s="103">
        <v>751138.61348068446</v>
      </c>
      <c r="E7" s="103">
        <v>745730.94499167416</v>
      </c>
      <c r="F7" s="104">
        <v>731686.71969204536</v>
      </c>
      <c r="G7" s="105" t="str">
        <f t="shared" ref="G7:G57" si="0">B7</f>
        <v>Alaska</v>
      </c>
      <c r="H7" s="105" t="s">
        <v>329</v>
      </c>
      <c r="I7" s="126">
        <f>SUMIFS('NST-EST2024-HU'!D:D,'NST-EST2024-HU'!A:A,G7)</f>
        <v>326593</v>
      </c>
      <c r="J7" s="126">
        <f t="shared" ref="J7:L56" si="1">AVERAGE(I7,K7)</f>
        <v>330544.67538836529</v>
      </c>
      <c r="K7" s="126">
        <f t="shared" ref="K7:K56" si="2">I7*D7/C7</f>
        <v>334496.35077673057</v>
      </c>
      <c r="L7" s="126">
        <f t="shared" si="1"/>
        <v>333292.28181840456</v>
      </c>
      <c r="M7" s="126">
        <f t="shared" ref="M7:M56" si="3">K7*E7/D7</f>
        <v>332088.21286007855</v>
      </c>
      <c r="N7" s="126">
        <f t="shared" ref="N7:N56" si="4">AVERAGE(M7,O7)</f>
        <v>328961.13216691371</v>
      </c>
      <c r="O7" s="126">
        <f t="shared" ref="O7:O56" si="5">M7*F7/E7</f>
        <v>325834.05147374893</v>
      </c>
      <c r="P7" s="127" t="s">
        <v>329</v>
      </c>
      <c r="Q7" s="126">
        <f>C7</f>
        <v>733391</v>
      </c>
      <c r="R7" s="126">
        <f t="shared" ref="R7:R56" si="6">AVERAGE(Q7,S7)</f>
        <v>742264.80674034217</v>
      </c>
      <c r="S7" s="126">
        <f t="shared" ref="S7:S56" si="7">Q7*$D7/$C7</f>
        <v>751138.61348068446</v>
      </c>
      <c r="T7" s="126">
        <f t="shared" ref="T7:T56" si="8">AVERAGE(S7,U7)</f>
        <v>748434.77923617931</v>
      </c>
      <c r="U7" s="126">
        <f t="shared" ref="U7:U56" si="9">S7*$E7/$D7</f>
        <v>745730.94499167404</v>
      </c>
      <c r="V7" s="126">
        <f t="shared" ref="V7:V56" si="10">AVERAGE(U7,W7)</f>
        <v>738708.83234185958</v>
      </c>
      <c r="W7" s="126">
        <f t="shared" ref="W7:W56" si="11">U7*$F7/$E7</f>
        <v>731686.71969204524</v>
      </c>
    </row>
    <row r="8" spans="1:23" x14ac:dyDescent="0.25">
      <c r="A8" s="101">
        <v>4</v>
      </c>
      <c r="B8" s="92" t="s">
        <v>330</v>
      </c>
      <c r="C8" s="102">
        <v>7151502</v>
      </c>
      <c r="D8" s="103">
        <v>7766235.8948013205</v>
      </c>
      <c r="E8" s="103">
        <v>8354030.2992708869</v>
      </c>
      <c r="F8" s="104">
        <v>8881011.7559838742</v>
      </c>
      <c r="G8" s="105" t="str">
        <f t="shared" si="0"/>
        <v>Arizona</v>
      </c>
      <c r="H8" s="105" t="s">
        <v>331</v>
      </c>
      <c r="I8" s="126">
        <f>SUMIFS('NST-EST2024-HU'!D:D,'NST-EST2024-HU'!A:A,G8)</f>
        <v>3092927</v>
      </c>
      <c r="J8" s="126">
        <f t="shared" si="1"/>
        <v>3225859.0093209902</v>
      </c>
      <c r="K8" s="126">
        <f t="shared" si="2"/>
        <v>3358791.0186419808</v>
      </c>
      <c r="L8" s="126">
        <f t="shared" si="1"/>
        <v>3485897.5470350962</v>
      </c>
      <c r="M8" s="126">
        <f t="shared" si="3"/>
        <v>3613004.0754282116</v>
      </c>
      <c r="N8" s="126">
        <f t="shared" si="4"/>
        <v>3726960.2189045697</v>
      </c>
      <c r="O8" s="126">
        <f t="shared" si="5"/>
        <v>3840916.3623809284</v>
      </c>
      <c r="P8" s="127" t="s">
        <v>331</v>
      </c>
      <c r="Q8" s="126">
        <f t="shared" ref="Q8:Q56" si="12">C8</f>
        <v>7151502</v>
      </c>
      <c r="R8" s="126">
        <f t="shared" si="6"/>
        <v>7458868.9474006593</v>
      </c>
      <c r="S8" s="126">
        <f t="shared" si="7"/>
        <v>7766235.8948013196</v>
      </c>
      <c r="T8" s="126">
        <f t="shared" si="8"/>
        <v>8060133.0970361028</v>
      </c>
      <c r="U8" s="126">
        <f t="shared" si="9"/>
        <v>8354030.299270886</v>
      </c>
      <c r="V8" s="126">
        <f t="shared" si="10"/>
        <v>8617521.0276273787</v>
      </c>
      <c r="W8" s="126">
        <f t="shared" si="11"/>
        <v>8881011.7559838723</v>
      </c>
    </row>
    <row r="9" spans="1:23" x14ac:dyDescent="0.25">
      <c r="A9" s="101">
        <v>5</v>
      </c>
      <c r="B9" s="92" t="s">
        <v>332</v>
      </c>
      <c r="C9" s="102">
        <v>3011524</v>
      </c>
      <c r="D9" s="103">
        <v>3084795.846413034</v>
      </c>
      <c r="E9" s="103">
        <v>3063116.9208203163</v>
      </c>
      <c r="F9" s="104">
        <v>3005949.3046633024</v>
      </c>
      <c r="G9" s="105" t="str">
        <f t="shared" si="0"/>
        <v>Arkansas</v>
      </c>
      <c r="H9" s="105" t="s">
        <v>333</v>
      </c>
      <c r="I9" s="126">
        <f>SUMIFS('NST-EST2024-HU'!D:D,'NST-EST2024-HU'!A:A,G9)</f>
        <v>1368214</v>
      </c>
      <c r="J9" s="126">
        <f t="shared" si="1"/>
        <v>1384858.6566702048</v>
      </c>
      <c r="K9" s="126">
        <f t="shared" si="2"/>
        <v>1401503.3133404094</v>
      </c>
      <c r="L9" s="126">
        <f t="shared" si="1"/>
        <v>1396578.6623163905</v>
      </c>
      <c r="M9" s="126">
        <f>K9*E9/D9</f>
        <v>1391654.0112923717</v>
      </c>
      <c r="N9" s="126">
        <f t="shared" si="4"/>
        <v>1378667.6408080831</v>
      </c>
      <c r="O9" s="126">
        <f t="shared" si="5"/>
        <v>1365681.2703237948</v>
      </c>
      <c r="P9" s="127" t="s">
        <v>333</v>
      </c>
      <c r="Q9" s="126">
        <f t="shared" si="12"/>
        <v>3011524</v>
      </c>
      <c r="R9" s="126">
        <f t="shared" si="6"/>
        <v>3048159.923206517</v>
      </c>
      <c r="S9" s="126">
        <f t="shared" si="7"/>
        <v>3084795.846413034</v>
      </c>
      <c r="T9" s="126">
        <f t="shared" si="8"/>
        <v>3073956.3836166752</v>
      </c>
      <c r="U9" s="126">
        <f t="shared" si="9"/>
        <v>3063116.9208203163</v>
      </c>
      <c r="V9" s="126">
        <f t="shared" si="10"/>
        <v>3034533.1127418093</v>
      </c>
      <c r="W9" s="126">
        <f t="shared" si="11"/>
        <v>3005949.3046633028</v>
      </c>
    </row>
    <row r="10" spans="1:23" x14ac:dyDescent="0.25">
      <c r="A10" s="101">
        <v>6</v>
      </c>
      <c r="B10" s="92" t="s">
        <v>334</v>
      </c>
      <c r="C10" s="102">
        <v>39538223</v>
      </c>
      <c r="D10" s="103">
        <v>41321454.412962787</v>
      </c>
      <c r="E10" s="103">
        <v>42164453.29269436</v>
      </c>
      <c r="F10" s="104">
        <v>42520491.764124498</v>
      </c>
      <c r="G10" s="105" t="str">
        <f t="shared" si="0"/>
        <v>California</v>
      </c>
      <c r="H10" s="105" t="s">
        <v>335</v>
      </c>
      <c r="I10" s="126">
        <f>SUMIFS('NST-EST2024-HU'!D:D,'NST-EST2024-HU'!A:A,G10)</f>
        <v>14417494</v>
      </c>
      <c r="J10" s="126">
        <f t="shared" si="1"/>
        <v>14742618.983449591</v>
      </c>
      <c r="K10" s="126">
        <f t="shared" si="2"/>
        <v>15067743.966899183</v>
      </c>
      <c r="L10" s="126">
        <f t="shared" si="1"/>
        <v>15221442.468859384</v>
      </c>
      <c r="M10" s="126">
        <f t="shared" si="3"/>
        <v>15375140.970819585</v>
      </c>
      <c r="N10" s="126">
        <f t="shared" si="4"/>
        <v>15440055.149254125</v>
      </c>
      <c r="O10" s="126">
        <f t="shared" si="5"/>
        <v>15504969.327688662</v>
      </c>
      <c r="P10" s="127" t="s">
        <v>335</v>
      </c>
      <c r="Q10" s="126">
        <f t="shared" si="12"/>
        <v>39538223</v>
      </c>
      <c r="R10" s="126">
        <f t="shared" si="6"/>
        <v>40429838.706481397</v>
      </c>
      <c r="S10" s="126">
        <f t="shared" si="7"/>
        <v>41321454.412962787</v>
      </c>
      <c r="T10" s="126">
        <f t="shared" si="8"/>
        <v>41742953.852828577</v>
      </c>
      <c r="U10" s="126">
        <f t="shared" si="9"/>
        <v>42164453.29269436</v>
      </c>
      <c r="V10" s="126">
        <f t="shared" si="10"/>
        <v>42342472.528409429</v>
      </c>
      <c r="W10" s="126">
        <f t="shared" si="11"/>
        <v>42520491.764124498</v>
      </c>
    </row>
    <row r="11" spans="1:23" x14ac:dyDescent="0.25">
      <c r="A11" s="101">
        <v>8</v>
      </c>
      <c r="B11" s="92" t="s">
        <v>336</v>
      </c>
      <c r="C11" s="102">
        <v>5773714</v>
      </c>
      <c r="D11" s="103">
        <v>6387211.4132660571</v>
      </c>
      <c r="E11" s="103">
        <v>7050081.2537046131</v>
      </c>
      <c r="F11" s="104">
        <v>7690558.5704174414</v>
      </c>
      <c r="G11" s="105" t="str">
        <f t="shared" si="0"/>
        <v>Colorado</v>
      </c>
      <c r="H11" s="105" t="s">
        <v>337</v>
      </c>
      <c r="I11" s="126">
        <f>SUMIFS('NST-EST2024-HU'!D:D,'NST-EST2024-HU'!A:A,G11)</f>
        <v>2500752</v>
      </c>
      <c r="J11" s="126">
        <f t="shared" si="1"/>
        <v>2633613.1776769618</v>
      </c>
      <c r="K11" s="126">
        <f t="shared" si="2"/>
        <v>2766474.355353923</v>
      </c>
      <c r="L11" s="126">
        <f t="shared" si="1"/>
        <v>2910027.8011269905</v>
      </c>
      <c r="M11" s="126">
        <f t="shared" si="3"/>
        <v>3053581.2469000574</v>
      </c>
      <c r="N11" s="126">
        <f t="shared" si="4"/>
        <v>3192285.288243657</v>
      </c>
      <c r="O11" s="126">
        <f t="shared" si="5"/>
        <v>3330989.3295872565</v>
      </c>
      <c r="P11" s="127" t="s">
        <v>337</v>
      </c>
      <c r="Q11" s="126">
        <f t="shared" si="12"/>
        <v>5773714</v>
      </c>
      <c r="R11" s="126">
        <f t="shared" si="6"/>
        <v>6080462.7066330295</v>
      </c>
      <c r="S11" s="126">
        <f t="shared" si="7"/>
        <v>6387211.4132660581</v>
      </c>
      <c r="T11" s="126">
        <f t="shared" si="8"/>
        <v>6718646.333485337</v>
      </c>
      <c r="U11" s="126">
        <f t="shared" si="9"/>
        <v>7050081.2537046149</v>
      </c>
      <c r="V11" s="126">
        <f t="shared" si="10"/>
        <v>7370319.9120610291</v>
      </c>
      <c r="W11" s="126">
        <f t="shared" si="11"/>
        <v>7690558.5704174433</v>
      </c>
    </row>
    <row r="12" spans="1:23" x14ac:dyDescent="0.25">
      <c r="A12" s="101">
        <v>9</v>
      </c>
      <c r="B12" s="92" t="s">
        <v>338</v>
      </c>
      <c r="C12" s="102">
        <v>3605944</v>
      </c>
      <c r="D12" s="103">
        <v>3629971.1363854278</v>
      </c>
      <c r="E12" s="103">
        <v>3521129.0297373449</v>
      </c>
      <c r="F12" s="104">
        <v>3375527.4071430718</v>
      </c>
      <c r="G12" s="105" t="str">
        <f t="shared" si="0"/>
        <v>Connecticut</v>
      </c>
      <c r="H12" s="105" t="s">
        <v>339</v>
      </c>
      <c r="I12" s="126">
        <f>SUMIFS('NST-EST2024-HU'!D:D,'NST-EST2024-HU'!A:A,G12)</f>
        <v>1531476</v>
      </c>
      <c r="J12" s="126">
        <f t="shared" si="1"/>
        <v>1536578.26763408</v>
      </c>
      <c r="K12" s="126">
        <f t="shared" si="2"/>
        <v>1541680.53526816</v>
      </c>
      <c r="L12" s="126">
        <f t="shared" si="1"/>
        <v>1518567.4372665023</v>
      </c>
      <c r="M12" s="126">
        <f t="shared" si="3"/>
        <v>1495454.3392648445</v>
      </c>
      <c r="N12" s="126">
        <f t="shared" si="4"/>
        <v>1464535.1970701534</v>
      </c>
      <c r="O12" s="126">
        <f t="shared" si="5"/>
        <v>1433616.0548754623</v>
      </c>
      <c r="P12" s="127" t="s">
        <v>339</v>
      </c>
      <c r="Q12" s="126">
        <f t="shared" si="12"/>
        <v>3605944</v>
      </c>
      <c r="R12" s="126">
        <f t="shared" si="6"/>
        <v>3617957.5681927139</v>
      </c>
      <c r="S12" s="126">
        <f t="shared" si="7"/>
        <v>3629971.1363854278</v>
      </c>
      <c r="T12" s="126">
        <f t="shared" si="8"/>
        <v>3575550.0830613864</v>
      </c>
      <c r="U12" s="126">
        <f t="shared" si="9"/>
        <v>3521129.0297373449</v>
      </c>
      <c r="V12" s="126">
        <f t="shared" si="10"/>
        <v>3448328.2184402086</v>
      </c>
      <c r="W12" s="126">
        <f t="shared" si="11"/>
        <v>3375527.4071430718</v>
      </c>
    </row>
    <row r="13" spans="1:23" x14ac:dyDescent="0.25">
      <c r="A13" s="101">
        <v>10</v>
      </c>
      <c r="B13" s="92" t="s">
        <v>340</v>
      </c>
      <c r="C13" s="102">
        <v>989948</v>
      </c>
      <c r="D13" s="103">
        <v>1063672.975783298</v>
      </c>
      <c r="E13" s="103">
        <v>1127462.7880623164</v>
      </c>
      <c r="F13" s="104">
        <v>1181074.3530534173</v>
      </c>
      <c r="G13" s="105" t="str">
        <f t="shared" si="0"/>
        <v>Delaware</v>
      </c>
      <c r="H13" s="105" t="s">
        <v>341</v>
      </c>
      <c r="I13" s="126">
        <f>SUMIFS('NST-EST2024-HU'!D:D,'NST-EST2024-HU'!A:A,G13)</f>
        <v>450131</v>
      </c>
      <c r="J13" s="126">
        <f t="shared" si="1"/>
        <v>466892.43447651376</v>
      </c>
      <c r="K13" s="126">
        <f t="shared" si="2"/>
        <v>483653.86895302753</v>
      </c>
      <c r="L13" s="126">
        <f t="shared" si="1"/>
        <v>498156.53575520642</v>
      </c>
      <c r="M13" s="126">
        <f t="shared" si="3"/>
        <v>512659.20255738532</v>
      </c>
      <c r="N13" s="126">
        <f t="shared" si="4"/>
        <v>524847.83638512646</v>
      </c>
      <c r="O13" s="126">
        <f t="shared" si="5"/>
        <v>537036.47021286748</v>
      </c>
      <c r="P13" s="127" t="s">
        <v>341</v>
      </c>
      <c r="Q13" s="126">
        <f t="shared" si="12"/>
        <v>989948</v>
      </c>
      <c r="R13" s="126">
        <f t="shared" si="6"/>
        <v>1026810.487891649</v>
      </c>
      <c r="S13" s="126">
        <f t="shared" si="7"/>
        <v>1063672.975783298</v>
      </c>
      <c r="T13" s="126">
        <f t="shared" si="8"/>
        <v>1095567.8819228071</v>
      </c>
      <c r="U13" s="126">
        <f t="shared" si="9"/>
        <v>1127462.7880623164</v>
      </c>
      <c r="V13" s="126">
        <f t="shared" si="10"/>
        <v>1154268.5705578667</v>
      </c>
      <c r="W13" s="126">
        <f t="shared" si="11"/>
        <v>1181074.3530534173</v>
      </c>
    </row>
    <row r="14" spans="1:23" x14ac:dyDescent="0.25">
      <c r="A14" s="101">
        <v>11</v>
      </c>
      <c r="B14" s="92" t="s">
        <v>428</v>
      </c>
      <c r="C14" s="102">
        <v>689545</v>
      </c>
      <c r="D14" s="103">
        <v>761820.34899197798</v>
      </c>
      <c r="E14" s="103">
        <v>839353.09399886103</v>
      </c>
      <c r="F14" s="104">
        <v>913940.14248062251</v>
      </c>
      <c r="G14" s="105" t="str">
        <f t="shared" si="0"/>
        <v>District of Columbia</v>
      </c>
      <c r="H14" s="105" t="s">
        <v>432</v>
      </c>
      <c r="I14" s="126">
        <f>SUMIFS('NST-EST2024-HU'!D:D,'NST-EST2024-HU'!A:A,G14)</f>
        <v>351429</v>
      </c>
      <c r="J14" s="126">
        <f t="shared" si="1"/>
        <v>369846.69110130728</v>
      </c>
      <c r="K14" s="126">
        <f t="shared" si="2"/>
        <v>388264.38220261451</v>
      </c>
      <c r="L14" s="126">
        <f t="shared" si="1"/>
        <v>408021.79835748754</v>
      </c>
      <c r="M14" s="126">
        <f t="shared" si="3"/>
        <v>427779.21451236063</v>
      </c>
      <c r="N14" s="126">
        <f t="shared" si="4"/>
        <v>446785.98844364646</v>
      </c>
      <c r="O14" s="126">
        <f t="shared" si="5"/>
        <v>465792.76237493224</v>
      </c>
      <c r="P14" s="127" t="s">
        <v>432</v>
      </c>
      <c r="Q14" s="126">
        <f t="shared" si="12"/>
        <v>689545</v>
      </c>
      <c r="R14" s="126">
        <f t="shared" si="6"/>
        <v>725682.67449598899</v>
      </c>
      <c r="S14" s="126">
        <f t="shared" si="7"/>
        <v>761820.34899197798</v>
      </c>
      <c r="T14" s="126">
        <f t="shared" si="8"/>
        <v>800586.72149541951</v>
      </c>
      <c r="U14" s="126">
        <f t="shared" si="9"/>
        <v>839353.09399886115</v>
      </c>
      <c r="V14" s="126">
        <f t="shared" si="10"/>
        <v>876646.61823974189</v>
      </c>
      <c r="W14" s="126">
        <f t="shared" si="11"/>
        <v>913940.14248062263</v>
      </c>
    </row>
    <row r="15" spans="1:23" x14ac:dyDescent="0.25">
      <c r="A15" s="101">
        <v>12</v>
      </c>
      <c r="B15" s="92" t="s">
        <v>342</v>
      </c>
      <c r="C15" s="102">
        <v>21538187</v>
      </c>
      <c r="D15" s="103">
        <v>23790046.180994146</v>
      </c>
      <c r="E15" s="103">
        <v>26202482.723461993</v>
      </c>
      <c r="F15" s="104">
        <v>28521379.819008172</v>
      </c>
      <c r="G15" s="105" t="str">
        <f t="shared" si="0"/>
        <v>Florida</v>
      </c>
      <c r="H15" s="105" t="s">
        <v>343</v>
      </c>
      <c r="I15" s="126">
        <f>SUMIFS('NST-EST2024-HU'!D:D,'NST-EST2024-HU'!A:A,G15)</f>
        <v>9900384</v>
      </c>
      <c r="J15" s="126">
        <f t="shared" si="1"/>
        <v>10417936.164575588</v>
      </c>
      <c r="K15" s="126">
        <f t="shared" si="2"/>
        <v>10935488.329151174</v>
      </c>
      <c r="L15" s="126">
        <f t="shared" si="1"/>
        <v>11489946.51418931</v>
      </c>
      <c r="M15" s="126">
        <f t="shared" si="3"/>
        <v>12044404.699227447</v>
      </c>
      <c r="N15" s="126">
        <f t="shared" si="4"/>
        <v>12577364.407080105</v>
      </c>
      <c r="O15" s="126">
        <f t="shared" si="5"/>
        <v>13110324.114932762</v>
      </c>
      <c r="P15" s="127" t="s">
        <v>343</v>
      </c>
      <c r="Q15" s="126">
        <f t="shared" si="12"/>
        <v>21538187</v>
      </c>
      <c r="R15" s="126">
        <f t="shared" si="6"/>
        <v>22664116.590497073</v>
      </c>
      <c r="S15" s="126">
        <f t="shared" si="7"/>
        <v>23790046.180994146</v>
      </c>
      <c r="T15" s="126">
        <f t="shared" si="8"/>
        <v>24996264.452228069</v>
      </c>
      <c r="U15" s="126">
        <f t="shared" si="9"/>
        <v>26202482.723461997</v>
      </c>
      <c r="V15" s="126">
        <f t="shared" si="10"/>
        <v>27361931.271235086</v>
      </c>
      <c r="W15" s="126">
        <f t="shared" si="11"/>
        <v>28521379.819008175</v>
      </c>
    </row>
    <row r="16" spans="1:23" x14ac:dyDescent="0.25">
      <c r="A16" s="101">
        <v>13</v>
      </c>
      <c r="B16" s="92" t="s">
        <v>344</v>
      </c>
      <c r="C16" s="102">
        <v>10711908</v>
      </c>
      <c r="D16" s="103">
        <v>11534245.404131707</v>
      </c>
      <c r="E16" s="103">
        <v>12262063.814451212</v>
      </c>
      <c r="F16" s="104">
        <v>12883055.783321418</v>
      </c>
      <c r="G16" s="105" t="str">
        <f t="shared" si="0"/>
        <v>Georgia</v>
      </c>
      <c r="H16" s="105" t="s">
        <v>345</v>
      </c>
      <c r="I16" s="126">
        <f>SUMIFS('NST-EST2024-HU'!D:D,'NST-EST2024-HU'!A:A,G16)</f>
        <v>4423066</v>
      </c>
      <c r="J16" s="126">
        <f t="shared" si="1"/>
        <v>4592842.1319805589</v>
      </c>
      <c r="K16" s="126">
        <f t="shared" si="2"/>
        <v>4762618.2639611177</v>
      </c>
      <c r="L16" s="126">
        <f t="shared" si="1"/>
        <v>4912880.4238330219</v>
      </c>
      <c r="M16" s="126">
        <f t="shared" si="3"/>
        <v>5063142.5837049251</v>
      </c>
      <c r="N16" s="126">
        <f t="shared" si="4"/>
        <v>5191349.8304336527</v>
      </c>
      <c r="O16" s="126">
        <f t="shared" si="5"/>
        <v>5319557.0771623803</v>
      </c>
      <c r="P16" s="127" t="s">
        <v>345</v>
      </c>
      <c r="Q16" s="126">
        <f t="shared" si="12"/>
        <v>10711908</v>
      </c>
      <c r="R16" s="126">
        <f t="shared" si="6"/>
        <v>11123076.702065853</v>
      </c>
      <c r="S16" s="126">
        <f t="shared" si="7"/>
        <v>11534245.404131707</v>
      </c>
      <c r="T16" s="126">
        <f t="shared" si="8"/>
        <v>11898154.60929146</v>
      </c>
      <c r="U16" s="126">
        <f t="shared" si="9"/>
        <v>12262063.814451212</v>
      </c>
      <c r="V16" s="126">
        <f t="shared" si="10"/>
        <v>12572559.798886314</v>
      </c>
      <c r="W16" s="126">
        <f t="shared" si="11"/>
        <v>12883055.783321418</v>
      </c>
    </row>
    <row r="17" spans="1:23" x14ac:dyDescent="0.25">
      <c r="A17" s="101">
        <v>15</v>
      </c>
      <c r="B17" s="92" t="s">
        <v>346</v>
      </c>
      <c r="C17" s="102">
        <v>1455271</v>
      </c>
      <c r="D17" s="103">
        <v>1529813.6857199252</v>
      </c>
      <c r="E17" s="103">
        <v>1573524.5554215652</v>
      </c>
      <c r="F17" s="104">
        <v>1599519.1283096254</v>
      </c>
      <c r="G17" s="105" t="str">
        <f t="shared" si="0"/>
        <v>Hawaii</v>
      </c>
      <c r="H17" s="105" t="s">
        <v>347</v>
      </c>
      <c r="I17" s="126">
        <f>SUMIFS('NST-EST2024-HU'!D:D,'NST-EST2024-HU'!A:A,G17)</f>
        <v>562001</v>
      </c>
      <c r="J17" s="126">
        <f t="shared" si="1"/>
        <v>576394.56103340327</v>
      </c>
      <c r="K17" s="126">
        <f t="shared" si="2"/>
        <v>590788.12206680654</v>
      </c>
      <c r="L17" s="126">
        <f t="shared" si="1"/>
        <v>599228.32065634464</v>
      </c>
      <c r="M17" s="126">
        <f t="shared" si="3"/>
        <v>607668.51924588275</v>
      </c>
      <c r="N17" s="126">
        <f t="shared" si="4"/>
        <v>612687.8510258958</v>
      </c>
      <c r="O17" s="126">
        <f t="shared" si="5"/>
        <v>617707.18280590884</v>
      </c>
      <c r="P17" s="127" t="s">
        <v>347</v>
      </c>
      <c r="Q17" s="126">
        <f t="shared" si="12"/>
        <v>1455271</v>
      </c>
      <c r="R17" s="126">
        <f t="shared" si="6"/>
        <v>1492542.3428599625</v>
      </c>
      <c r="S17" s="126">
        <f t="shared" si="7"/>
        <v>1529813.6857199252</v>
      </c>
      <c r="T17" s="126">
        <f t="shared" si="8"/>
        <v>1551669.1205707453</v>
      </c>
      <c r="U17" s="126">
        <f t="shared" si="9"/>
        <v>1573524.5554215652</v>
      </c>
      <c r="V17" s="126">
        <f t="shared" si="10"/>
        <v>1586521.8418655954</v>
      </c>
      <c r="W17" s="126">
        <f t="shared" si="11"/>
        <v>1599519.1283096254</v>
      </c>
    </row>
    <row r="18" spans="1:23" x14ac:dyDescent="0.25">
      <c r="A18" s="101">
        <v>16</v>
      </c>
      <c r="B18" s="92" t="s">
        <v>348</v>
      </c>
      <c r="C18" s="102">
        <v>1839106</v>
      </c>
      <c r="D18" s="103">
        <v>2066264.6063848652</v>
      </c>
      <c r="E18" s="103">
        <v>2330711.6931815208</v>
      </c>
      <c r="F18" s="104">
        <v>2598197.1621829136</v>
      </c>
      <c r="G18" s="105" t="str">
        <f t="shared" si="0"/>
        <v>Idaho</v>
      </c>
      <c r="H18" s="105" t="s">
        <v>349</v>
      </c>
      <c r="I18" s="126">
        <f>SUMIFS('NST-EST2024-HU'!D:D,'NST-EST2024-HU'!A:A,G18)</f>
        <v>756169</v>
      </c>
      <c r="J18" s="126">
        <f t="shared" si="1"/>
        <v>802868.40074999409</v>
      </c>
      <c r="K18" s="126">
        <f t="shared" si="2"/>
        <v>849567.80149998819</v>
      </c>
      <c r="L18" s="126">
        <f t="shared" si="1"/>
        <v>903932.99012313993</v>
      </c>
      <c r="M18" s="126">
        <f t="shared" si="3"/>
        <v>958298.17874629167</v>
      </c>
      <c r="N18" s="126">
        <f t="shared" si="4"/>
        <v>1013287.9997814343</v>
      </c>
      <c r="O18" s="126">
        <f t="shared" si="5"/>
        <v>1068277.8208165769</v>
      </c>
      <c r="P18" s="127" t="s">
        <v>349</v>
      </c>
      <c r="Q18" s="126">
        <f t="shared" si="12"/>
        <v>1839106</v>
      </c>
      <c r="R18" s="126">
        <f t="shared" si="6"/>
        <v>1952685.3031924325</v>
      </c>
      <c r="S18" s="126">
        <f t="shared" si="7"/>
        <v>2066264.6063848652</v>
      </c>
      <c r="T18" s="126">
        <f t="shared" si="8"/>
        <v>2198488.1497831927</v>
      </c>
      <c r="U18" s="126">
        <f t="shared" si="9"/>
        <v>2330711.6931815203</v>
      </c>
      <c r="V18" s="126">
        <f t="shared" si="10"/>
        <v>2464454.4276822167</v>
      </c>
      <c r="W18" s="126">
        <f t="shared" si="11"/>
        <v>2598197.1621829132</v>
      </c>
    </row>
    <row r="19" spans="1:23" x14ac:dyDescent="0.25">
      <c r="A19" s="101">
        <v>17</v>
      </c>
      <c r="B19" s="92" t="s">
        <v>350</v>
      </c>
      <c r="C19" s="102">
        <v>12812508</v>
      </c>
      <c r="D19" s="103">
        <v>12798927.800592208</v>
      </c>
      <c r="E19" s="103">
        <v>12288130.499614125</v>
      </c>
      <c r="F19" s="104">
        <v>11659474.347702384</v>
      </c>
      <c r="G19" s="105" t="str">
        <f t="shared" si="0"/>
        <v>Illinois</v>
      </c>
      <c r="H19" s="105" t="s">
        <v>351</v>
      </c>
      <c r="I19" s="126">
        <f>SUMIFS('NST-EST2024-HU'!D:D,'NST-EST2024-HU'!A:A,G19)</f>
        <v>5430318</v>
      </c>
      <c r="J19" s="126">
        <f t="shared" si="1"/>
        <v>5427440.1558929868</v>
      </c>
      <c r="K19" s="126">
        <f t="shared" si="2"/>
        <v>5424562.3117859736</v>
      </c>
      <c r="L19" s="126">
        <f t="shared" si="1"/>
        <v>5316316.8465791345</v>
      </c>
      <c r="M19" s="126">
        <f t="shared" si="3"/>
        <v>5208071.3813722953</v>
      </c>
      <c r="N19" s="126">
        <f t="shared" si="4"/>
        <v>5074849.8911871938</v>
      </c>
      <c r="O19" s="126">
        <f t="shared" si="5"/>
        <v>4941628.4010020923</v>
      </c>
      <c r="P19" s="127" t="s">
        <v>351</v>
      </c>
      <c r="Q19" s="126">
        <f t="shared" si="12"/>
        <v>12812508</v>
      </c>
      <c r="R19" s="126">
        <f t="shared" si="6"/>
        <v>12805717.900296103</v>
      </c>
      <c r="S19" s="126">
        <f t="shared" si="7"/>
        <v>12798927.800592208</v>
      </c>
      <c r="T19" s="126">
        <f t="shared" si="8"/>
        <v>12543529.150103167</v>
      </c>
      <c r="U19" s="126">
        <f t="shared" si="9"/>
        <v>12288130.499614125</v>
      </c>
      <c r="V19" s="126">
        <f t="shared" si="10"/>
        <v>11973802.423658254</v>
      </c>
      <c r="W19" s="126">
        <f t="shared" si="11"/>
        <v>11659474.347702382</v>
      </c>
    </row>
    <row r="20" spans="1:23" x14ac:dyDescent="0.25">
      <c r="A20" s="101">
        <v>18</v>
      </c>
      <c r="B20" s="92" t="s">
        <v>352</v>
      </c>
      <c r="C20" s="102">
        <v>6785528</v>
      </c>
      <c r="D20" s="103">
        <v>7018842.962614065</v>
      </c>
      <c r="E20" s="103">
        <v>7062290.1083437586</v>
      </c>
      <c r="F20" s="104">
        <v>7022738.7452546703</v>
      </c>
      <c r="G20" s="105" t="str">
        <f t="shared" si="0"/>
        <v>Indiana</v>
      </c>
      <c r="H20" s="105" t="s">
        <v>353</v>
      </c>
      <c r="I20" s="126">
        <f>SUMIFS('NST-EST2024-HU'!D:D,'NST-EST2024-HU'!A:A,G20)</f>
        <v>2927771</v>
      </c>
      <c r="J20" s="126">
        <f t="shared" si="1"/>
        <v>2978105.5341296615</v>
      </c>
      <c r="K20" s="126">
        <f t="shared" si="2"/>
        <v>3028440.0682593226</v>
      </c>
      <c r="L20" s="126">
        <f t="shared" si="1"/>
        <v>3037813.1998196207</v>
      </c>
      <c r="M20" s="126">
        <f t="shared" si="3"/>
        <v>3047186.3313799184</v>
      </c>
      <c r="N20" s="126">
        <f t="shared" si="4"/>
        <v>3038653.6620089645</v>
      </c>
      <c r="O20" s="126">
        <f t="shared" si="5"/>
        <v>3030120.9926380105</v>
      </c>
      <c r="P20" s="127" t="s">
        <v>353</v>
      </c>
      <c r="Q20" s="126">
        <f t="shared" si="12"/>
        <v>6785528</v>
      </c>
      <c r="R20" s="126">
        <f t="shared" si="6"/>
        <v>6902185.4813070334</v>
      </c>
      <c r="S20" s="126">
        <f t="shared" si="7"/>
        <v>7018842.962614066</v>
      </c>
      <c r="T20" s="126">
        <f t="shared" si="8"/>
        <v>7040566.5354789132</v>
      </c>
      <c r="U20" s="126">
        <f t="shared" si="9"/>
        <v>7062290.1083437605</v>
      </c>
      <c r="V20" s="126">
        <f t="shared" si="10"/>
        <v>7042514.4267992163</v>
      </c>
      <c r="W20" s="126">
        <f t="shared" si="11"/>
        <v>7022738.7452546721</v>
      </c>
    </row>
    <row r="21" spans="1:23" x14ac:dyDescent="0.25">
      <c r="A21" s="101">
        <v>19</v>
      </c>
      <c r="B21" s="92" t="s">
        <v>354</v>
      </c>
      <c r="C21" s="102">
        <v>3190369</v>
      </c>
      <c r="D21" s="103">
        <v>3301783.5734247975</v>
      </c>
      <c r="E21" s="103">
        <v>3324567.3310771948</v>
      </c>
      <c r="F21" s="104">
        <v>3308282.5485984799</v>
      </c>
      <c r="G21" s="105" t="str">
        <f t="shared" si="0"/>
        <v>Iowa</v>
      </c>
      <c r="H21" s="105" t="s">
        <v>355</v>
      </c>
      <c r="I21" s="126">
        <f>SUMIFS('NST-EST2024-HU'!D:D,'NST-EST2024-HU'!A:A,G21)</f>
        <v>1415325</v>
      </c>
      <c r="J21" s="126">
        <f t="shared" si="1"/>
        <v>1440038.1023296132</v>
      </c>
      <c r="K21" s="126">
        <f t="shared" si="2"/>
        <v>1464751.2046592264</v>
      </c>
      <c r="L21" s="126">
        <f t="shared" si="1"/>
        <v>1469804.9181637424</v>
      </c>
      <c r="M21" s="126">
        <f t="shared" si="3"/>
        <v>1474858.6316682587</v>
      </c>
      <c r="N21" s="126">
        <f t="shared" si="4"/>
        <v>1471246.4696014747</v>
      </c>
      <c r="O21" s="126">
        <f t="shared" si="5"/>
        <v>1467634.3075346907</v>
      </c>
      <c r="P21" s="127" t="s">
        <v>355</v>
      </c>
      <c r="Q21" s="126">
        <f t="shared" si="12"/>
        <v>3190369</v>
      </c>
      <c r="R21" s="126">
        <f t="shared" si="6"/>
        <v>3246076.2867123988</v>
      </c>
      <c r="S21" s="126">
        <f t="shared" si="7"/>
        <v>3301783.5734247975</v>
      </c>
      <c r="T21" s="126">
        <f t="shared" si="8"/>
        <v>3313175.4522509961</v>
      </c>
      <c r="U21" s="126">
        <f t="shared" si="9"/>
        <v>3324567.3310771948</v>
      </c>
      <c r="V21" s="126">
        <f t="shared" si="10"/>
        <v>3316424.9398378376</v>
      </c>
      <c r="W21" s="126">
        <f t="shared" si="11"/>
        <v>3308282.5485984799</v>
      </c>
    </row>
    <row r="22" spans="1:23" x14ac:dyDescent="0.25">
      <c r="A22" s="101">
        <v>20</v>
      </c>
      <c r="B22" s="92" t="s">
        <v>356</v>
      </c>
      <c r="C22" s="102">
        <v>2937880</v>
      </c>
      <c r="D22" s="103">
        <v>3002710.5780759854</v>
      </c>
      <c r="E22" s="103">
        <v>2972719.4050657703</v>
      </c>
      <c r="F22" s="104">
        <v>2908541.6879729806</v>
      </c>
      <c r="G22" s="105" t="str">
        <f t="shared" si="0"/>
        <v>Kansas</v>
      </c>
      <c r="H22" s="105" t="s">
        <v>357</v>
      </c>
      <c r="I22" s="126">
        <f>SUMIFS('NST-EST2024-HU'!D:D,'NST-EST2024-HU'!A:A,G22)</f>
        <v>1277301</v>
      </c>
      <c r="J22" s="126">
        <f t="shared" si="1"/>
        <v>1291394.1832149432</v>
      </c>
      <c r="K22" s="126">
        <f t="shared" si="2"/>
        <v>1305487.3664298863</v>
      </c>
      <c r="L22" s="126">
        <f t="shared" si="1"/>
        <v>1298967.7408364108</v>
      </c>
      <c r="M22" s="126">
        <f t="shared" si="3"/>
        <v>1292448.115242935</v>
      </c>
      <c r="N22" s="126">
        <f t="shared" si="4"/>
        <v>1278496.8540919796</v>
      </c>
      <c r="O22" s="126">
        <f t="shared" si="5"/>
        <v>1264545.5929410243</v>
      </c>
      <c r="P22" s="127" t="s">
        <v>357</v>
      </c>
      <c r="Q22" s="126">
        <f t="shared" si="12"/>
        <v>2937880</v>
      </c>
      <c r="R22" s="126">
        <f t="shared" si="6"/>
        <v>2970295.2890379932</v>
      </c>
      <c r="S22" s="126">
        <f t="shared" si="7"/>
        <v>3002710.5780759859</v>
      </c>
      <c r="T22" s="126">
        <f t="shared" si="8"/>
        <v>2987714.9915708783</v>
      </c>
      <c r="U22" s="126">
        <f t="shared" si="9"/>
        <v>2972719.4050657707</v>
      </c>
      <c r="V22" s="126">
        <f t="shared" si="10"/>
        <v>2940630.5465193759</v>
      </c>
      <c r="W22" s="126">
        <f t="shared" si="11"/>
        <v>2908541.687972981</v>
      </c>
    </row>
    <row r="23" spans="1:23" x14ac:dyDescent="0.25">
      <c r="A23" s="101">
        <v>21</v>
      </c>
      <c r="B23" s="92" t="s">
        <v>358</v>
      </c>
      <c r="C23" s="102">
        <v>4505836</v>
      </c>
      <c r="D23" s="103">
        <v>4633880.8341481034</v>
      </c>
      <c r="E23" s="103">
        <v>4626152.924592006</v>
      </c>
      <c r="F23" s="104">
        <v>4564319.5224742861</v>
      </c>
      <c r="G23" s="105" t="str">
        <f t="shared" si="0"/>
        <v>Kentucky</v>
      </c>
      <c r="H23" s="105" t="s">
        <v>359</v>
      </c>
      <c r="I23" s="126">
        <f>SUMIFS('NST-EST2024-HU'!D:D,'NST-EST2024-HU'!A:A,G23)</f>
        <v>1996957</v>
      </c>
      <c r="J23" s="126">
        <f t="shared" si="1"/>
        <v>2025331.315872337</v>
      </c>
      <c r="K23" s="126">
        <f t="shared" si="2"/>
        <v>2053705.6317446739</v>
      </c>
      <c r="L23" s="126">
        <f t="shared" si="1"/>
        <v>2051993.1522976398</v>
      </c>
      <c r="M23" s="126">
        <f t="shared" si="3"/>
        <v>2050280.6728506053</v>
      </c>
      <c r="N23" s="126">
        <f t="shared" si="4"/>
        <v>2036578.5934592565</v>
      </c>
      <c r="O23" s="126">
        <f t="shared" si="5"/>
        <v>2022876.5140679076</v>
      </c>
      <c r="P23" s="127" t="s">
        <v>359</v>
      </c>
      <c r="Q23" s="126">
        <f t="shared" si="12"/>
        <v>4505836</v>
      </c>
      <c r="R23" s="126">
        <f t="shared" si="6"/>
        <v>4569858.4170740517</v>
      </c>
      <c r="S23" s="126">
        <f t="shared" si="7"/>
        <v>4633880.8341481034</v>
      </c>
      <c r="T23" s="126">
        <f t="shared" si="8"/>
        <v>4630016.8793700542</v>
      </c>
      <c r="U23" s="126">
        <f t="shared" si="9"/>
        <v>4626152.924592006</v>
      </c>
      <c r="V23" s="126">
        <f t="shared" si="10"/>
        <v>4595236.2235331461</v>
      </c>
      <c r="W23" s="126">
        <f t="shared" si="11"/>
        <v>4564319.5224742861</v>
      </c>
    </row>
    <row r="24" spans="1:23" x14ac:dyDescent="0.25">
      <c r="A24" s="101">
        <v>22</v>
      </c>
      <c r="B24" s="92" t="s">
        <v>360</v>
      </c>
      <c r="C24" s="102">
        <v>4657757</v>
      </c>
      <c r="D24" s="103">
        <v>4752752.1650289232</v>
      </c>
      <c r="E24" s="103">
        <v>4694904.5017160606</v>
      </c>
      <c r="F24" s="104">
        <v>4583416.1200747248</v>
      </c>
      <c r="G24" s="105" t="str">
        <f t="shared" si="0"/>
        <v>Louisiana</v>
      </c>
      <c r="H24" s="105" t="s">
        <v>361</v>
      </c>
      <c r="I24" s="126">
        <f>SUMIFS('NST-EST2024-HU'!D:D,'NST-EST2024-HU'!A:A,G24)</f>
        <v>2076547</v>
      </c>
      <c r="J24" s="126">
        <f t="shared" si="1"/>
        <v>2097722.6350701973</v>
      </c>
      <c r="K24" s="126">
        <f t="shared" si="2"/>
        <v>2118898.2701403946</v>
      </c>
      <c r="L24" s="126">
        <f t="shared" si="1"/>
        <v>2106003.2874578144</v>
      </c>
      <c r="M24" s="126">
        <f t="shared" si="3"/>
        <v>2093108.3047752338</v>
      </c>
      <c r="N24" s="126">
        <f t="shared" si="4"/>
        <v>2068256.1211563619</v>
      </c>
      <c r="O24" s="126">
        <f t="shared" si="5"/>
        <v>2043403.9375374902</v>
      </c>
      <c r="P24" s="127" t="s">
        <v>361</v>
      </c>
      <c r="Q24" s="126">
        <f t="shared" si="12"/>
        <v>4657757</v>
      </c>
      <c r="R24" s="126">
        <f t="shared" si="6"/>
        <v>4705254.5825144611</v>
      </c>
      <c r="S24" s="126">
        <f t="shared" si="7"/>
        <v>4752752.1650289232</v>
      </c>
      <c r="T24" s="126">
        <f t="shared" si="8"/>
        <v>4723828.3333724923</v>
      </c>
      <c r="U24" s="126">
        <f t="shared" si="9"/>
        <v>4694904.5017160606</v>
      </c>
      <c r="V24" s="126">
        <f t="shared" si="10"/>
        <v>4639160.3108953927</v>
      </c>
      <c r="W24" s="126">
        <f t="shared" si="11"/>
        <v>4583416.1200747248</v>
      </c>
    </row>
    <row r="25" spans="1:23" x14ac:dyDescent="0.25">
      <c r="A25" s="101">
        <v>23</v>
      </c>
      <c r="B25" s="92" t="s">
        <v>362</v>
      </c>
      <c r="C25" s="102">
        <v>1362359</v>
      </c>
      <c r="D25" s="103">
        <v>1388292.571491861</v>
      </c>
      <c r="E25" s="103">
        <v>1368934.2002027514</v>
      </c>
      <c r="F25" s="104">
        <v>1334028.4084958921</v>
      </c>
      <c r="G25" s="105" t="str">
        <f t="shared" si="0"/>
        <v>Maine</v>
      </c>
      <c r="H25" s="105" t="s">
        <v>363</v>
      </c>
      <c r="I25" s="126">
        <f>SUMIFS('NST-EST2024-HU'!D:D,'NST-EST2024-HU'!A:A,G25)</f>
        <v>740116</v>
      </c>
      <c r="J25" s="126">
        <f t="shared" si="1"/>
        <v>747160.34411130636</v>
      </c>
      <c r="K25" s="126">
        <f t="shared" si="2"/>
        <v>754204.6882226126</v>
      </c>
      <c r="L25" s="126">
        <f t="shared" si="1"/>
        <v>748946.36779275141</v>
      </c>
      <c r="M25" s="126">
        <f t="shared" si="3"/>
        <v>743688.04736289021</v>
      </c>
      <c r="N25" s="126">
        <f t="shared" si="4"/>
        <v>734206.57627673971</v>
      </c>
      <c r="O25" s="126">
        <f t="shared" si="5"/>
        <v>724725.10519058921</v>
      </c>
      <c r="P25" s="127" t="s">
        <v>363</v>
      </c>
      <c r="Q25" s="126">
        <f t="shared" si="12"/>
        <v>1362359</v>
      </c>
      <c r="R25" s="126">
        <f t="shared" si="6"/>
        <v>1375325.7857459304</v>
      </c>
      <c r="S25" s="126">
        <f t="shared" si="7"/>
        <v>1388292.571491861</v>
      </c>
      <c r="T25" s="126">
        <f t="shared" si="8"/>
        <v>1378613.3858473063</v>
      </c>
      <c r="U25" s="126">
        <f t="shared" si="9"/>
        <v>1368934.2002027514</v>
      </c>
      <c r="V25" s="126">
        <f t="shared" si="10"/>
        <v>1351481.3043493219</v>
      </c>
      <c r="W25" s="126">
        <f t="shared" si="11"/>
        <v>1334028.4084958921</v>
      </c>
    </row>
    <row r="26" spans="1:23" x14ac:dyDescent="0.25">
      <c r="A26" s="101">
        <v>24</v>
      </c>
      <c r="B26" s="92" t="s">
        <v>364</v>
      </c>
      <c r="C26" s="102">
        <v>6177224</v>
      </c>
      <c r="D26" s="103">
        <v>6494089.8572746906</v>
      </c>
      <c r="E26" s="103">
        <v>6680280.3244134784</v>
      </c>
      <c r="F26" s="104">
        <v>6791285.8617444122</v>
      </c>
      <c r="G26" s="105" t="str">
        <f t="shared" si="0"/>
        <v>Maryland</v>
      </c>
      <c r="H26" s="105" t="s">
        <v>365</v>
      </c>
      <c r="I26" s="126">
        <f>SUMIFS('NST-EST2024-HU'!D:D,'NST-EST2024-HU'!A:A,G26)</f>
        <v>2534120</v>
      </c>
      <c r="J26" s="126">
        <f t="shared" si="1"/>
        <v>2599114.8995080106</v>
      </c>
      <c r="K26" s="126">
        <f t="shared" si="2"/>
        <v>2664109.7990160207</v>
      </c>
      <c r="L26" s="126">
        <f t="shared" si="1"/>
        <v>2702300.8203053367</v>
      </c>
      <c r="M26" s="126">
        <f t="shared" si="3"/>
        <v>2740491.8415946527</v>
      </c>
      <c r="N26" s="126">
        <f t="shared" si="4"/>
        <v>2763261.0784121184</v>
      </c>
      <c r="O26" s="126">
        <f t="shared" si="5"/>
        <v>2786030.315229584</v>
      </c>
      <c r="P26" s="127" t="s">
        <v>365</v>
      </c>
      <c r="Q26" s="126">
        <f t="shared" si="12"/>
        <v>6177224</v>
      </c>
      <c r="R26" s="126">
        <f t="shared" si="6"/>
        <v>6335656.9286373463</v>
      </c>
      <c r="S26" s="126">
        <f t="shared" si="7"/>
        <v>6494089.8572746916</v>
      </c>
      <c r="T26" s="126">
        <f t="shared" si="8"/>
        <v>6587185.0908440854</v>
      </c>
      <c r="U26" s="126">
        <f t="shared" si="9"/>
        <v>6680280.3244134793</v>
      </c>
      <c r="V26" s="126">
        <f t="shared" si="10"/>
        <v>6735783.0930789467</v>
      </c>
      <c r="W26" s="126">
        <f t="shared" si="11"/>
        <v>6791285.8617444141</v>
      </c>
    </row>
    <row r="27" spans="1:23" x14ac:dyDescent="0.25">
      <c r="A27" s="101">
        <v>25</v>
      </c>
      <c r="B27" s="92" t="s">
        <v>366</v>
      </c>
      <c r="C27" s="102">
        <v>7029917</v>
      </c>
      <c r="D27" s="103">
        <v>7409395.2857788671</v>
      </c>
      <c r="E27" s="103">
        <v>7648478.0338228764</v>
      </c>
      <c r="F27" s="104">
        <v>7802759.3621860752</v>
      </c>
      <c r="G27" s="105" t="str">
        <f t="shared" si="0"/>
        <v>Massachusetts</v>
      </c>
      <c r="H27" s="105" t="s">
        <v>367</v>
      </c>
      <c r="I27" s="126">
        <f>SUMIFS('NST-EST2024-HU'!D:D,'NST-EST2024-HU'!A:A,G27)</f>
        <v>3001700</v>
      </c>
      <c r="J27" s="126">
        <f t="shared" si="1"/>
        <v>3082716.6016485277</v>
      </c>
      <c r="K27" s="126">
        <f t="shared" si="2"/>
        <v>3163733.2032970553</v>
      </c>
      <c r="L27" s="126">
        <f t="shared" si="1"/>
        <v>3214776.1021537348</v>
      </c>
      <c r="M27" s="126">
        <f t="shared" si="3"/>
        <v>3265819.0010104142</v>
      </c>
      <c r="N27" s="126">
        <f t="shared" si="4"/>
        <v>3298757.2464653617</v>
      </c>
      <c r="O27" s="126">
        <f t="shared" si="5"/>
        <v>3331695.4919203087</v>
      </c>
      <c r="P27" s="127" t="s">
        <v>367</v>
      </c>
      <c r="Q27" s="126">
        <f t="shared" si="12"/>
        <v>7029917</v>
      </c>
      <c r="R27" s="126">
        <f t="shared" si="6"/>
        <v>7219656.1428894335</v>
      </c>
      <c r="S27" s="126">
        <f t="shared" si="7"/>
        <v>7409395.2857788671</v>
      </c>
      <c r="T27" s="126">
        <f t="shared" si="8"/>
        <v>7528936.6598008722</v>
      </c>
      <c r="U27" s="126">
        <f t="shared" si="9"/>
        <v>7648478.0338228764</v>
      </c>
      <c r="V27" s="126">
        <f t="shared" si="10"/>
        <v>7725618.6980044758</v>
      </c>
      <c r="W27" s="126">
        <f t="shared" si="11"/>
        <v>7802759.3621860752</v>
      </c>
    </row>
    <row r="28" spans="1:23" x14ac:dyDescent="0.25">
      <c r="A28" s="101">
        <v>26</v>
      </c>
      <c r="B28" s="92" t="s">
        <v>368</v>
      </c>
      <c r="C28" s="102">
        <v>10077331</v>
      </c>
      <c r="D28" s="103">
        <v>10224497.144069441</v>
      </c>
      <c r="E28" s="103">
        <v>10022975.952415925</v>
      </c>
      <c r="F28" s="104">
        <v>9710293.3323017713</v>
      </c>
      <c r="G28" s="105" t="str">
        <f t="shared" si="0"/>
        <v>Michigan</v>
      </c>
      <c r="H28" s="105" t="s">
        <v>369</v>
      </c>
      <c r="I28" s="126">
        <f>SUMIFS('NST-EST2024-HU'!D:D,'NST-EST2024-HU'!A:A,G28)</f>
        <v>4575143</v>
      </c>
      <c r="J28" s="126">
        <f t="shared" si="1"/>
        <v>4608549.9682675051</v>
      </c>
      <c r="K28" s="126">
        <f t="shared" si="2"/>
        <v>4641956.9365350101</v>
      </c>
      <c r="L28" s="126">
        <f t="shared" si="1"/>
        <v>4596211.2788134739</v>
      </c>
      <c r="M28" s="126">
        <f t="shared" si="3"/>
        <v>4550465.6210919386</v>
      </c>
      <c r="N28" s="126">
        <f t="shared" si="4"/>
        <v>4479486.1275813589</v>
      </c>
      <c r="O28" s="126">
        <f t="shared" si="5"/>
        <v>4408506.6340707792</v>
      </c>
      <c r="P28" s="127" t="s">
        <v>369</v>
      </c>
      <c r="Q28" s="126">
        <f t="shared" si="12"/>
        <v>10077331</v>
      </c>
      <c r="R28" s="126">
        <f t="shared" si="6"/>
        <v>10150914.07203472</v>
      </c>
      <c r="S28" s="126">
        <f t="shared" si="7"/>
        <v>10224497.144069441</v>
      </c>
      <c r="T28" s="126">
        <f t="shared" si="8"/>
        <v>10123736.548242683</v>
      </c>
      <c r="U28" s="126">
        <f t="shared" si="9"/>
        <v>10022975.952415925</v>
      </c>
      <c r="V28" s="126">
        <f t="shared" si="10"/>
        <v>9866634.642358847</v>
      </c>
      <c r="W28" s="126">
        <f t="shared" si="11"/>
        <v>9710293.3323017713</v>
      </c>
    </row>
    <row r="29" spans="1:23" x14ac:dyDescent="0.25">
      <c r="A29" s="101">
        <v>27</v>
      </c>
      <c r="B29" s="92" t="s">
        <v>370</v>
      </c>
      <c r="C29" s="102">
        <v>5706494</v>
      </c>
      <c r="D29" s="103">
        <v>6023698.2850104868</v>
      </c>
      <c r="E29" s="103">
        <v>6231051.2970921835</v>
      </c>
      <c r="F29" s="104">
        <v>6370013.7977215797</v>
      </c>
      <c r="G29" s="105" t="str">
        <f t="shared" si="0"/>
        <v>Minnesota</v>
      </c>
      <c r="H29" s="105" t="s">
        <v>371</v>
      </c>
      <c r="I29" s="126">
        <f>SUMIFS('NST-EST2024-HU'!D:D,'NST-EST2024-HU'!A:A,G29)</f>
        <v>2491759</v>
      </c>
      <c r="J29" s="126">
        <f t="shared" si="1"/>
        <v>2561013.1367793819</v>
      </c>
      <c r="K29" s="126">
        <f t="shared" si="2"/>
        <v>2630267.2735587638</v>
      </c>
      <c r="L29" s="126">
        <f t="shared" si="1"/>
        <v>2675537.9541230192</v>
      </c>
      <c r="M29" s="126">
        <f t="shared" si="3"/>
        <v>2720808.6346872742</v>
      </c>
      <c r="N29" s="126">
        <f t="shared" si="4"/>
        <v>2751147.8466101997</v>
      </c>
      <c r="O29" s="126">
        <f t="shared" si="5"/>
        <v>2781487.0585331246</v>
      </c>
      <c r="P29" s="127" t="s">
        <v>371</v>
      </c>
      <c r="Q29" s="126">
        <f t="shared" si="12"/>
        <v>5706494</v>
      </c>
      <c r="R29" s="126">
        <f t="shared" si="6"/>
        <v>5865096.1425052434</v>
      </c>
      <c r="S29" s="126">
        <f t="shared" si="7"/>
        <v>6023698.2850104868</v>
      </c>
      <c r="T29" s="126">
        <f t="shared" si="8"/>
        <v>6127374.7910513356</v>
      </c>
      <c r="U29" s="126">
        <f t="shared" si="9"/>
        <v>6231051.2970921835</v>
      </c>
      <c r="V29" s="126">
        <f t="shared" si="10"/>
        <v>6300532.547406882</v>
      </c>
      <c r="W29" s="126">
        <f t="shared" si="11"/>
        <v>6370013.7977215797</v>
      </c>
    </row>
    <row r="30" spans="1:23" x14ac:dyDescent="0.25">
      <c r="A30" s="101">
        <v>28</v>
      </c>
      <c r="B30" s="92" t="s">
        <v>372</v>
      </c>
      <c r="C30" s="102">
        <v>2961279</v>
      </c>
      <c r="D30" s="103">
        <v>2956771.6025782051</v>
      </c>
      <c r="E30" s="103">
        <v>2837018.7950437949</v>
      </c>
      <c r="F30" s="104">
        <v>2690218.6435543527</v>
      </c>
      <c r="G30" s="105" t="str">
        <f t="shared" si="0"/>
        <v>Mississippi</v>
      </c>
      <c r="H30" s="105" t="s">
        <v>373</v>
      </c>
      <c r="I30" s="126">
        <f>SUMIFS('NST-EST2024-HU'!D:D,'NST-EST2024-HU'!A:A,G30)</f>
        <v>1321935</v>
      </c>
      <c r="J30" s="126">
        <f t="shared" si="1"/>
        <v>1320928.9336329368</v>
      </c>
      <c r="K30" s="126">
        <f t="shared" si="2"/>
        <v>1319922.8672658738</v>
      </c>
      <c r="L30" s="126">
        <f t="shared" si="1"/>
        <v>1293193.635128679</v>
      </c>
      <c r="M30" s="126">
        <f t="shared" si="3"/>
        <v>1266464.4029914842</v>
      </c>
      <c r="N30" s="126">
        <f t="shared" si="4"/>
        <v>1233698.1120983944</v>
      </c>
      <c r="O30" s="126">
        <f t="shared" si="5"/>
        <v>1200931.8212053047</v>
      </c>
      <c r="P30" s="127" t="s">
        <v>373</v>
      </c>
      <c r="Q30" s="126">
        <f t="shared" si="12"/>
        <v>2961279</v>
      </c>
      <c r="R30" s="126">
        <f t="shared" si="6"/>
        <v>2959025.3012891025</v>
      </c>
      <c r="S30" s="126">
        <f t="shared" si="7"/>
        <v>2956771.6025782051</v>
      </c>
      <c r="T30" s="126">
        <f t="shared" si="8"/>
        <v>2896895.1988110002</v>
      </c>
      <c r="U30" s="126">
        <f t="shared" si="9"/>
        <v>2837018.7950437949</v>
      </c>
      <c r="V30" s="126">
        <f t="shared" si="10"/>
        <v>2763618.7192990738</v>
      </c>
      <c r="W30" s="126">
        <f t="shared" si="11"/>
        <v>2690218.6435543527</v>
      </c>
    </row>
    <row r="31" spans="1:23" x14ac:dyDescent="0.25">
      <c r="A31" s="101">
        <v>29</v>
      </c>
      <c r="B31" s="92" t="s">
        <v>374</v>
      </c>
      <c r="C31" s="102">
        <v>6154913</v>
      </c>
      <c r="D31" s="103">
        <v>6281702.6910188589</v>
      </c>
      <c r="E31" s="103">
        <v>6206923.6308130622</v>
      </c>
      <c r="F31" s="104">
        <v>6061168.4898502678</v>
      </c>
      <c r="G31" s="105" t="str">
        <f t="shared" si="0"/>
        <v>Missouri</v>
      </c>
      <c r="H31" s="105" t="s">
        <v>375</v>
      </c>
      <c r="I31" s="126">
        <f>SUMIFS('NST-EST2024-HU'!D:D,'NST-EST2024-HU'!A:A,G31)</f>
        <v>2790304</v>
      </c>
      <c r="J31" s="126">
        <f t="shared" si="1"/>
        <v>2819043.7873868151</v>
      </c>
      <c r="K31" s="126">
        <f t="shared" si="2"/>
        <v>2847783.5747736297</v>
      </c>
      <c r="L31" s="126">
        <f t="shared" si="1"/>
        <v>2830833.188081854</v>
      </c>
      <c r="M31" s="126">
        <f t="shared" si="3"/>
        <v>2813882.8013900779</v>
      </c>
      <c r="N31" s="126">
        <f t="shared" si="4"/>
        <v>2780844.0603998275</v>
      </c>
      <c r="O31" s="126">
        <f t="shared" si="5"/>
        <v>2747805.3194095772</v>
      </c>
      <c r="P31" s="127" t="s">
        <v>375</v>
      </c>
      <c r="Q31" s="126">
        <f t="shared" si="12"/>
        <v>6154913</v>
      </c>
      <c r="R31" s="126">
        <f t="shared" si="6"/>
        <v>6218307.8455094304</v>
      </c>
      <c r="S31" s="126">
        <f t="shared" si="7"/>
        <v>6281702.6910188599</v>
      </c>
      <c r="T31" s="126">
        <f t="shared" si="8"/>
        <v>6244313.1609159615</v>
      </c>
      <c r="U31" s="126">
        <f t="shared" si="9"/>
        <v>6206923.6308130641</v>
      </c>
      <c r="V31" s="126">
        <f t="shared" si="10"/>
        <v>6134046.0603316668</v>
      </c>
      <c r="W31" s="126">
        <f t="shared" si="11"/>
        <v>6061168.4898502706</v>
      </c>
    </row>
    <row r="32" spans="1:23" x14ac:dyDescent="0.25">
      <c r="A32" s="101">
        <v>30</v>
      </c>
      <c r="B32" s="92" t="s">
        <v>376</v>
      </c>
      <c r="C32" s="102">
        <v>1084225</v>
      </c>
      <c r="D32" s="103">
        <v>1159875.050951825</v>
      </c>
      <c r="E32" s="103">
        <v>1222019.8451907109</v>
      </c>
      <c r="F32" s="104">
        <v>1272407.5616144766</v>
      </c>
      <c r="G32" s="105" t="str">
        <f t="shared" si="0"/>
        <v>Montana</v>
      </c>
      <c r="H32" s="105" t="s">
        <v>377</v>
      </c>
      <c r="I32" s="126">
        <f>SUMIFS('NST-EST2024-HU'!D:D,'NST-EST2024-HU'!A:A,G32)</f>
        <v>515936</v>
      </c>
      <c r="J32" s="126">
        <f t="shared" si="1"/>
        <v>533935.30120034167</v>
      </c>
      <c r="K32" s="126">
        <f t="shared" si="2"/>
        <v>551934.60240068322</v>
      </c>
      <c r="L32" s="126">
        <f t="shared" si="1"/>
        <v>566720.61847688234</v>
      </c>
      <c r="M32" s="126">
        <f t="shared" si="3"/>
        <v>581506.63455308136</v>
      </c>
      <c r="N32" s="126">
        <f t="shared" si="4"/>
        <v>593495.30704302201</v>
      </c>
      <c r="O32" s="126">
        <f t="shared" si="5"/>
        <v>605483.97953296278</v>
      </c>
      <c r="P32" s="127" t="s">
        <v>377</v>
      </c>
      <c r="Q32" s="126">
        <f t="shared" si="12"/>
        <v>1084225</v>
      </c>
      <c r="R32" s="126">
        <f t="shared" si="6"/>
        <v>1122050.0254759125</v>
      </c>
      <c r="S32" s="126">
        <f t="shared" si="7"/>
        <v>1159875.050951825</v>
      </c>
      <c r="T32" s="126">
        <f t="shared" si="8"/>
        <v>1190947.4480712679</v>
      </c>
      <c r="U32" s="126">
        <f t="shared" si="9"/>
        <v>1222019.8451907109</v>
      </c>
      <c r="V32" s="126">
        <f t="shared" si="10"/>
        <v>1247213.7034025937</v>
      </c>
      <c r="W32" s="126">
        <f t="shared" si="11"/>
        <v>1272407.5616144766</v>
      </c>
    </row>
    <row r="33" spans="1:23" x14ac:dyDescent="0.25">
      <c r="A33" s="101">
        <v>31</v>
      </c>
      <c r="B33" s="92" t="s">
        <v>378</v>
      </c>
      <c r="C33" s="102">
        <v>1961504</v>
      </c>
      <c r="D33" s="103">
        <v>2067877.7903938806</v>
      </c>
      <c r="E33" s="103">
        <v>2135297.1638524388</v>
      </c>
      <c r="F33" s="104">
        <v>2179077.6598911374</v>
      </c>
      <c r="G33" s="105" t="str">
        <f t="shared" si="0"/>
        <v>Nebraska</v>
      </c>
      <c r="H33" s="105" t="s">
        <v>379</v>
      </c>
      <c r="I33" s="126">
        <f>SUMIFS('NST-EST2024-HU'!D:D,'NST-EST2024-HU'!A:A,G33)</f>
        <v>845921</v>
      </c>
      <c r="J33" s="126">
        <f t="shared" si="1"/>
        <v>868858.4559378369</v>
      </c>
      <c r="K33" s="126">
        <f t="shared" si="2"/>
        <v>891795.9118756738</v>
      </c>
      <c r="L33" s="126">
        <f t="shared" si="1"/>
        <v>906333.59923584154</v>
      </c>
      <c r="M33" s="126">
        <f t="shared" si="3"/>
        <v>920871.28659600927</v>
      </c>
      <c r="N33" s="126">
        <f t="shared" si="4"/>
        <v>930311.70603679353</v>
      </c>
      <c r="O33" s="126">
        <f t="shared" si="5"/>
        <v>939752.12547757768</v>
      </c>
      <c r="P33" s="127" t="s">
        <v>379</v>
      </c>
      <c r="Q33" s="126">
        <f t="shared" si="12"/>
        <v>1961504</v>
      </c>
      <c r="R33" s="126">
        <f t="shared" si="6"/>
        <v>2014690.8951969403</v>
      </c>
      <c r="S33" s="126">
        <f t="shared" si="7"/>
        <v>2067877.7903938806</v>
      </c>
      <c r="T33" s="126">
        <f t="shared" si="8"/>
        <v>2101587.4771231599</v>
      </c>
      <c r="U33" s="126">
        <f t="shared" si="9"/>
        <v>2135297.1638524388</v>
      </c>
      <c r="V33" s="126">
        <f t="shared" si="10"/>
        <v>2157187.4118717881</v>
      </c>
      <c r="W33" s="126">
        <f t="shared" si="11"/>
        <v>2179077.6598911374</v>
      </c>
    </row>
    <row r="34" spans="1:23" x14ac:dyDescent="0.25">
      <c r="A34" s="101">
        <v>32</v>
      </c>
      <c r="B34" s="92" t="s">
        <v>380</v>
      </c>
      <c r="C34" s="102">
        <v>3104614</v>
      </c>
      <c r="D34" s="103">
        <v>3437889.6937451838</v>
      </c>
      <c r="E34" s="103">
        <v>3799909.8321301783</v>
      </c>
      <c r="F34" s="104">
        <v>4150836.0065258276</v>
      </c>
      <c r="G34" s="105" t="str">
        <f t="shared" si="0"/>
        <v>Nevada</v>
      </c>
      <c r="H34" s="105" t="s">
        <v>381</v>
      </c>
      <c r="I34" s="126">
        <f>SUMIFS('NST-EST2024-HU'!D:D,'NST-EST2024-HU'!A:A,G34)</f>
        <v>1285890</v>
      </c>
      <c r="J34" s="126">
        <f t="shared" si="1"/>
        <v>1354909.1891536266</v>
      </c>
      <c r="K34" s="126">
        <f t="shared" si="2"/>
        <v>1423928.3783072531</v>
      </c>
      <c r="L34" s="126">
        <f t="shared" si="1"/>
        <v>1498900.35159409</v>
      </c>
      <c r="M34" s="126">
        <f t="shared" si="3"/>
        <v>1573872.3248809271</v>
      </c>
      <c r="N34" s="126">
        <f t="shared" si="4"/>
        <v>1646546.8116921089</v>
      </c>
      <c r="O34" s="126">
        <f t="shared" si="5"/>
        <v>1719221.2985032909</v>
      </c>
      <c r="P34" s="127" t="s">
        <v>381</v>
      </c>
      <c r="Q34" s="126">
        <f t="shared" si="12"/>
        <v>3104614</v>
      </c>
      <c r="R34" s="126">
        <f t="shared" si="6"/>
        <v>3271251.8468725919</v>
      </c>
      <c r="S34" s="126">
        <f t="shared" si="7"/>
        <v>3437889.6937451838</v>
      </c>
      <c r="T34" s="126">
        <f t="shared" si="8"/>
        <v>3618899.7629376808</v>
      </c>
      <c r="U34" s="126">
        <f t="shared" si="9"/>
        <v>3799909.8321301783</v>
      </c>
      <c r="V34" s="126">
        <f t="shared" si="10"/>
        <v>3975372.9193280032</v>
      </c>
      <c r="W34" s="126">
        <f t="shared" si="11"/>
        <v>4150836.0065258276</v>
      </c>
    </row>
    <row r="35" spans="1:23" x14ac:dyDescent="0.25">
      <c r="A35" s="101">
        <v>33</v>
      </c>
      <c r="B35" s="92" t="s">
        <v>382</v>
      </c>
      <c r="C35" s="102">
        <v>1377529</v>
      </c>
      <c r="D35" s="103">
        <v>1424739.2342157436</v>
      </c>
      <c r="E35" s="103">
        <v>1433346.8384585567</v>
      </c>
      <c r="F35" s="104">
        <v>1425109.1625648122</v>
      </c>
      <c r="G35" s="105" t="str">
        <f t="shared" si="0"/>
        <v>New Hampshire</v>
      </c>
      <c r="H35" s="105" t="s">
        <v>383</v>
      </c>
      <c r="I35" s="126">
        <f>SUMIFS('NST-EST2024-HU'!D:D,'NST-EST2024-HU'!A:A,G35)</f>
        <v>639886</v>
      </c>
      <c r="J35" s="126">
        <f t="shared" si="1"/>
        <v>650850.98437832354</v>
      </c>
      <c r="K35" s="126">
        <f t="shared" si="2"/>
        <v>661815.96875664708</v>
      </c>
      <c r="L35" s="126">
        <f t="shared" si="1"/>
        <v>663815.15913612978</v>
      </c>
      <c r="M35" s="126">
        <f t="shared" si="3"/>
        <v>665814.34951561235</v>
      </c>
      <c r="N35" s="126">
        <f t="shared" si="4"/>
        <v>663901.07818813226</v>
      </c>
      <c r="O35" s="126">
        <f t="shared" si="5"/>
        <v>661987.80686065217</v>
      </c>
      <c r="P35" s="127" t="s">
        <v>383</v>
      </c>
      <c r="Q35" s="126">
        <f t="shared" si="12"/>
        <v>1377529</v>
      </c>
      <c r="R35" s="126">
        <f t="shared" si="6"/>
        <v>1401134.1171078719</v>
      </c>
      <c r="S35" s="126">
        <f t="shared" si="7"/>
        <v>1424739.2342157436</v>
      </c>
      <c r="T35" s="126">
        <f t="shared" si="8"/>
        <v>1429043.0363371503</v>
      </c>
      <c r="U35" s="126">
        <f t="shared" si="9"/>
        <v>1433346.8384585567</v>
      </c>
      <c r="V35" s="126">
        <f t="shared" si="10"/>
        <v>1429228.0005116845</v>
      </c>
      <c r="W35" s="126">
        <f t="shared" si="11"/>
        <v>1425109.1625648122</v>
      </c>
    </row>
    <row r="36" spans="1:23" x14ac:dyDescent="0.25">
      <c r="A36" s="101">
        <v>34</v>
      </c>
      <c r="B36" s="92" t="s">
        <v>384</v>
      </c>
      <c r="C36" s="102">
        <v>9288994</v>
      </c>
      <c r="D36" s="103">
        <v>9675872.1954775602</v>
      </c>
      <c r="E36" s="103">
        <v>9828845.0254883375</v>
      </c>
      <c r="F36" s="104">
        <v>9867242.05879361</v>
      </c>
      <c r="G36" s="105" t="str">
        <f t="shared" si="0"/>
        <v>New Jersey</v>
      </c>
      <c r="H36" s="105" t="s">
        <v>385</v>
      </c>
      <c r="I36" s="126">
        <f>SUMIFS('NST-EST2024-HU'!D:D,'NST-EST2024-HU'!A:A,G36)</f>
        <v>3764910</v>
      </c>
      <c r="J36" s="126">
        <f t="shared" si="1"/>
        <v>3843312.5475167399</v>
      </c>
      <c r="K36" s="126">
        <f t="shared" si="2"/>
        <v>3921715.0950334794</v>
      </c>
      <c r="L36" s="126">
        <f t="shared" si="1"/>
        <v>3952715.7037880914</v>
      </c>
      <c r="M36" s="126">
        <f t="shared" si="3"/>
        <v>3983716.312542703</v>
      </c>
      <c r="N36" s="126">
        <f t="shared" si="4"/>
        <v>3991497.6381987082</v>
      </c>
      <c r="O36" s="126">
        <f t="shared" si="5"/>
        <v>3999278.9638547129</v>
      </c>
      <c r="P36" s="127" t="s">
        <v>385</v>
      </c>
      <c r="Q36" s="126">
        <f t="shared" si="12"/>
        <v>9288994</v>
      </c>
      <c r="R36" s="126">
        <f t="shared" si="6"/>
        <v>9482433.0977387801</v>
      </c>
      <c r="S36" s="126">
        <f t="shared" si="7"/>
        <v>9675872.1954775602</v>
      </c>
      <c r="T36" s="126">
        <f t="shared" si="8"/>
        <v>9752358.6104829498</v>
      </c>
      <c r="U36" s="126">
        <f t="shared" si="9"/>
        <v>9828845.0254883375</v>
      </c>
      <c r="V36" s="126">
        <f t="shared" si="10"/>
        <v>9848043.5421409737</v>
      </c>
      <c r="W36" s="126">
        <f t="shared" si="11"/>
        <v>9867242.05879361</v>
      </c>
    </row>
    <row r="37" spans="1:23" x14ac:dyDescent="0.25">
      <c r="A37" s="101">
        <v>35</v>
      </c>
      <c r="B37" s="92" t="s">
        <v>386</v>
      </c>
      <c r="C37" s="102">
        <v>2117522</v>
      </c>
      <c r="D37" s="103">
        <v>2162105.7700958732</v>
      </c>
      <c r="E37" s="103">
        <v>2137651.4391768533</v>
      </c>
      <c r="F37" s="104">
        <v>2088708.2296581869</v>
      </c>
      <c r="G37" s="105" t="str">
        <f t="shared" si="0"/>
        <v>New Mexico</v>
      </c>
      <c r="H37" s="105" t="s">
        <v>387</v>
      </c>
      <c r="I37" s="126">
        <f>SUMIFS('NST-EST2024-HU'!D:D,'NST-EST2024-HU'!A:A,G37)</f>
        <v>942223</v>
      </c>
      <c r="J37" s="126">
        <f t="shared" si="1"/>
        <v>952142.10676985746</v>
      </c>
      <c r="K37" s="126">
        <f t="shared" si="2"/>
        <v>962061.21353971481</v>
      </c>
      <c r="L37" s="126">
        <f t="shared" si="1"/>
        <v>956620.55388151249</v>
      </c>
      <c r="M37" s="126">
        <f t="shared" si="3"/>
        <v>951179.89422331029</v>
      </c>
      <c r="N37" s="126">
        <f t="shared" si="4"/>
        <v>940290.88865399244</v>
      </c>
      <c r="O37" s="126">
        <f t="shared" si="5"/>
        <v>929401.88308467448</v>
      </c>
      <c r="P37" s="127" t="s">
        <v>387</v>
      </c>
      <c r="Q37" s="126">
        <f t="shared" si="12"/>
        <v>2117522</v>
      </c>
      <c r="R37" s="126">
        <f t="shared" si="6"/>
        <v>2139813.8850479368</v>
      </c>
      <c r="S37" s="126">
        <f t="shared" si="7"/>
        <v>2162105.7700958732</v>
      </c>
      <c r="T37" s="126">
        <f t="shared" si="8"/>
        <v>2149878.6046363632</v>
      </c>
      <c r="U37" s="126">
        <f t="shared" si="9"/>
        <v>2137651.4391768533</v>
      </c>
      <c r="V37" s="126">
        <f t="shared" si="10"/>
        <v>2113179.8344175201</v>
      </c>
      <c r="W37" s="126">
        <f t="shared" si="11"/>
        <v>2088708.2296581867</v>
      </c>
    </row>
    <row r="38" spans="1:23" x14ac:dyDescent="0.25">
      <c r="A38" s="101">
        <v>36</v>
      </c>
      <c r="B38" s="92" t="s">
        <v>388</v>
      </c>
      <c r="C38" s="102">
        <v>20201249</v>
      </c>
      <c r="D38" s="103">
        <v>20836092.153733529</v>
      </c>
      <c r="E38" s="103">
        <v>20883792.955728512</v>
      </c>
      <c r="F38" s="104">
        <v>20686328.590018127</v>
      </c>
      <c r="G38" s="105" t="str">
        <f t="shared" si="0"/>
        <v>New York</v>
      </c>
      <c r="H38" s="105" t="s">
        <v>389</v>
      </c>
      <c r="I38" s="126">
        <f>SUMIFS('NST-EST2024-HU'!D:D,'NST-EST2024-HU'!A:A,G38)</f>
        <v>8495483</v>
      </c>
      <c r="J38" s="126">
        <f t="shared" si="1"/>
        <v>8628972.2515856214</v>
      </c>
      <c r="K38" s="126">
        <f t="shared" si="2"/>
        <v>8762461.5031712446</v>
      </c>
      <c r="L38" s="126">
        <f t="shared" si="1"/>
        <v>8772491.6095383</v>
      </c>
      <c r="M38" s="126">
        <f t="shared" si="3"/>
        <v>8782521.7159053553</v>
      </c>
      <c r="N38" s="126">
        <f t="shared" si="4"/>
        <v>8741000.6405996066</v>
      </c>
      <c r="O38" s="126">
        <f t="shared" si="5"/>
        <v>8699479.5652938578</v>
      </c>
      <c r="P38" s="127" t="s">
        <v>389</v>
      </c>
      <c r="Q38" s="126">
        <f t="shared" si="12"/>
        <v>20201249</v>
      </c>
      <c r="R38" s="126">
        <f t="shared" si="6"/>
        <v>20518670.576866765</v>
      </c>
      <c r="S38" s="126">
        <f t="shared" si="7"/>
        <v>20836092.153733529</v>
      </c>
      <c r="T38" s="126">
        <f t="shared" si="8"/>
        <v>20859942.554731019</v>
      </c>
      <c r="U38" s="126">
        <f t="shared" si="9"/>
        <v>20883792.955728512</v>
      </c>
      <c r="V38" s="126">
        <f t="shared" si="10"/>
        <v>20785060.77287332</v>
      </c>
      <c r="W38" s="126">
        <f t="shared" si="11"/>
        <v>20686328.590018127</v>
      </c>
    </row>
    <row r="39" spans="1:23" x14ac:dyDescent="0.25">
      <c r="A39" s="101">
        <v>37</v>
      </c>
      <c r="B39" s="92" t="s">
        <v>390</v>
      </c>
      <c r="C39" s="102">
        <v>10439388</v>
      </c>
      <c r="D39" s="103">
        <v>11160159.060611062</v>
      </c>
      <c r="E39" s="103">
        <v>11747050.956483206</v>
      </c>
      <c r="F39" s="104">
        <v>12219916.869927056</v>
      </c>
      <c r="G39" s="105" t="str">
        <f t="shared" si="0"/>
        <v>North Carolina</v>
      </c>
      <c r="H39" s="105" t="s">
        <v>391</v>
      </c>
      <c r="I39" s="126">
        <f>SUMIFS('NST-EST2024-HU'!D:D,'NST-EST2024-HU'!A:A,G39)</f>
        <v>4729649</v>
      </c>
      <c r="J39" s="126">
        <f t="shared" si="1"/>
        <v>4892924.5735320905</v>
      </c>
      <c r="K39" s="126">
        <f t="shared" si="2"/>
        <v>5056200.147064181</v>
      </c>
      <c r="L39" s="126">
        <f t="shared" si="1"/>
        <v>5189148.2024683766</v>
      </c>
      <c r="M39" s="126">
        <f t="shared" si="3"/>
        <v>5322096.2578725722</v>
      </c>
      <c r="N39" s="126">
        <f t="shared" si="4"/>
        <v>5429214.1173990984</v>
      </c>
      <c r="O39" s="126">
        <f t="shared" si="5"/>
        <v>5536331.9769256236</v>
      </c>
      <c r="P39" s="127" t="s">
        <v>391</v>
      </c>
      <c r="Q39" s="126">
        <f t="shared" si="12"/>
        <v>10439388</v>
      </c>
      <c r="R39" s="126">
        <f t="shared" si="6"/>
        <v>10799773.530305531</v>
      </c>
      <c r="S39" s="126">
        <f t="shared" si="7"/>
        <v>11160159.060611062</v>
      </c>
      <c r="T39" s="126">
        <f t="shared" si="8"/>
        <v>11453605.008547135</v>
      </c>
      <c r="U39" s="126">
        <f t="shared" si="9"/>
        <v>11747050.956483206</v>
      </c>
      <c r="V39" s="126">
        <f t="shared" si="10"/>
        <v>11983483.91320513</v>
      </c>
      <c r="W39" s="126">
        <f t="shared" si="11"/>
        <v>12219916.869927054</v>
      </c>
    </row>
    <row r="40" spans="1:23" x14ac:dyDescent="0.25">
      <c r="A40" s="101">
        <v>38</v>
      </c>
      <c r="B40" s="92" t="s">
        <v>392</v>
      </c>
      <c r="C40" s="102">
        <v>779094</v>
      </c>
      <c r="D40" s="103">
        <v>867403.48371186946</v>
      </c>
      <c r="E40" s="103">
        <v>966019.94958065893</v>
      </c>
      <c r="F40" s="104">
        <v>1063241.597046091</v>
      </c>
      <c r="G40" s="105" t="str">
        <f t="shared" si="0"/>
        <v>North Dakota</v>
      </c>
      <c r="H40" s="105" t="s">
        <v>393</v>
      </c>
      <c r="I40" s="126">
        <f>SUMIFS('NST-EST2024-HU'!D:D,'NST-EST2024-HU'!A:A,G40)</f>
        <v>371167</v>
      </c>
      <c r="J40" s="126">
        <f t="shared" si="1"/>
        <v>392202.69411449926</v>
      </c>
      <c r="K40" s="126">
        <f t="shared" si="2"/>
        <v>413238.38822899858</v>
      </c>
      <c r="L40" s="126">
        <f t="shared" si="1"/>
        <v>436729.24927215959</v>
      </c>
      <c r="M40" s="126">
        <f t="shared" si="3"/>
        <v>460220.11031532061</v>
      </c>
      <c r="N40" s="126">
        <f t="shared" si="4"/>
        <v>483378.71969031391</v>
      </c>
      <c r="O40" s="126">
        <f t="shared" si="5"/>
        <v>506537.32906530716</v>
      </c>
      <c r="P40" s="127" t="s">
        <v>393</v>
      </c>
      <c r="Q40" s="126">
        <f t="shared" si="12"/>
        <v>779094</v>
      </c>
      <c r="R40" s="126">
        <f t="shared" si="6"/>
        <v>823248.74185593473</v>
      </c>
      <c r="S40" s="126">
        <f t="shared" si="7"/>
        <v>867403.48371186946</v>
      </c>
      <c r="T40" s="126">
        <f t="shared" si="8"/>
        <v>916711.71664626407</v>
      </c>
      <c r="U40" s="126">
        <f t="shared" si="9"/>
        <v>966019.94958065881</v>
      </c>
      <c r="V40" s="126">
        <f t="shared" si="10"/>
        <v>1014630.7733133747</v>
      </c>
      <c r="W40" s="126">
        <f t="shared" si="11"/>
        <v>1063241.5970460908</v>
      </c>
    </row>
    <row r="41" spans="1:23" x14ac:dyDescent="0.25">
      <c r="A41" s="101">
        <v>39</v>
      </c>
      <c r="B41" s="92" t="s">
        <v>394</v>
      </c>
      <c r="C41" s="102">
        <v>11799448</v>
      </c>
      <c r="D41" s="103">
        <v>11999652.555418175</v>
      </c>
      <c r="E41" s="103">
        <v>11800007.035868041</v>
      </c>
      <c r="F41" s="104">
        <v>11467712.374594979</v>
      </c>
      <c r="G41" s="105" t="str">
        <f t="shared" si="0"/>
        <v>Ohio</v>
      </c>
      <c r="H41" s="105" t="s">
        <v>395</v>
      </c>
      <c r="I41" s="126">
        <f>SUMIFS('NST-EST2024-HU'!D:D,'NST-EST2024-HU'!A:A,G41)</f>
        <v>5246276</v>
      </c>
      <c r="J41" s="126">
        <f t="shared" si="1"/>
        <v>5290783.5207832195</v>
      </c>
      <c r="K41" s="126">
        <f t="shared" si="2"/>
        <v>5335291.041566439</v>
      </c>
      <c r="L41" s="126">
        <f t="shared" si="1"/>
        <v>5290907.8001756808</v>
      </c>
      <c r="M41" s="126">
        <f t="shared" si="3"/>
        <v>5246524.5587849226</v>
      </c>
      <c r="N41" s="126">
        <f t="shared" si="4"/>
        <v>5172652.0561744198</v>
      </c>
      <c r="O41" s="126">
        <f t="shared" si="5"/>
        <v>5098779.5535639161</v>
      </c>
      <c r="P41" s="127" t="s">
        <v>395</v>
      </c>
      <c r="Q41" s="126">
        <f t="shared" si="12"/>
        <v>11799448</v>
      </c>
      <c r="R41" s="126">
        <f t="shared" si="6"/>
        <v>11899550.277709087</v>
      </c>
      <c r="S41" s="126">
        <f t="shared" si="7"/>
        <v>11999652.555418175</v>
      </c>
      <c r="T41" s="126">
        <f t="shared" si="8"/>
        <v>11899829.795643108</v>
      </c>
      <c r="U41" s="126">
        <f t="shared" si="9"/>
        <v>11800007.035868041</v>
      </c>
      <c r="V41" s="126">
        <f t="shared" si="10"/>
        <v>11633859.70523151</v>
      </c>
      <c r="W41" s="126">
        <f t="shared" si="11"/>
        <v>11467712.374594979</v>
      </c>
    </row>
    <row r="42" spans="1:23" x14ac:dyDescent="0.25">
      <c r="A42" s="101">
        <v>40</v>
      </c>
      <c r="B42" s="92" t="s">
        <v>396</v>
      </c>
      <c r="C42" s="102">
        <v>3959353</v>
      </c>
      <c r="D42" s="103">
        <v>4121121.0667654136</v>
      </c>
      <c r="E42" s="103">
        <v>4181942.1445472948</v>
      </c>
      <c r="F42" s="104">
        <v>4193934.0616814755</v>
      </c>
      <c r="G42" s="105" t="str">
        <f t="shared" si="0"/>
        <v>Oklahoma</v>
      </c>
      <c r="H42" s="105" t="s">
        <v>397</v>
      </c>
      <c r="I42" s="126">
        <f>SUMIFS('NST-EST2024-HU'!D:D,'NST-EST2024-HU'!A:A,G42)</f>
        <v>1749328</v>
      </c>
      <c r="J42" s="126">
        <f t="shared" si="1"/>
        <v>1785064.3196333603</v>
      </c>
      <c r="K42" s="126">
        <f t="shared" si="2"/>
        <v>1820800.6392667205</v>
      </c>
      <c r="L42" s="126">
        <f t="shared" si="1"/>
        <v>1834236.6746939761</v>
      </c>
      <c r="M42" s="126">
        <f t="shared" si="3"/>
        <v>1847672.7101212319</v>
      </c>
      <c r="N42" s="126">
        <f t="shared" si="4"/>
        <v>1850321.8546173782</v>
      </c>
      <c r="O42" s="126">
        <f t="shared" si="5"/>
        <v>1852970.9991135248</v>
      </c>
      <c r="P42" s="127" t="s">
        <v>397</v>
      </c>
      <c r="Q42" s="126">
        <f t="shared" si="12"/>
        <v>3959353</v>
      </c>
      <c r="R42" s="126">
        <f t="shared" si="6"/>
        <v>4040237.0333827068</v>
      </c>
      <c r="S42" s="126">
        <f t="shared" si="7"/>
        <v>4121121.0667654136</v>
      </c>
      <c r="T42" s="126">
        <f t="shared" si="8"/>
        <v>4151531.6056563542</v>
      </c>
      <c r="U42" s="126">
        <f t="shared" si="9"/>
        <v>4181942.1445472948</v>
      </c>
      <c r="V42" s="126">
        <f t="shared" si="10"/>
        <v>4187938.1031143852</v>
      </c>
      <c r="W42" s="126">
        <f t="shared" si="11"/>
        <v>4193934.0616814755</v>
      </c>
    </row>
    <row r="43" spans="1:23" x14ac:dyDescent="0.25">
      <c r="A43" s="101">
        <v>41</v>
      </c>
      <c r="B43" s="92" t="s">
        <v>398</v>
      </c>
      <c r="C43" s="102">
        <v>4237256</v>
      </c>
      <c r="D43" s="103">
        <v>4563424.8192822691</v>
      </c>
      <c r="E43" s="103">
        <v>4852674.7949715275</v>
      </c>
      <c r="F43" s="104">
        <v>5099791.3279651189</v>
      </c>
      <c r="G43" s="105" t="str">
        <f t="shared" si="0"/>
        <v>Oregon</v>
      </c>
      <c r="H43" s="105" t="s">
        <v>399</v>
      </c>
      <c r="I43" s="126">
        <f>SUMIFS('NST-EST2024-HU'!D:D,'NST-EST2024-HU'!A:A,G43)</f>
        <v>1819196</v>
      </c>
      <c r="J43" s="126">
        <f t="shared" si="1"/>
        <v>1889213.6023543333</v>
      </c>
      <c r="K43" s="126">
        <f t="shared" si="2"/>
        <v>1959231.2047086668</v>
      </c>
      <c r="L43" s="126">
        <f t="shared" si="1"/>
        <v>2021323.5586724109</v>
      </c>
      <c r="M43" s="126">
        <f t="shared" si="3"/>
        <v>2083415.912636155</v>
      </c>
      <c r="N43" s="126">
        <f t="shared" si="4"/>
        <v>2136463.6171359313</v>
      </c>
      <c r="O43" s="126">
        <f t="shared" si="5"/>
        <v>2189511.3216357077</v>
      </c>
      <c r="P43" s="127" t="s">
        <v>399</v>
      </c>
      <c r="Q43" s="126">
        <f t="shared" si="12"/>
        <v>4237256</v>
      </c>
      <c r="R43" s="126">
        <f t="shared" si="6"/>
        <v>4400340.4096411346</v>
      </c>
      <c r="S43" s="126">
        <f t="shared" si="7"/>
        <v>4563424.8192822691</v>
      </c>
      <c r="T43" s="126">
        <f t="shared" si="8"/>
        <v>4708049.8071268983</v>
      </c>
      <c r="U43" s="126">
        <f t="shared" si="9"/>
        <v>4852674.7949715275</v>
      </c>
      <c r="V43" s="126">
        <f t="shared" si="10"/>
        <v>4976233.0614683237</v>
      </c>
      <c r="W43" s="126">
        <f t="shared" si="11"/>
        <v>5099791.3279651189</v>
      </c>
    </row>
    <row r="44" spans="1:23" x14ac:dyDescent="0.25">
      <c r="A44" s="101">
        <v>42</v>
      </c>
      <c r="B44" s="92" t="s">
        <v>400</v>
      </c>
      <c r="C44" s="102">
        <v>13002700</v>
      </c>
      <c r="D44" s="103">
        <v>13231490.978781592</v>
      </c>
      <c r="E44" s="103">
        <v>13022170.764973111</v>
      </c>
      <c r="F44" s="104">
        <v>12665983.497858787</v>
      </c>
      <c r="G44" s="105" t="str">
        <f t="shared" si="0"/>
        <v>Pennsylvania</v>
      </c>
      <c r="H44" s="105" t="s">
        <v>401</v>
      </c>
      <c r="I44" s="126">
        <f>SUMIFS('NST-EST2024-HU'!D:D,'NST-EST2024-HU'!A:A,G44)</f>
        <v>5747653</v>
      </c>
      <c r="J44" s="126">
        <f t="shared" si="1"/>
        <v>5798219.8497914644</v>
      </c>
      <c r="K44" s="126">
        <f t="shared" si="2"/>
        <v>5848786.6995829288</v>
      </c>
      <c r="L44" s="126">
        <f t="shared" si="1"/>
        <v>5802523.2329622675</v>
      </c>
      <c r="M44" s="126">
        <f t="shared" si="3"/>
        <v>5756259.7663416052</v>
      </c>
      <c r="N44" s="126">
        <f t="shared" si="4"/>
        <v>5677536.085321838</v>
      </c>
      <c r="O44" s="126">
        <f t="shared" si="5"/>
        <v>5598812.4043020718</v>
      </c>
      <c r="P44" s="127" t="s">
        <v>401</v>
      </c>
      <c r="Q44" s="126">
        <f t="shared" si="12"/>
        <v>13002700</v>
      </c>
      <c r="R44" s="126">
        <f t="shared" si="6"/>
        <v>13117095.489390796</v>
      </c>
      <c r="S44" s="126">
        <f t="shared" si="7"/>
        <v>13231490.978781592</v>
      </c>
      <c r="T44" s="126">
        <f t="shared" si="8"/>
        <v>13126830.87187735</v>
      </c>
      <c r="U44" s="126">
        <f t="shared" si="9"/>
        <v>13022170.76497311</v>
      </c>
      <c r="V44" s="126">
        <f t="shared" si="10"/>
        <v>12844077.131415948</v>
      </c>
      <c r="W44" s="126">
        <f t="shared" si="11"/>
        <v>12665983.497858785</v>
      </c>
    </row>
    <row r="45" spans="1:23" x14ac:dyDescent="0.25">
      <c r="A45" s="101">
        <v>44</v>
      </c>
      <c r="B45" s="92" t="s">
        <v>402</v>
      </c>
      <c r="C45" s="102">
        <v>1097379</v>
      </c>
      <c r="D45" s="103">
        <v>1131941.9133109816</v>
      </c>
      <c r="E45" s="103">
        <v>1134637.5743859769</v>
      </c>
      <c r="F45" s="104">
        <v>1124012.4259274087</v>
      </c>
      <c r="G45" s="105" t="str">
        <f t="shared" si="0"/>
        <v>Rhode Island</v>
      </c>
      <c r="H45" s="105" t="s">
        <v>403</v>
      </c>
      <c r="I45" s="126">
        <f>SUMIFS('NST-EST2024-HU'!D:D,'NST-EST2024-HU'!A:A,G45)</f>
        <v>483744</v>
      </c>
      <c r="J45" s="126">
        <f t="shared" si="1"/>
        <v>491361.97060847143</v>
      </c>
      <c r="K45" s="126">
        <f t="shared" si="2"/>
        <v>498979.9412169428</v>
      </c>
      <c r="L45" s="126">
        <f t="shared" si="1"/>
        <v>499574.08866785199</v>
      </c>
      <c r="M45" s="126">
        <f t="shared" si="3"/>
        <v>500168.23611876112</v>
      </c>
      <c r="N45" s="126">
        <f t="shared" si="4"/>
        <v>497826.35978618066</v>
      </c>
      <c r="O45" s="126">
        <f t="shared" si="5"/>
        <v>495484.4834536002</v>
      </c>
      <c r="P45" s="127" t="s">
        <v>403</v>
      </c>
      <c r="Q45" s="126">
        <f t="shared" si="12"/>
        <v>1097379</v>
      </c>
      <c r="R45" s="126">
        <f t="shared" si="6"/>
        <v>1114660.4566554907</v>
      </c>
      <c r="S45" s="126">
        <f t="shared" si="7"/>
        <v>1131941.9133109816</v>
      </c>
      <c r="T45" s="126">
        <f t="shared" si="8"/>
        <v>1133289.7438484794</v>
      </c>
      <c r="U45" s="126">
        <f t="shared" si="9"/>
        <v>1134637.5743859769</v>
      </c>
      <c r="V45" s="126">
        <f t="shared" si="10"/>
        <v>1129325.0001566927</v>
      </c>
      <c r="W45" s="126">
        <f t="shared" si="11"/>
        <v>1124012.4259274087</v>
      </c>
    </row>
    <row r="46" spans="1:23" x14ac:dyDescent="0.25">
      <c r="A46" s="101">
        <v>45</v>
      </c>
      <c r="B46" s="92" t="s">
        <v>404</v>
      </c>
      <c r="C46" s="102">
        <v>5118425</v>
      </c>
      <c r="D46" s="103">
        <v>5514500.7519329283</v>
      </c>
      <c r="E46" s="103">
        <v>5867090.0439792927</v>
      </c>
      <c r="F46" s="104">
        <v>6169077.6594060129</v>
      </c>
      <c r="G46" s="105" t="str">
        <f t="shared" si="0"/>
        <v>South Carolina</v>
      </c>
      <c r="H46" s="105" t="s">
        <v>405</v>
      </c>
      <c r="I46" s="126">
        <f>SUMIFS('NST-EST2024-HU'!D:D,'NST-EST2024-HU'!A:A,G46)</f>
        <v>2353576</v>
      </c>
      <c r="J46" s="126">
        <f t="shared" si="1"/>
        <v>2444638.6202329127</v>
      </c>
      <c r="K46" s="126">
        <f t="shared" si="2"/>
        <v>2535701.2404658254</v>
      </c>
      <c r="L46" s="126">
        <f t="shared" si="1"/>
        <v>2616765.796029042</v>
      </c>
      <c r="M46" s="126">
        <f t="shared" si="3"/>
        <v>2697830.3515922586</v>
      </c>
      <c r="N46" s="126">
        <f t="shared" si="4"/>
        <v>2767260.9678429174</v>
      </c>
      <c r="O46" s="126">
        <f t="shared" si="5"/>
        <v>2836691.5840935763</v>
      </c>
      <c r="P46" s="127" t="s">
        <v>405</v>
      </c>
      <c r="Q46" s="126">
        <f t="shared" si="12"/>
        <v>5118425</v>
      </c>
      <c r="R46" s="126">
        <f t="shared" si="6"/>
        <v>5316462.8759664642</v>
      </c>
      <c r="S46" s="126">
        <f t="shared" si="7"/>
        <v>5514500.7519329283</v>
      </c>
      <c r="T46" s="126">
        <f t="shared" si="8"/>
        <v>5690795.3979561105</v>
      </c>
      <c r="U46" s="126">
        <f t="shared" si="9"/>
        <v>5867090.0439792927</v>
      </c>
      <c r="V46" s="126">
        <f t="shared" si="10"/>
        <v>6018083.8516926523</v>
      </c>
      <c r="W46" s="126">
        <f t="shared" si="11"/>
        <v>6169077.6594060129</v>
      </c>
    </row>
    <row r="47" spans="1:23" x14ac:dyDescent="0.25">
      <c r="A47" s="101">
        <v>46</v>
      </c>
      <c r="B47" s="92" t="s">
        <v>406</v>
      </c>
      <c r="C47" s="102">
        <v>886667</v>
      </c>
      <c r="D47" s="103">
        <v>944259.033493208</v>
      </c>
      <c r="E47" s="103">
        <v>988683.73308034905</v>
      </c>
      <c r="F47" s="104">
        <v>1023068.1388994332</v>
      </c>
      <c r="G47" s="105" t="str">
        <f t="shared" si="0"/>
        <v>South Dakota</v>
      </c>
      <c r="H47" s="105" t="s">
        <v>407</v>
      </c>
      <c r="I47" s="126">
        <f>SUMIFS('NST-EST2024-HU'!D:D,'NST-EST2024-HU'!A:A,G47)</f>
        <v>394347</v>
      </c>
      <c r="J47" s="126">
        <f t="shared" si="1"/>
        <v>407154.08858677838</v>
      </c>
      <c r="K47" s="126">
        <f t="shared" si="2"/>
        <v>419961.17717355682</v>
      </c>
      <c r="L47" s="126">
        <f t="shared" si="1"/>
        <v>429840.16613338632</v>
      </c>
      <c r="M47" s="126">
        <f t="shared" si="3"/>
        <v>439719.15509321581</v>
      </c>
      <c r="N47" s="126">
        <f t="shared" si="4"/>
        <v>447365.42324210284</v>
      </c>
      <c r="O47" s="126">
        <f t="shared" si="5"/>
        <v>455011.69139098981</v>
      </c>
      <c r="P47" s="127" t="s">
        <v>407</v>
      </c>
      <c r="Q47" s="126">
        <f t="shared" si="12"/>
        <v>886667</v>
      </c>
      <c r="R47" s="126">
        <f t="shared" si="6"/>
        <v>915463.016746604</v>
      </c>
      <c r="S47" s="126">
        <f t="shared" si="7"/>
        <v>944259.033493208</v>
      </c>
      <c r="T47" s="126">
        <f t="shared" si="8"/>
        <v>966471.38328677858</v>
      </c>
      <c r="U47" s="126">
        <f t="shared" si="9"/>
        <v>988683.73308034905</v>
      </c>
      <c r="V47" s="126">
        <f t="shared" si="10"/>
        <v>1005875.9359898912</v>
      </c>
      <c r="W47" s="126">
        <f t="shared" si="11"/>
        <v>1023068.1388994332</v>
      </c>
    </row>
    <row r="48" spans="1:23" x14ac:dyDescent="0.25">
      <c r="A48" s="101">
        <v>47</v>
      </c>
      <c r="B48" s="92" t="s">
        <v>410</v>
      </c>
      <c r="C48" s="102">
        <v>6910840</v>
      </c>
      <c r="D48" s="103">
        <v>7359518.9165155245</v>
      </c>
      <c r="E48" s="103">
        <v>7705470.0344561795</v>
      </c>
      <c r="F48" s="104">
        <v>7973147.0964359436</v>
      </c>
      <c r="G48" s="105" t="str">
        <f t="shared" si="0"/>
        <v>Tennessee</v>
      </c>
      <c r="H48" s="105" t="s">
        <v>411</v>
      </c>
      <c r="I48" s="126">
        <f>SUMIFS('NST-EST2024-HU'!D:D,'NST-EST2024-HU'!A:A,G48)</f>
        <v>3041022</v>
      </c>
      <c r="J48" s="126">
        <f t="shared" si="1"/>
        <v>3139739.5550338216</v>
      </c>
      <c r="K48" s="126">
        <f t="shared" si="2"/>
        <v>3238457.1100676437</v>
      </c>
      <c r="L48" s="126">
        <f t="shared" si="1"/>
        <v>3314572.6734855585</v>
      </c>
      <c r="M48" s="126">
        <f t="shared" si="3"/>
        <v>3390688.2369034733</v>
      </c>
      <c r="N48" s="126">
        <f t="shared" si="4"/>
        <v>3449582.0786344223</v>
      </c>
      <c r="O48" s="126">
        <f t="shared" si="5"/>
        <v>3508475.9203653717</v>
      </c>
      <c r="P48" s="127" t="s">
        <v>411</v>
      </c>
      <c r="Q48" s="126">
        <f t="shared" si="12"/>
        <v>6910840</v>
      </c>
      <c r="R48" s="126">
        <f t="shared" si="6"/>
        <v>7135179.4582577627</v>
      </c>
      <c r="S48" s="126">
        <f t="shared" si="7"/>
        <v>7359518.9165155245</v>
      </c>
      <c r="T48" s="126">
        <f t="shared" si="8"/>
        <v>7532494.475485852</v>
      </c>
      <c r="U48" s="126">
        <f t="shared" si="9"/>
        <v>7705470.0344561795</v>
      </c>
      <c r="V48" s="126">
        <f t="shared" si="10"/>
        <v>7839308.565446062</v>
      </c>
      <c r="W48" s="126">
        <f t="shared" si="11"/>
        <v>7973147.0964359436</v>
      </c>
    </row>
    <row r="49" spans="1:23" x14ac:dyDescent="0.25">
      <c r="A49" s="101">
        <v>48</v>
      </c>
      <c r="B49" s="92" t="s">
        <v>412</v>
      </c>
      <c r="C49" s="102">
        <v>29145505</v>
      </c>
      <c r="D49" s="103">
        <v>32463601.696590144</v>
      </c>
      <c r="E49" s="103">
        <v>36177044.314676486</v>
      </c>
      <c r="F49" s="104">
        <v>39842849.698430136</v>
      </c>
      <c r="G49" s="105" t="str">
        <f t="shared" si="0"/>
        <v>Texas</v>
      </c>
      <c r="H49" s="105" t="s">
        <v>413</v>
      </c>
      <c r="I49" s="126">
        <f>SUMIFS('NST-EST2024-HU'!D:D,'NST-EST2024-HU'!A:A,G49)</f>
        <v>11640025</v>
      </c>
      <c r="J49" s="126">
        <f t="shared" si="1"/>
        <v>12302609.650715895</v>
      </c>
      <c r="K49" s="126">
        <f t="shared" si="2"/>
        <v>12965194.301431788</v>
      </c>
      <c r="L49" s="126">
        <f t="shared" si="1"/>
        <v>13706724.854952656</v>
      </c>
      <c r="M49" s="126">
        <f t="shared" si="3"/>
        <v>14448255.408473525</v>
      </c>
      <c r="N49" s="126">
        <f t="shared" si="4"/>
        <v>15180273.369940089</v>
      </c>
      <c r="O49" s="126">
        <f t="shared" si="5"/>
        <v>15912291.331406653</v>
      </c>
      <c r="P49" s="127" t="s">
        <v>413</v>
      </c>
      <c r="Q49" s="126">
        <f t="shared" si="12"/>
        <v>29145505</v>
      </c>
      <c r="R49" s="126">
        <f t="shared" si="6"/>
        <v>30804553.34829507</v>
      </c>
      <c r="S49" s="126">
        <f t="shared" si="7"/>
        <v>32463601.696590144</v>
      </c>
      <c r="T49" s="126">
        <f t="shared" si="8"/>
        <v>34320323.005633317</v>
      </c>
      <c r="U49" s="126">
        <f t="shared" si="9"/>
        <v>36177044.314676486</v>
      </c>
      <c r="V49" s="126">
        <f t="shared" si="10"/>
        <v>38009947.006553307</v>
      </c>
      <c r="W49" s="126">
        <f t="shared" si="11"/>
        <v>39842849.698430136</v>
      </c>
    </row>
    <row r="50" spans="1:23" x14ac:dyDescent="0.25">
      <c r="A50" s="101">
        <v>49</v>
      </c>
      <c r="B50" s="92" t="s">
        <v>414</v>
      </c>
      <c r="C50" s="102">
        <v>3271616</v>
      </c>
      <c r="D50" s="103">
        <v>3699049.8315023053</v>
      </c>
      <c r="E50" s="103">
        <v>4209772.8375504371</v>
      </c>
      <c r="F50" s="104">
        <v>4734870.1350054462</v>
      </c>
      <c r="G50" s="105" t="str">
        <f t="shared" si="0"/>
        <v>Utah</v>
      </c>
      <c r="H50" s="105" t="s">
        <v>415</v>
      </c>
      <c r="I50" s="126">
        <f>SUMIFS('NST-EST2024-HU'!D:D,'NST-EST2024-HU'!A:A,G50)</f>
        <v>1158355</v>
      </c>
      <c r="J50" s="126">
        <f t="shared" si="1"/>
        <v>1234024.0448833012</v>
      </c>
      <c r="K50" s="126">
        <f t="shared" si="2"/>
        <v>1309693.0897666025</v>
      </c>
      <c r="L50" s="126">
        <f t="shared" si="1"/>
        <v>1400106.9017284713</v>
      </c>
      <c r="M50" s="126">
        <f t="shared" si="3"/>
        <v>1490520.7136903403</v>
      </c>
      <c r="N50" s="126">
        <f t="shared" si="4"/>
        <v>1583479.2210447327</v>
      </c>
      <c r="O50" s="126">
        <f t="shared" si="5"/>
        <v>1676437.7283991254</v>
      </c>
      <c r="P50" s="127" t="s">
        <v>415</v>
      </c>
      <c r="Q50" s="126">
        <f t="shared" si="12"/>
        <v>3271616</v>
      </c>
      <c r="R50" s="126">
        <f t="shared" si="6"/>
        <v>3485332.9157511527</v>
      </c>
      <c r="S50" s="126">
        <f t="shared" si="7"/>
        <v>3699049.8315023053</v>
      </c>
      <c r="T50" s="126">
        <f t="shared" si="8"/>
        <v>3954411.3345263712</v>
      </c>
      <c r="U50" s="126">
        <f t="shared" si="9"/>
        <v>4209772.8375504371</v>
      </c>
      <c r="V50" s="126">
        <f t="shared" si="10"/>
        <v>4472321.4862779416</v>
      </c>
      <c r="W50" s="126">
        <f t="shared" si="11"/>
        <v>4734870.1350054462</v>
      </c>
    </row>
    <row r="51" spans="1:23" x14ac:dyDescent="0.25">
      <c r="A51" s="101">
        <v>50</v>
      </c>
      <c r="B51" s="92" t="s">
        <v>416</v>
      </c>
      <c r="C51" s="102">
        <v>643077</v>
      </c>
      <c r="D51" s="103">
        <v>656319.14480112377</v>
      </c>
      <c r="E51" s="103">
        <v>648499.37688398245</v>
      </c>
      <c r="F51" s="104">
        <v>633264.26871211256</v>
      </c>
      <c r="G51" s="105" t="str">
        <f t="shared" si="0"/>
        <v>Vermont</v>
      </c>
      <c r="H51" s="105" t="s">
        <v>417</v>
      </c>
      <c r="I51" s="126">
        <f>SUMIFS('NST-EST2024-HU'!D:D,'NST-EST2024-HU'!A:A,G51)</f>
        <v>334745</v>
      </c>
      <c r="J51" s="126">
        <f t="shared" si="1"/>
        <v>338191.50933049398</v>
      </c>
      <c r="K51" s="126">
        <f t="shared" si="2"/>
        <v>341638.01866098802</v>
      </c>
      <c r="L51" s="126">
        <f t="shared" si="1"/>
        <v>339602.78165871341</v>
      </c>
      <c r="M51" s="126">
        <f t="shared" si="3"/>
        <v>337567.54465643881</v>
      </c>
      <c r="N51" s="126">
        <f t="shared" si="4"/>
        <v>333602.33031586016</v>
      </c>
      <c r="O51" s="126">
        <f t="shared" si="5"/>
        <v>329637.11597528151</v>
      </c>
      <c r="P51" s="127" t="s">
        <v>417</v>
      </c>
      <c r="Q51" s="126">
        <f t="shared" si="12"/>
        <v>643077</v>
      </c>
      <c r="R51" s="126">
        <f t="shared" si="6"/>
        <v>649698.07240056188</v>
      </c>
      <c r="S51" s="126">
        <f t="shared" si="7"/>
        <v>656319.14480112377</v>
      </c>
      <c r="T51" s="126">
        <f t="shared" si="8"/>
        <v>652409.26084255311</v>
      </c>
      <c r="U51" s="126">
        <f t="shared" si="9"/>
        <v>648499.37688398245</v>
      </c>
      <c r="V51" s="126">
        <f t="shared" si="10"/>
        <v>640881.82279804745</v>
      </c>
      <c r="W51" s="126">
        <f t="shared" si="11"/>
        <v>633264.26871211256</v>
      </c>
    </row>
    <row r="52" spans="1:23" x14ac:dyDescent="0.25">
      <c r="A52" s="101">
        <v>51</v>
      </c>
      <c r="B52" s="92" t="s">
        <v>418</v>
      </c>
      <c r="C52" s="102">
        <v>8631393</v>
      </c>
      <c r="D52" s="103">
        <v>9129001.8887463026</v>
      </c>
      <c r="E52" s="103">
        <v>9468577.5405298192</v>
      </c>
      <c r="F52" s="104">
        <v>9705705.5996118318</v>
      </c>
      <c r="G52" s="105" t="str">
        <f t="shared" si="0"/>
        <v>Virginia</v>
      </c>
      <c r="H52" s="105" t="s">
        <v>419</v>
      </c>
      <c r="I52" s="126">
        <f>SUMIFS('NST-EST2024-HU'!D:D,'NST-EST2024-HU'!A:A,G52)</f>
        <v>3624493</v>
      </c>
      <c r="J52" s="126">
        <f t="shared" si="1"/>
        <v>3728970.9176431168</v>
      </c>
      <c r="K52" s="126">
        <f t="shared" si="2"/>
        <v>3833448.835286234</v>
      </c>
      <c r="L52" s="126">
        <f t="shared" si="1"/>
        <v>3904746.1086730324</v>
      </c>
      <c r="M52" s="126">
        <f t="shared" si="3"/>
        <v>3976043.3820598307</v>
      </c>
      <c r="N52" s="126">
        <f t="shared" si="4"/>
        <v>4025830.7680730931</v>
      </c>
      <c r="O52" s="126">
        <f t="shared" si="5"/>
        <v>4075618.1540863551</v>
      </c>
      <c r="P52" s="127" t="s">
        <v>419</v>
      </c>
      <c r="Q52" s="126">
        <f t="shared" si="12"/>
        <v>8631393</v>
      </c>
      <c r="R52" s="126">
        <f t="shared" si="6"/>
        <v>8880197.4443731513</v>
      </c>
      <c r="S52" s="126">
        <f t="shared" si="7"/>
        <v>9129001.8887463026</v>
      </c>
      <c r="T52" s="126">
        <f t="shared" si="8"/>
        <v>9298789.7146380618</v>
      </c>
      <c r="U52" s="126">
        <f t="shared" si="9"/>
        <v>9468577.5405298192</v>
      </c>
      <c r="V52" s="126">
        <f t="shared" si="10"/>
        <v>9587141.5700708255</v>
      </c>
      <c r="W52" s="126">
        <f t="shared" si="11"/>
        <v>9705705.5996118318</v>
      </c>
    </row>
    <row r="53" spans="1:23" x14ac:dyDescent="0.25">
      <c r="A53" s="101">
        <v>53</v>
      </c>
      <c r="B53" s="92" t="s">
        <v>420</v>
      </c>
      <c r="C53" s="102">
        <v>7705281</v>
      </c>
      <c r="D53" s="103">
        <v>8512354.8693866786</v>
      </c>
      <c r="E53" s="103">
        <v>9377816.831497049</v>
      </c>
      <c r="F53" s="104">
        <v>10210210.637738451</v>
      </c>
      <c r="G53" s="105" t="str">
        <f t="shared" si="0"/>
        <v>Washington</v>
      </c>
      <c r="H53" s="105" t="s">
        <v>421</v>
      </c>
      <c r="I53" s="126">
        <f>SUMIFS('NST-EST2024-HU'!D:D,'NST-EST2024-HU'!A:A,G53)</f>
        <v>3213888</v>
      </c>
      <c r="J53" s="126">
        <f t="shared" si="1"/>
        <v>3382204.0564770717</v>
      </c>
      <c r="K53" s="126">
        <f t="shared" si="2"/>
        <v>3550520.1129541434</v>
      </c>
      <c r="L53" s="126">
        <f t="shared" si="1"/>
        <v>3731013.0641186093</v>
      </c>
      <c r="M53" s="126">
        <f t="shared" si="3"/>
        <v>3911506.0152830752</v>
      </c>
      <c r="N53" s="126">
        <f t="shared" si="4"/>
        <v>4085102.5697211009</v>
      </c>
      <c r="O53" s="126">
        <f t="shared" si="5"/>
        <v>4258699.1241591265</v>
      </c>
      <c r="P53" s="127" t="s">
        <v>421</v>
      </c>
      <c r="Q53" s="126">
        <f t="shared" si="12"/>
        <v>7705281</v>
      </c>
      <c r="R53" s="126">
        <f t="shared" si="6"/>
        <v>8108817.9346933393</v>
      </c>
      <c r="S53" s="126">
        <f t="shared" si="7"/>
        <v>8512354.8693866786</v>
      </c>
      <c r="T53" s="126">
        <f t="shared" si="8"/>
        <v>8945085.8504418638</v>
      </c>
      <c r="U53" s="126">
        <f t="shared" si="9"/>
        <v>9377816.831497049</v>
      </c>
      <c r="V53" s="126">
        <f t="shared" si="10"/>
        <v>9794013.7346177511</v>
      </c>
      <c r="W53" s="126">
        <f t="shared" si="11"/>
        <v>10210210.637738451</v>
      </c>
    </row>
    <row r="54" spans="1:23" x14ac:dyDescent="0.25">
      <c r="A54" s="101">
        <v>54</v>
      </c>
      <c r="B54" s="92" t="s">
        <v>422</v>
      </c>
      <c r="C54" s="102">
        <v>1793716</v>
      </c>
      <c r="D54" s="103">
        <v>1750205.6631575709</v>
      </c>
      <c r="E54" s="103">
        <v>1628901.7088146622</v>
      </c>
      <c r="F54" s="104">
        <v>1498240.7451807882</v>
      </c>
      <c r="G54" s="105" t="str">
        <f t="shared" si="0"/>
        <v>West Virginia</v>
      </c>
      <c r="H54" s="105" t="s">
        <v>423</v>
      </c>
      <c r="I54" s="126">
        <f>SUMIFS('NST-EST2024-HU'!D:D,'NST-EST2024-HU'!A:A,G54)</f>
        <v>856092</v>
      </c>
      <c r="J54" s="126">
        <f t="shared" si="1"/>
        <v>845708.84812754393</v>
      </c>
      <c r="K54" s="126">
        <f t="shared" si="2"/>
        <v>835325.69625508785</v>
      </c>
      <c r="L54" s="126">
        <f t="shared" si="1"/>
        <v>806378.15247409651</v>
      </c>
      <c r="M54" s="126">
        <f t="shared" si="3"/>
        <v>777430.60869310505</v>
      </c>
      <c r="N54" s="126">
        <f t="shared" si="4"/>
        <v>746250.14152905834</v>
      </c>
      <c r="O54" s="126">
        <f t="shared" si="5"/>
        <v>715069.67436501163</v>
      </c>
      <c r="P54" s="127" t="s">
        <v>423</v>
      </c>
      <c r="Q54" s="126">
        <f t="shared" si="12"/>
        <v>1793716</v>
      </c>
      <c r="R54" s="126">
        <f t="shared" si="6"/>
        <v>1771960.8315787856</v>
      </c>
      <c r="S54" s="126">
        <f t="shared" si="7"/>
        <v>1750205.6631575709</v>
      </c>
      <c r="T54" s="126">
        <f t="shared" si="8"/>
        <v>1689553.6859861165</v>
      </c>
      <c r="U54" s="126">
        <f t="shared" si="9"/>
        <v>1628901.7088146622</v>
      </c>
      <c r="V54" s="126">
        <f t="shared" si="10"/>
        <v>1563571.2269977252</v>
      </c>
      <c r="W54" s="126">
        <f t="shared" si="11"/>
        <v>1498240.7451807882</v>
      </c>
    </row>
    <row r="55" spans="1:23" x14ac:dyDescent="0.25">
      <c r="A55" s="101">
        <v>55</v>
      </c>
      <c r="B55" s="92" t="s">
        <v>424</v>
      </c>
      <c r="C55" s="102">
        <v>5893718</v>
      </c>
      <c r="D55" s="103">
        <v>6052524.5369294034</v>
      </c>
      <c r="E55" s="103">
        <v>6030729.8834475866</v>
      </c>
      <c r="F55" s="104">
        <v>5938600.7060773103</v>
      </c>
      <c r="G55" s="105" t="str">
        <f t="shared" si="0"/>
        <v>Wisconsin</v>
      </c>
      <c r="H55" s="105" t="s">
        <v>425</v>
      </c>
      <c r="I55" s="126">
        <f>SUMIFS('NST-EST2024-HU'!D:D,'NST-EST2024-HU'!A:A,G55)</f>
        <v>2732729</v>
      </c>
      <c r="J55" s="126">
        <f t="shared" si="1"/>
        <v>2769545.7622591164</v>
      </c>
      <c r="K55" s="126">
        <f t="shared" si="2"/>
        <v>2806362.5245182328</v>
      </c>
      <c r="L55" s="126">
        <f t="shared" si="1"/>
        <v>2801309.7817831114</v>
      </c>
      <c r="M55" s="126">
        <f t="shared" si="3"/>
        <v>2796257.0390479895</v>
      </c>
      <c r="N55" s="126">
        <f t="shared" si="4"/>
        <v>2774898.3589460659</v>
      </c>
      <c r="O55" s="126">
        <f t="shared" si="5"/>
        <v>2753539.6788441422</v>
      </c>
      <c r="P55" s="127" t="s">
        <v>425</v>
      </c>
      <c r="Q55" s="126">
        <f t="shared" si="12"/>
        <v>5893718</v>
      </c>
      <c r="R55" s="126">
        <f t="shared" si="6"/>
        <v>5973121.2684647013</v>
      </c>
      <c r="S55" s="126">
        <f t="shared" si="7"/>
        <v>6052524.5369294034</v>
      </c>
      <c r="T55" s="126">
        <f t="shared" si="8"/>
        <v>6041627.210188495</v>
      </c>
      <c r="U55" s="126">
        <f t="shared" si="9"/>
        <v>6030729.8834475875</v>
      </c>
      <c r="V55" s="126">
        <f t="shared" si="10"/>
        <v>5984665.2947624493</v>
      </c>
      <c r="W55" s="126">
        <f t="shared" si="11"/>
        <v>5938600.7060773103</v>
      </c>
    </row>
    <row r="56" spans="1:23" ht="15.75" thickBot="1" x14ac:dyDescent="0.3">
      <c r="A56" s="107">
        <v>56</v>
      </c>
      <c r="B56" s="108" t="s">
        <v>426</v>
      </c>
      <c r="C56" s="109">
        <v>576851</v>
      </c>
      <c r="D56" s="110">
        <v>586924.90663312201</v>
      </c>
      <c r="E56" s="110">
        <v>577538.97222959681</v>
      </c>
      <c r="F56" s="111">
        <v>561643.81730108778</v>
      </c>
      <c r="G56" s="105" t="str">
        <f t="shared" si="0"/>
        <v>Wyoming</v>
      </c>
      <c r="H56" s="105" t="s">
        <v>427</v>
      </c>
      <c r="I56" s="126">
        <f>SUMIFS('NST-EST2024-HU'!D:D,'NST-EST2024-HU'!A:A,G56)</f>
        <v>272280</v>
      </c>
      <c r="J56" s="126">
        <f t="shared" si="1"/>
        <v>274657.49722031032</v>
      </c>
      <c r="K56" s="126">
        <f t="shared" si="2"/>
        <v>277034.99444062065</v>
      </c>
      <c r="L56" s="126">
        <f t="shared" si="1"/>
        <v>274819.86243998975</v>
      </c>
      <c r="M56" s="126">
        <f t="shared" si="3"/>
        <v>272604.73043935886</v>
      </c>
      <c r="N56" s="126">
        <f t="shared" si="4"/>
        <v>268853.38669207017</v>
      </c>
      <c r="O56" s="126">
        <f t="shared" si="5"/>
        <v>265102.04294478154</v>
      </c>
      <c r="P56" s="127" t="s">
        <v>427</v>
      </c>
      <c r="Q56" s="126">
        <f t="shared" si="12"/>
        <v>576851</v>
      </c>
      <c r="R56" s="126">
        <f t="shared" si="6"/>
        <v>581887.95331656095</v>
      </c>
      <c r="S56" s="126">
        <f t="shared" si="7"/>
        <v>586924.90663312201</v>
      </c>
      <c r="T56" s="126">
        <f t="shared" si="8"/>
        <v>582231.93943135941</v>
      </c>
      <c r="U56" s="126">
        <f t="shared" si="9"/>
        <v>577538.97222959681</v>
      </c>
      <c r="V56" s="126">
        <f t="shared" si="10"/>
        <v>569591.39476534235</v>
      </c>
      <c r="W56" s="126">
        <f t="shared" si="11"/>
        <v>561643.81730108778</v>
      </c>
    </row>
    <row r="57" spans="1:23" x14ac:dyDescent="0.25">
      <c r="A57" s="112" t="s">
        <v>441</v>
      </c>
      <c r="G57" s="105">
        <f t="shared" si="0"/>
        <v>0</v>
      </c>
      <c r="J57" s="106"/>
      <c r="K57" s="106"/>
      <c r="L57" s="106"/>
      <c r="M57" s="106"/>
      <c r="N57" s="106"/>
      <c r="O57" s="106"/>
      <c r="R57" s="106"/>
      <c r="S57" s="106"/>
      <c r="T57" s="106"/>
      <c r="U57" s="106"/>
      <c r="V57" s="106"/>
      <c r="W57" s="106"/>
    </row>
    <row r="58" spans="1:23" x14ac:dyDescent="0.25">
      <c r="A58" s="113"/>
      <c r="I58" s="92">
        <f>SUM(I6:I56)</f>
        <v>140811440</v>
      </c>
      <c r="J58" s="92">
        <f>SUM(J6:J56)</f>
        <v>144655576.45383513</v>
      </c>
      <c r="K58" s="92">
        <f t="shared" ref="K58:O58" si="13">SUM(K6:K56)</f>
        <v>148499712.90767023</v>
      </c>
      <c r="L58" s="92">
        <f t="shared" si="13"/>
        <v>151130489.51300257</v>
      </c>
      <c r="M58" s="92">
        <f t="shared" si="13"/>
        <v>153761266.11833489</v>
      </c>
      <c r="N58" s="92">
        <f t="shared" si="13"/>
        <v>155727313.22916201</v>
      </c>
      <c r="O58" s="92">
        <f t="shared" si="13"/>
        <v>157693360.33998933</v>
      </c>
    </row>
    <row r="59" spans="1:23" x14ac:dyDescent="0.25">
      <c r="D59" s="115"/>
      <c r="E59" s="115"/>
      <c r="F59" s="115"/>
    </row>
  </sheetData>
  <conditionalFormatting sqref="A5:F56">
    <cfRule type="expression" dxfId="1" priority="1">
      <formula>MOD(ROW(),2)=1</formula>
    </cfRule>
    <cfRule type="expression" dxfId="0" priority="2">
      <formula>MOD(ROW(),2)=1</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DF42C-BDA2-4BD1-A989-B26733C4BBE3}">
  <dimension ref="A1:AE112"/>
  <sheetViews>
    <sheetView topLeftCell="A90" zoomScale="85" zoomScaleNormal="85" workbookViewId="0">
      <selection activeCell="A53" sqref="A53"/>
    </sheetView>
  </sheetViews>
  <sheetFormatPr defaultColWidth="8.7109375" defaultRowHeight="15" x14ac:dyDescent="0.25"/>
  <cols>
    <col min="1" max="1" width="17.7109375" style="91" customWidth="1"/>
    <col min="2" max="31" width="12" style="91" bestFit="1" customWidth="1"/>
    <col min="32" max="16384" width="8.7109375" style="91"/>
  </cols>
  <sheetData>
    <row r="1" spans="1:31" x14ac:dyDescent="0.25">
      <c r="B1" s="91">
        <v>2021</v>
      </c>
      <c r="C1" s="91">
        <v>2022</v>
      </c>
      <c r="D1" s="91">
        <v>2023</v>
      </c>
      <c r="E1" s="91">
        <v>2024</v>
      </c>
      <c r="F1" s="91">
        <v>2025</v>
      </c>
      <c r="G1" s="91">
        <v>2026</v>
      </c>
      <c r="H1" s="91">
        <v>2027</v>
      </c>
      <c r="I1" s="91">
        <v>2028</v>
      </c>
      <c r="J1" s="91">
        <v>2029</v>
      </c>
      <c r="K1" s="91">
        <v>2030</v>
      </c>
      <c r="L1" s="91">
        <v>2031</v>
      </c>
      <c r="M1" s="91">
        <v>2032</v>
      </c>
      <c r="N1" s="91">
        <v>2033</v>
      </c>
      <c r="O1" s="91">
        <v>2034</v>
      </c>
      <c r="P1" s="91">
        <v>2035</v>
      </c>
      <c r="Q1" s="91">
        <v>2036</v>
      </c>
      <c r="R1" s="91">
        <v>2037</v>
      </c>
      <c r="S1" s="91">
        <v>2038</v>
      </c>
      <c r="T1" s="91">
        <v>2039</v>
      </c>
      <c r="U1" s="91">
        <v>2040</v>
      </c>
      <c r="V1" s="91">
        <v>2041</v>
      </c>
      <c r="W1" s="91">
        <v>2042</v>
      </c>
      <c r="X1" s="91">
        <v>2043</v>
      </c>
      <c r="Y1" s="91">
        <v>2044</v>
      </c>
      <c r="Z1" s="91">
        <v>2045</v>
      </c>
      <c r="AA1" s="91">
        <v>2046</v>
      </c>
      <c r="AB1" s="91">
        <v>2047</v>
      </c>
      <c r="AC1" s="91">
        <v>2048</v>
      </c>
      <c r="AD1" s="91">
        <v>2049</v>
      </c>
      <c r="AE1" s="91">
        <v>2050</v>
      </c>
    </row>
    <row r="2" spans="1:31" x14ac:dyDescent="0.25">
      <c r="A2" s="91" t="s">
        <v>327</v>
      </c>
      <c r="B2" s="91" cm="1">
        <f t="array" ref="B2">TREND('Total Pop'!$I6:$J6,'Total Pop'!$I$5:$J$5,'state calcs'!B$1)</f>
        <v>2301348.7568126395</v>
      </c>
      <c r="C2" s="91" cm="1">
        <f t="array" ref="C2">TREND('Total Pop'!$I6:$J6,'Total Pop'!$I$5:$J$5,'state calcs'!C$1)</f>
        <v>2310003.5136252791</v>
      </c>
      <c r="D2" s="91" cm="1">
        <f t="array" ref="D2">TREND('Total Pop'!$I6:$J6,'Total Pop'!$I$5:$J$5,'state calcs'!D$1)</f>
        <v>2318658.2704379186</v>
      </c>
      <c r="E2" s="91" cm="1">
        <f t="array" ref="E2">TREND('Total Pop'!$I6:$J6,'Total Pop'!$I$5:$J$5,'state calcs'!E$1)</f>
        <v>2327313.0272505581</v>
      </c>
      <c r="F2" s="91" cm="1">
        <f t="array" ref="F2">TREND('Total Pop'!$J6:$K6,'Total Pop'!$J$5:$K$5,'state calcs'!F$1)</f>
        <v>2335967.7840631977</v>
      </c>
      <c r="G2" s="91" cm="1">
        <f t="array" ref="G2">TREND('Total Pop'!$J6:$K6,'Total Pop'!$J$5:$K$5,'state calcs'!G$1)</f>
        <v>2344622.5408758372</v>
      </c>
      <c r="H2" s="91" cm="1">
        <f t="array" ref="H2">TREND('Total Pop'!$J6:$K6,'Total Pop'!$J$5:$K$5,'state calcs'!H$1)</f>
        <v>2353277.2976884767</v>
      </c>
      <c r="I2" s="91" cm="1">
        <f t="array" ref="I2">TREND('Total Pop'!$J6:$K6,'Total Pop'!$J$5:$K$5,'state calcs'!I$1)</f>
        <v>2361932.05450112</v>
      </c>
      <c r="J2" s="91" cm="1">
        <f t="array" ref="J2">TREND('Total Pop'!$J6:$K6,'Total Pop'!$J$5:$K$5,'state calcs'!J$1)</f>
        <v>2370586.8113137595</v>
      </c>
      <c r="K2" s="91" cm="1">
        <f t="array" ref="K2">TREND('Total Pop'!$K6:$L6,'Total Pop'!$K$5:$L$5,'state calcs'!K$1)</f>
        <v>2379241.5681263963</v>
      </c>
      <c r="L2" s="91" cm="1">
        <f t="array" ref="L2">TREND('Total Pop'!$K6:$L6,'Total Pop'!$K$5:$L$5,'state calcs'!L$1)</f>
        <v>2381772.7933154814</v>
      </c>
      <c r="M2" s="91" cm="1">
        <f t="array" ref="M2">TREND('Total Pop'!$K6:$L6,'Total Pop'!$K$5:$L$5,'state calcs'!M$1)</f>
        <v>2384304.0185045674</v>
      </c>
      <c r="N2" s="91" cm="1">
        <f t="array" ref="N2">TREND('Total Pop'!$K6:$L6,'Total Pop'!$K$5:$L$5,'state calcs'!N$1)</f>
        <v>2386835.2436936535</v>
      </c>
      <c r="O2" s="91" cm="1">
        <f t="array" ref="O2">TREND('Total Pop'!$K6:$L6,'Total Pop'!$K$5:$L$5,'state calcs'!O$1)</f>
        <v>2389366.4688827395</v>
      </c>
      <c r="P2" s="91" cm="1">
        <f t="array" ref="P2">TREND('Total Pop'!$L6:$M6,'Total Pop'!$L$5:$M$5,'state calcs'!P$1)</f>
        <v>2391897.6940718256</v>
      </c>
      <c r="Q2" s="91" cm="1">
        <f t="array" ref="Q2">TREND('Total Pop'!$L6:$M6,'Total Pop'!$L$5:$M$5,'state calcs'!Q$1)</f>
        <v>2394428.9192609107</v>
      </c>
      <c r="R2" s="91" cm="1">
        <f t="array" ref="R2">TREND('Total Pop'!$L6:$M6,'Total Pop'!$L$5:$M$5,'state calcs'!R$1)</f>
        <v>2396960.1444499968</v>
      </c>
      <c r="S2" s="91" cm="1">
        <f t="array" ref="S2">TREND('Total Pop'!$L6:$M6,'Total Pop'!$L$5:$M$5,'state calcs'!S$1)</f>
        <v>2399491.3696390828</v>
      </c>
      <c r="T2" s="91" cm="1">
        <f t="array" ref="T2">TREND('Total Pop'!$L6:$M6,'Total Pop'!$L$5:$M$5,'state calcs'!T$1)</f>
        <v>2402022.5948281689</v>
      </c>
      <c r="U2" s="91" cm="1">
        <f t="array" ref="U2">TREND('Total Pop'!$M6:$N6,'Total Pop'!$M$5:$N$5,'state calcs'!U$1)</f>
        <v>2404553.820017254</v>
      </c>
      <c r="V2" s="91" cm="1">
        <f t="array" ref="V2">TREND('Total Pop'!$M6:$N6,'Total Pop'!$M$5:$N$5,'state calcs'!V$1)</f>
        <v>2404264.3667530892</v>
      </c>
      <c r="W2" s="91" cm="1">
        <f t="array" ref="W2">TREND('Total Pop'!$M6:$N6,'Total Pop'!$M$5:$N$5,'state calcs'!W$1)</f>
        <v>2403974.913488925</v>
      </c>
      <c r="X2" s="91" cm="1">
        <f t="array" ref="X2">TREND('Total Pop'!$M6:$N6,'Total Pop'!$M$5:$N$5,'state calcs'!X$1)</f>
        <v>2403685.4602247602</v>
      </c>
      <c r="Y2" s="91" cm="1">
        <f t="array" ref="Y2">TREND('Total Pop'!$M6:$N6,'Total Pop'!$M$5:$N$5,'state calcs'!Y$1)</f>
        <v>2403396.0069605955</v>
      </c>
      <c r="Z2" s="91" cm="1">
        <f t="array" ref="Z2">TREND('Total Pop'!$N6:$O6,'Total Pop'!$N$5:$O$5,'state calcs'!Z$1)</f>
        <v>2403106.5536964312</v>
      </c>
      <c r="AA2" s="91" cm="1">
        <f t="array" ref="AA2">TREND('Total Pop'!$N6:$O6,'Total Pop'!$N$5:$O$5,'state calcs'!AA$1)</f>
        <v>2402817.1004322669</v>
      </c>
      <c r="AB2" s="91" cm="1">
        <f t="array" ref="AB2">TREND('Total Pop'!$N6:$O6,'Total Pop'!$N$5:$O$5,'state calcs'!AB$1)</f>
        <v>2402527.6471681022</v>
      </c>
      <c r="AC2" s="91" cm="1">
        <f t="array" ref="AC2">TREND('Total Pop'!$N6:$O6,'Total Pop'!$N$5:$O$5,'state calcs'!AC$1)</f>
        <v>2402238.1939039379</v>
      </c>
      <c r="AD2" s="91" cm="1">
        <f t="array" ref="AD2">TREND('Total Pop'!$N6:$O6,'Total Pop'!$N$5:$O$5,'state calcs'!AD$1)</f>
        <v>2401948.7406397732</v>
      </c>
      <c r="AE2" s="91" cm="1">
        <f t="array" ref="AE2">TREND('Total Pop'!$N6:$O6,'Total Pop'!$N$5:$O$5,'state calcs'!AE$1)</f>
        <v>2401659.2873756085</v>
      </c>
    </row>
    <row r="3" spans="1:31" x14ac:dyDescent="0.25">
      <c r="A3" s="91" t="s">
        <v>329</v>
      </c>
      <c r="B3" s="91" cm="1">
        <f t="array" ref="B3">TREND('Total Pop'!$I7:$J7,'Total Pop'!$I$5:$J$5,'state calcs'!B$1)</f>
        <v>327383.3350776732</v>
      </c>
      <c r="C3" s="91" cm="1">
        <f t="array" ref="C3">TREND('Total Pop'!$I7:$J7,'Total Pop'!$I$5:$J$5,'state calcs'!C$1)</f>
        <v>328173.67015534639</v>
      </c>
      <c r="D3" s="91" cm="1">
        <f t="array" ref="D3">TREND('Total Pop'!$I7:$J7,'Total Pop'!$I$5:$J$5,'state calcs'!D$1)</f>
        <v>328964.00523301936</v>
      </c>
      <c r="E3" s="91" cm="1">
        <f t="array" ref="E3">TREND('Total Pop'!$I7:$J7,'Total Pop'!$I$5:$J$5,'state calcs'!E$1)</f>
        <v>329754.34031069232</v>
      </c>
      <c r="F3" s="91" cm="1">
        <f t="array" ref="F3">TREND('Total Pop'!$J7:$K7,'Total Pop'!$J$5:$K$5,'state calcs'!F$1)</f>
        <v>330544.67538836552</v>
      </c>
      <c r="G3" s="91" cm="1">
        <f t="array" ref="G3">TREND('Total Pop'!$J7:$K7,'Total Pop'!$J$5:$K$5,'state calcs'!G$1)</f>
        <v>331335.01046603848</v>
      </c>
      <c r="H3" s="91" cm="1">
        <f t="array" ref="H3">TREND('Total Pop'!$J7:$K7,'Total Pop'!$J$5:$K$5,'state calcs'!H$1)</f>
        <v>332125.34554371168</v>
      </c>
      <c r="I3" s="91" cm="1">
        <f t="array" ref="I3">TREND('Total Pop'!$J7:$K7,'Total Pop'!$J$5:$K$5,'state calcs'!I$1)</f>
        <v>332915.68062138464</v>
      </c>
      <c r="J3" s="91" cm="1">
        <f t="array" ref="J3">TREND('Total Pop'!$J7:$K7,'Total Pop'!$J$5:$K$5,'state calcs'!J$1)</f>
        <v>333706.01569905761</v>
      </c>
      <c r="K3" s="91" cm="1">
        <f t="array" ref="K3">TREND('Total Pop'!$K7:$L7,'Total Pop'!$K$5:$L$5,'state calcs'!K$1)</f>
        <v>334496.35077673051</v>
      </c>
      <c r="L3" s="91" cm="1">
        <f t="array" ref="L3">TREND('Total Pop'!$K7:$L7,'Total Pop'!$K$5:$L$5,'state calcs'!L$1)</f>
        <v>334255.53698506526</v>
      </c>
      <c r="M3" s="91" cm="1">
        <f t="array" ref="M3">TREND('Total Pop'!$K7:$L7,'Total Pop'!$K$5:$L$5,'state calcs'!M$1)</f>
        <v>334014.72319340007</v>
      </c>
      <c r="N3" s="91" cm="1">
        <f t="array" ref="N3">TREND('Total Pop'!$K7:$L7,'Total Pop'!$K$5:$L$5,'state calcs'!N$1)</f>
        <v>333773.90940173488</v>
      </c>
      <c r="O3" s="91" cm="1">
        <f t="array" ref="O3">TREND('Total Pop'!$K7:$L7,'Total Pop'!$K$5:$L$5,'state calcs'!O$1)</f>
        <v>333533.09561006969</v>
      </c>
      <c r="P3" s="91" cm="1">
        <f t="array" ref="P3">TREND('Total Pop'!$L7:$M7,'Total Pop'!$L$5:$M$5,'state calcs'!P$1)</f>
        <v>333292.2818184045</v>
      </c>
      <c r="Q3" s="91" cm="1">
        <f t="array" ref="Q3">TREND('Total Pop'!$L7:$M7,'Total Pop'!$L$5:$M$5,'state calcs'!Q$1)</f>
        <v>333051.46802673925</v>
      </c>
      <c r="R3" s="91" cm="1">
        <f t="array" ref="R3">TREND('Total Pop'!$L7:$M7,'Total Pop'!$L$5:$M$5,'state calcs'!R$1)</f>
        <v>332810.65423507406</v>
      </c>
      <c r="S3" s="91" cm="1">
        <f t="array" ref="S3">TREND('Total Pop'!$L7:$M7,'Total Pop'!$L$5:$M$5,'state calcs'!S$1)</f>
        <v>332569.84044340887</v>
      </c>
      <c r="T3" s="91" cm="1">
        <f t="array" ref="T3">TREND('Total Pop'!$L7:$M7,'Total Pop'!$L$5:$M$5,'state calcs'!T$1)</f>
        <v>332329.02665174368</v>
      </c>
      <c r="U3" s="91" cm="1">
        <f t="array" ref="U3">TREND('Total Pop'!$M7:$N7,'Total Pop'!$M$5:$N$5,'state calcs'!U$1)</f>
        <v>332088.21286007855</v>
      </c>
      <c r="V3" s="91" cm="1">
        <f t="array" ref="V3">TREND('Total Pop'!$M7:$N7,'Total Pop'!$M$5:$N$5,'state calcs'!V$1)</f>
        <v>331462.7967214454</v>
      </c>
      <c r="W3" s="91" cm="1">
        <f t="array" ref="W3">TREND('Total Pop'!$M7:$N7,'Total Pop'!$M$5:$N$5,'state calcs'!W$1)</f>
        <v>330837.38058281248</v>
      </c>
      <c r="X3" s="91" cm="1">
        <f t="array" ref="X3">TREND('Total Pop'!$M7:$N7,'Total Pop'!$M$5:$N$5,'state calcs'!X$1)</f>
        <v>330211.96444417955</v>
      </c>
      <c r="Y3" s="91" cm="1">
        <f t="array" ref="Y3">TREND('Total Pop'!$M7:$N7,'Total Pop'!$M$5:$N$5,'state calcs'!Y$1)</f>
        <v>329586.54830554663</v>
      </c>
      <c r="Z3" s="91" cm="1">
        <f t="array" ref="Z3">TREND('Total Pop'!$N7:$O7,'Total Pop'!$N$5:$O$5,'state calcs'!Z$1)</f>
        <v>328961.13216691348</v>
      </c>
      <c r="AA3" s="91" cm="1">
        <f t="array" ref="AA3">TREND('Total Pop'!$N7:$O7,'Total Pop'!$N$5:$O$5,'state calcs'!AA$1)</f>
        <v>328335.71602828056</v>
      </c>
      <c r="AB3" s="91" cm="1">
        <f t="array" ref="AB3">TREND('Total Pop'!$N7:$O7,'Total Pop'!$N$5:$O$5,'state calcs'!AB$1)</f>
        <v>327710.29988964763</v>
      </c>
      <c r="AC3" s="91" cm="1">
        <f t="array" ref="AC3">TREND('Total Pop'!$N7:$O7,'Total Pop'!$N$5:$O$5,'state calcs'!AC$1)</f>
        <v>327084.88375101471</v>
      </c>
      <c r="AD3" s="91" cm="1">
        <f t="array" ref="AD3">TREND('Total Pop'!$N7:$O7,'Total Pop'!$N$5:$O$5,'state calcs'!AD$1)</f>
        <v>326459.46761238179</v>
      </c>
      <c r="AE3" s="91" cm="1">
        <f t="array" ref="AE3">TREND('Total Pop'!$N7:$O7,'Total Pop'!$N$5:$O$5,'state calcs'!AE$1)</f>
        <v>325834.05147374887</v>
      </c>
    </row>
    <row r="4" spans="1:31" x14ac:dyDescent="0.25">
      <c r="A4" s="91" t="s">
        <v>331</v>
      </c>
      <c r="B4" s="91" cm="1">
        <f t="array" ref="B4">TREND('Total Pop'!$I8:$J8,'Total Pop'!$I$5:$J$5,'state calcs'!B$1)</f>
        <v>3119513.4018641934</v>
      </c>
      <c r="C4" s="91" cm="1">
        <f t="array" ref="C4">TREND('Total Pop'!$I8:$J8,'Total Pop'!$I$5:$J$5,'state calcs'!C$1)</f>
        <v>3146099.8037283942</v>
      </c>
      <c r="D4" s="91" cm="1">
        <f t="array" ref="D4">TREND('Total Pop'!$I8:$J8,'Total Pop'!$I$5:$J$5,'state calcs'!D$1)</f>
        <v>3172686.2055925876</v>
      </c>
      <c r="E4" s="91" cm="1">
        <f t="array" ref="E4">TREND('Total Pop'!$I8:$J8,'Total Pop'!$I$5:$J$5,'state calcs'!E$1)</f>
        <v>3199272.6074567884</v>
      </c>
      <c r="F4" s="91" cm="1">
        <f t="array" ref="F4">TREND('Total Pop'!$J8:$K8,'Total Pop'!$J$5:$K$5,'state calcs'!F$1)</f>
        <v>3225859.0093209893</v>
      </c>
      <c r="G4" s="91" cm="1">
        <f t="array" ref="G4">TREND('Total Pop'!$J8:$K8,'Total Pop'!$J$5:$K$5,'state calcs'!G$1)</f>
        <v>3252445.4111851901</v>
      </c>
      <c r="H4" s="91" cm="1">
        <f t="array" ref="H4">TREND('Total Pop'!$J8:$K8,'Total Pop'!$J$5:$K$5,'state calcs'!H$1)</f>
        <v>3279031.8130493909</v>
      </c>
      <c r="I4" s="91" cm="1">
        <f t="array" ref="I4">TREND('Total Pop'!$J8:$K8,'Total Pop'!$J$5:$K$5,'state calcs'!I$1)</f>
        <v>3305618.2149135843</v>
      </c>
      <c r="J4" s="91" cm="1">
        <f t="array" ref="J4">TREND('Total Pop'!$J8:$K8,'Total Pop'!$J$5:$K$5,'state calcs'!J$1)</f>
        <v>3332204.6167777851</v>
      </c>
      <c r="K4" s="91" cm="1">
        <f t="array" ref="K4">TREND('Total Pop'!$K8:$L8,'Total Pop'!$K$5:$L$5,'state calcs'!K$1)</f>
        <v>3358791.0186419785</v>
      </c>
      <c r="L4" s="91" cm="1">
        <f t="array" ref="L4">TREND('Total Pop'!$K8:$L8,'Total Pop'!$K$5:$L$5,'state calcs'!L$1)</f>
        <v>3384212.3243205994</v>
      </c>
      <c r="M4" s="91" cm="1">
        <f t="array" ref="M4">TREND('Total Pop'!$K8:$L8,'Total Pop'!$K$5:$L$5,'state calcs'!M$1)</f>
        <v>3409633.6299992204</v>
      </c>
      <c r="N4" s="91" cm="1">
        <f t="array" ref="N4">TREND('Total Pop'!$K8:$L8,'Total Pop'!$K$5:$L$5,'state calcs'!N$1)</f>
        <v>3435054.9356778488</v>
      </c>
      <c r="O4" s="91" cm="1">
        <f t="array" ref="O4">TREND('Total Pop'!$K8:$L8,'Total Pop'!$K$5:$L$5,'state calcs'!O$1)</f>
        <v>3460476.2413564697</v>
      </c>
      <c r="P4" s="91" cm="1">
        <f t="array" ref="P4">TREND('Total Pop'!$L8:$M8,'Total Pop'!$L$5:$M$5,'state calcs'!P$1)</f>
        <v>3485897.5470350981</v>
      </c>
      <c r="Q4" s="91" cm="1">
        <f t="array" ref="Q4">TREND('Total Pop'!$L8:$M8,'Total Pop'!$L$5:$M$5,'state calcs'!Q$1)</f>
        <v>3511318.8527137265</v>
      </c>
      <c r="R4" s="91" cm="1">
        <f t="array" ref="R4">TREND('Total Pop'!$L8:$M8,'Total Pop'!$L$5:$M$5,'state calcs'!R$1)</f>
        <v>3536740.1583923474</v>
      </c>
      <c r="S4" s="91" cm="1">
        <f t="array" ref="S4">TREND('Total Pop'!$L8:$M8,'Total Pop'!$L$5:$M$5,'state calcs'!S$1)</f>
        <v>3562161.4640709683</v>
      </c>
      <c r="T4" s="91" cm="1">
        <f t="array" ref="T4">TREND('Total Pop'!$L8:$M8,'Total Pop'!$L$5:$M$5,'state calcs'!T$1)</f>
        <v>3587582.7697495893</v>
      </c>
      <c r="U4" s="91" cm="1">
        <f t="array" ref="U4">TREND('Total Pop'!$M8:$N8,'Total Pop'!$M$5:$N$5,'state calcs'!U$1)</f>
        <v>3613004.0754282176</v>
      </c>
      <c r="V4" s="91" cm="1">
        <f t="array" ref="V4">TREND('Total Pop'!$M8:$N8,'Total Pop'!$M$5:$N$5,'state calcs'!V$1)</f>
        <v>3635795.304123491</v>
      </c>
      <c r="W4" s="91" cm="1">
        <f t="array" ref="W4">TREND('Total Pop'!$M8:$N8,'Total Pop'!$M$5:$N$5,'state calcs'!W$1)</f>
        <v>3658586.532818757</v>
      </c>
      <c r="X4" s="91" cm="1">
        <f t="array" ref="X4">TREND('Total Pop'!$M8:$N8,'Total Pop'!$M$5:$N$5,'state calcs'!X$1)</f>
        <v>3681377.7615140304</v>
      </c>
      <c r="Y4" s="91" cm="1">
        <f t="array" ref="Y4">TREND('Total Pop'!$M8:$N8,'Total Pop'!$M$5:$N$5,'state calcs'!Y$1)</f>
        <v>3704168.9902093038</v>
      </c>
      <c r="Z4" s="91" cm="1">
        <f t="array" ref="Z4">TREND('Total Pop'!$N8:$O8,'Total Pop'!$N$5:$O$5,'state calcs'!Z$1)</f>
        <v>3726960.2189045697</v>
      </c>
      <c r="AA4" s="91" cm="1">
        <f t="array" ref="AA4">TREND('Total Pop'!$N8:$O8,'Total Pop'!$N$5:$O$5,'state calcs'!AA$1)</f>
        <v>3749751.4475998357</v>
      </c>
      <c r="AB4" s="91" cm="1">
        <f t="array" ref="AB4">TREND('Total Pop'!$N8:$O8,'Total Pop'!$N$5:$O$5,'state calcs'!AB$1)</f>
        <v>3772542.6762951091</v>
      </c>
      <c r="AC4" s="91" cm="1">
        <f t="array" ref="AC4">TREND('Total Pop'!$N8:$O8,'Total Pop'!$N$5:$O$5,'state calcs'!AC$1)</f>
        <v>3795333.9049903825</v>
      </c>
      <c r="AD4" s="91" cm="1">
        <f t="array" ref="AD4">TREND('Total Pop'!$N8:$O8,'Total Pop'!$N$5:$O$5,'state calcs'!AD$1)</f>
        <v>3818125.1336856559</v>
      </c>
      <c r="AE4" s="91" cm="1">
        <f t="array" ref="AE4">TREND('Total Pop'!$N8:$O8,'Total Pop'!$N$5:$O$5,'state calcs'!AE$1)</f>
        <v>3840916.3623809293</v>
      </c>
    </row>
    <row r="5" spans="1:31" x14ac:dyDescent="0.25">
      <c r="A5" s="91" t="s">
        <v>333</v>
      </c>
      <c r="B5" s="91" cm="1">
        <f t="array" ref="B5">TREND('Total Pop'!$I9:$J9,'Total Pop'!$I$5:$J$5,'state calcs'!B$1)</f>
        <v>1371542.9313340411</v>
      </c>
      <c r="C5" s="91" cm="1">
        <f t="array" ref="C5">TREND('Total Pop'!$I9:$J9,'Total Pop'!$I$5:$J$5,'state calcs'!C$1)</f>
        <v>1374871.8626680821</v>
      </c>
      <c r="D5" s="91" cm="1">
        <f t="array" ref="D5">TREND('Total Pop'!$I9:$J9,'Total Pop'!$I$5:$J$5,'state calcs'!D$1)</f>
        <v>1378200.7940021232</v>
      </c>
      <c r="E5" s="91" cm="1">
        <f t="array" ref="E5">TREND('Total Pop'!$I9:$J9,'Total Pop'!$I$5:$J$5,'state calcs'!E$1)</f>
        <v>1381529.7253361633</v>
      </c>
      <c r="F5" s="91" cm="1">
        <f t="array" ref="F5">TREND('Total Pop'!$J9:$K9,'Total Pop'!$J$5:$K$5,'state calcs'!F$1)</f>
        <v>1384858.6566702044</v>
      </c>
      <c r="G5" s="91" cm="1">
        <f t="array" ref="G5">TREND('Total Pop'!$J9:$K9,'Total Pop'!$J$5:$K$5,'state calcs'!G$1)</f>
        <v>1388187.5880042454</v>
      </c>
      <c r="H5" s="91" cm="1">
        <f t="array" ref="H5">TREND('Total Pop'!$J9:$K9,'Total Pop'!$J$5:$K$5,'state calcs'!H$1)</f>
        <v>1391516.5193382865</v>
      </c>
      <c r="I5" s="91" cm="1">
        <f t="array" ref="I5">TREND('Total Pop'!$J9:$K9,'Total Pop'!$J$5:$K$5,'state calcs'!I$1)</f>
        <v>1394845.4506723275</v>
      </c>
      <c r="J5" s="91" cm="1">
        <f t="array" ref="J5">TREND('Total Pop'!$J9:$K9,'Total Pop'!$J$5:$K$5,'state calcs'!J$1)</f>
        <v>1398174.3820063686</v>
      </c>
      <c r="K5" s="91" cm="1">
        <f t="array" ref="K5">TREND('Total Pop'!$K9:$L9,'Total Pop'!$K$5:$L$5,'state calcs'!K$1)</f>
        <v>1401503.3133404094</v>
      </c>
      <c r="L5" s="91" cm="1">
        <f t="array" ref="L5">TREND('Total Pop'!$K9:$L9,'Total Pop'!$K$5:$L$5,'state calcs'!L$1)</f>
        <v>1400518.3831356058</v>
      </c>
      <c r="M5" s="91" cm="1">
        <f t="array" ref="M5">TREND('Total Pop'!$K9:$L9,'Total Pop'!$K$5:$L$5,'state calcs'!M$1)</f>
        <v>1399533.452930802</v>
      </c>
      <c r="N5" s="91" cm="1">
        <f t="array" ref="N5">TREND('Total Pop'!$K9:$L9,'Total Pop'!$K$5:$L$5,'state calcs'!N$1)</f>
        <v>1398548.5227259982</v>
      </c>
      <c r="O5" s="91" cm="1">
        <f t="array" ref="O5">TREND('Total Pop'!$K9:$L9,'Total Pop'!$K$5:$L$5,'state calcs'!O$1)</f>
        <v>1397563.5925211944</v>
      </c>
      <c r="P5" s="91" cm="1">
        <f t="array" ref="P5">TREND('Total Pop'!$L9:$M9,'Total Pop'!$L$5:$M$5,'state calcs'!P$1)</f>
        <v>1396578.6623163905</v>
      </c>
      <c r="Q5" s="91" cm="1">
        <f t="array" ref="Q5">TREND('Total Pop'!$L9:$M9,'Total Pop'!$L$5:$M$5,'state calcs'!Q$1)</f>
        <v>1395593.732111587</v>
      </c>
      <c r="R5" s="91" cm="1">
        <f t="array" ref="R5">TREND('Total Pop'!$L9:$M9,'Total Pop'!$L$5:$M$5,'state calcs'!R$1)</f>
        <v>1394608.8019067831</v>
      </c>
      <c r="S5" s="91" cm="1">
        <f t="array" ref="S5">TREND('Total Pop'!$L9:$M9,'Total Pop'!$L$5:$M$5,'state calcs'!S$1)</f>
        <v>1393623.8717019793</v>
      </c>
      <c r="T5" s="91" cm="1">
        <f t="array" ref="T5">TREND('Total Pop'!$L9:$M9,'Total Pop'!$L$5:$M$5,'state calcs'!T$1)</f>
        <v>1392638.9414971755</v>
      </c>
      <c r="U5" s="91" cm="1">
        <f t="array" ref="U5">TREND('Total Pop'!$M9:$N9,'Total Pop'!$M$5:$N$5,'state calcs'!U$1)</f>
        <v>1391654.0112923719</v>
      </c>
      <c r="V5" s="91" cm="1">
        <f t="array" ref="V5">TREND('Total Pop'!$M9:$N9,'Total Pop'!$M$5:$N$5,'state calcs'!V$1)</f>
        <v>1389056.7371955141</v>
      </c>
      <c r="W5" s="91" cm="1">
        <f t="array" ref="W5">TREND('Total Pop'!$M9:$N9,'Total Pop'!$M$5:$N$5,'state calcs'!W$1)</f>
        <v>1386459.4630986564</v>
      </c>
      <c r="X5" s="91" cm="1">
        <f t="array" ref="X5">TREND('Total Pop'!$M9:$N9,'Total Pop'!$M$5:$N$5,'state calcs'!X$1)</f>
        <v>1383862.1890017986</v>
      </c>
      <c r="Y5" s="91" cm="1">
        <f t="array" ref="Y5">TREND('Total Pop'!$M9:$N9,'Total Pop'!$M$5:$N$5,'state calcs'!Y$1)</f>
        <v>1381264.9149049409</v>
      </c>
      <c r="Z5" s="91" cm="1">
        <f t="array" ref="Z5">TREND('Total Pop'!$N9:$O9,'Total Pop'!$N$5:$O$5,'state calcs'!Z$1)</f>
        <v>1378667.6408080831</v>
      </c>
      <c r="AA5" s="91" cm="1">
        <f t="array" ref="AA5">TREND('Total Pop'!$N9:$O9,'Total Pop'!$N$5:$O$5,'state calcs'!AA$1)</f>
        <v>1376070.3667112254</v>
      </c>
      <c r="AB5" s="91" cm="1">
        <f t="array" ref="AB5">TREND('Total Pop'!$N9:$O9,'Total Pop'!$N$5:$O$5,'state calcs'!AB$1)</f>
        <v>1373473.0926143676</v>
      </c>
      <c r="AC5" s="91" cm="1">
        <f t="array" ref="AC5">TREND('Total Pop'!$N9:$O9,'Total Pop'!$N$5:$O$5,'state calcs'!AC$1)</f>
        <v>1370875.8185175098</v>
      </c>
      <c r="AD5" s="91" cm="1">
        <f t="array" ref="AD5">TREND('Total Pop'!$N9:$O9,'Total Pop'!$N$5:$O$5,'state calcs'!AD$1)</f>
        <v>1368278.5444206521</v>
      </c>
      <c r="AE5" s="91" cm="1">
        <f t="array" ref="AE5">TREND('Total Pop'!$N9:$O9,'Total Pop'!$N$5:$O$5,'state calcs'!AE$1)</f>
        <v>1365681.2703237943</v>
      </c>
    </row>
    <row r="6" spans="1:31" x14ac:dyDescent="0.25">
      <c r="A6" s="91" t="s">
        <v>335</v>
      </c>
      <c r="B6" s="91" cm="1">
        <f t="array" ref="B6">TREND('Total Pop'!$I10:$J10,'Total Pop'!$I$5:$J$5,'state calcs'!B$1)</f>
        <v>14482518.996689901</v>
      </c>
      <c r="C6" s="91" cm="1">
        <f t="array" ref="C6">TREND('Total Pop'!$I10:$J10,'Total Pop'!$I$5:$J$5,'state calcs'!C$1)</f>
        <v>14547543.993379816</v>
      </c>
      <c r="D6" s="91" cm="1">
        <f t="array" ref="D6">TREND('Total Pop'!$I10:$J10,'Total Pop'!$I$5:$J$5,'state calcs'!D$1)</f>
        <v>14612568.990069747</v>
      </c>
      <c r="E6" s="91" cm="1">
        <f t="array" ref="E6">TREND('Total Pop'!$I10:$J10,'Total Pop'!$I$5:$J$5,'state calcs'!E$1)</f>
        <v>14677593.986759663</v>
      </c>
      <c r="F6" s="91" cm="1">
        <f t="array" ref="F6">TREND('Total Pop'!$J10:$K10,'Total Pop'!$J$5:$K$5,'state calcs'!F$1)</f>
        <v>14742618.983449593</v>
      </c>
      <c r="G6" s="91" cm="1">
        <f t="array" ref="G6">TREND('Total Pop'!$J10:$K10,'Total Pop'!$J$5:$K$5,'state calcs'!G$1)</f>
        <v>14807643.980139509</v>
      </c>
      <c r="H6" s="91" cm="1">
        <f t="array" ref="H6">TREND('Total Pop'!$J10:$K10,'Total Pop'!$J$5:$K$5,'state calcs'!H$1)</f>
        <v>14872668.976829425</v>
      </c>
      <c r="I6" s="91" cm="1">
        <f t="array" ref="I6">TREND('Total Pop'!$J10:$K10,'Total Pop'!$J$5:$K$5,'state calcs'!I$1)</f>
        <v>14937693.973519355</v>
      </c>
      <c r="J6" s="91" cm="1">
        <f t="array" ref="J6">TREND('Total Pop'!$J10:$K10,'Total Pop'!$J$5:$K$5,'state calcs'!J$1)</f>
        <v>15002718.970209271</v>
      </c>
      <c r="K6" s="91" cm="1">
        <f t="array" ref="K6">TREND('Total Pop'!$K10:$L10,'Total Pop'!$K$5:$L$5,'state calcs'!K$1)</f>
        <v>15067743.966899186</v>
      </c>
      <c r="L6" s="91" cm="1">
        <f t="array" ref="L6">TREND('Total Pop'!$K10:$L10,'Total Pop'!$K$5:$L$5,'state calcs'!L$1)</f>
        <v>15098483.667291224</v>
      </c>
      <c r="M6" s="91" cm="1">
        <f t="array" ref="M6">TREND('Total Pop'!$K10:$L10,'Total Pop'!$K$5:$L$5,'state calcs'!M$1)</f>
        <v>15129223.367683262</v>
      </c>
      <c r="N6" s="91" cm="1">
        <f t="array" ref="N6">TREND('Total Pop'!$K10:$L10,'Total Pop'!$K$5:$L$5,'state calcs'!N$1)</f>
        <v>15159963.068075307</v>
      </c>
      <c r="O6" s="91" cm="1">
        <f t="array" ref="O6">TREND('Total Pop'!$K10:$L10,'Total Pop'!$K$5:$L$5,'state calcs'!O$1)</f>
        <v>15190702.768467344</v>
      </c>
      <c r="P6" s="91" cm="1">
        <f t="array" ref="P6">TREND('Total Pop'!$L10:$M10,'Total Pop'!$L$5:$M$5,'state calcs'!P$1)</f>
        <v>15221442.468859382</v>
      </c>
      <c r="Q6" s="91" cm="1">
        <f t="array" ref="Q6">TREND('Total Pop'!$L10:$M10,'Total Pop'!$L$5:$M$5,'state calcs'!Q$1)</f>
        <v>15252182.169251427</v>
      </c>
      <c r="R6" s="91" cm="1">
        <f t="array" ref="R6">TREND('Total Pop'!$L10:$M10,'Total Pop'!$L$5:$M$5,'state calcs'!R$1)</f>
        <v>15282921.869643465</v>
      </c>
      <c r="S6" s="91" cm="1">
        <f t="array" ref="S6">TREND('Total Pop'!$L10:$M10,'Total Pop'!$L$5:$M$5,'state calcs'!S$1)</f>
        <v>15313661.57003551</v>
      </c>
      <c r="T6" s="91" cm="1">
        <f t="array" ref="T6">TREND('Total Pop'!$L10:$M10,'Total Pop'!$L$5:$M$5,'state calcs'!T$1)</f>
        <v>15344401.270427547</v>
      </c>
      <c r="U6" s="91" cm="1">
        <f t="array" ref="U6">TREND('Total Pop'!$M10:$N10,'Total Pop'!$M$5:$N$5,'state calcs'!U$1)</f>
        <v>15375140.970819583</v>
      </c>
      <c r="V6" s="91" cm="1">
        <f t="array" ref="V6">TREND('Total Pop'!$M10:$N10,'Total Pop'!$M$5:$N$5,'state calcs'!V$1)</f>
        <v>15388123.806506494</v>
      </c>
      <c r="W6" s="91" cm="1">
        <f t="array" ref="W6">TREND('Total Pop'!$M10:$N10,'Total Pop'!$M$5:$N$5,'state calcs'!W$1)</f>
        <v>15401106.642193401</v>
      </c>
      <c r="X6" s="91" cm="1">
        <f t="array" ref="X6">TREND('Total Pop'!$M10:$N10,'Total Pop'!$M$5:$N$5,'state calcs'!X$1)</f>
        <v>15414089.477880308</v>
      </c>
      <c r="Y6" s="91" cm="1">
        <f t="array" ref="Y6">TREND('Total Pop'!$M10:$N10,'Total Pop'!$M$5:$N$5,'state calcs'!Y$1)</f>
        <v>15427072.313567216</v>
      </c>
      <c r="Z6" s="91" cm="1">
        <f t="array" ref="Z6">TREND('Total Pop'!$N10:$O10,'Total Pop'!$N$5:$O$5,'state calcs'!Z$1)</f>
        <v>15440055.149254125</v>
      </c>
      <c r="AA6" s="91" cm="1">
        <f t="array" ref="AA6">TREND('Total Pop'!$N10:$O10,'Total Pop'!$N$5:$O$5,'state calcs'!AA$1)</f>
        <v>15453037.984941032</v>
      </c>
      <c r="AB6" s="91" cm="1">
        <f t="array" ref="AB6">TREND('Total Pop'!$N10:$O10,'Total Pop'!$N$5:$O$5,'state calcs'!AB$1)</f>
        <v>15466020.820627939</v>
      </c>
      <c r="AC6" s="91" cm="1">
        <f t="array" ref="AC6">TREND('Total Pop'!$N10:$O10,'Total Pop'!$N$5:$O$5,'state calcs'!AC$1)</f>
        <v>15479003.656314846</v>
      </c>
      <c r="AD6" s="91" cm="1">
        <f t="array" ref="AD6">TREND('Total Pop'!$N10:$O10,'Total Pop'!$N$5:$O$5,'state calcs'!AD$1)</f>
        <v>15491986.492001753</v>
      </c>
      <c r="AE6" s="91" cm="1">
        <f t="array" ref="AE6">TREND('Total Pop'!$N10:$O10,'Total Pop'!$N$5:$O$5,'state calcs'!AE$1)</f>
        <v>15504969.32768866</v>
      </c>
    </row>
    <row r="7" spans="1:31" x14ac:dyDescent="0.25">
      <c r="A7" s="91" t="s">
        <v>337</v>
      </c>
      <c r="B7" s="91" cm="1">
        <f t="array" ref="B7">TREND('Total Pop'!$I11:$J11,'Total Pop'!$I$5:$J$5,'state calcs'!B$1)</f>
        <v>2527324.2355353907</v>
      </c>
      <c r="C7" s="91" cm="1">
        <f t="array" ref="C7">TREND('Total Pop'!$I11:$J11,'Total Pop'!$I$5:$J$5,'state calcs'!C$1)</f>
        <v>2553896.4710707814</v>
      </c>
      <c r="D7" s="91" cm="1">
        <f t="array" ref="D7">TREND('Total Pop'!$I11:$J11,'Total Pop'!$I$5:$J$5,'state calcs'!D$1)</f>
        <v>2580468.706606172</v>
      </c>
      <c r="E7" s="91" cm="1">
        <f t="array" ref="E7">TREND('Total Pop'!$I11:$J11,'Total Pop'!$I$5:$J$5,'state calcs'!E$1)</f>
        <v>2607040.9421415702</v>
      </c>
      <c r="F7" s="91" cm="1">
        <f t="array" ref="F7">TREND('Total Pop'!$J11:$K11,'Total Pop'!$J$5:$K$5,'state calcs'!F$1)</f>
        <v>2633613.1776769608</v>
      </c>
      <c r="G7" s="91" cm="1">
        <f t="array" ref="G7">TREND('Total Pop'!$J11:$K11,'Total Pop'!$J$5:$K$5,'state calcs'!G$1)</f>
        <v>2660185.4132123515</v>
      </c>
      <c r="H7" s="91" cm="1">
        <f t="array" ref="H7">TREND('Total Pop'!$J11:$K11,'Total Pop'!$J$5:$K$5,'state calcs'!H$1)</f>
        <v>2686757.6487477496</v>
      </c>
      <c r="I7" s="91" cm="1">
        <f t="array" ref="I7">TREND('Total Pop'!$J11:$K11,'Total Pop'!$J$5:$K$5,'state calcs'!I$1)</f>
        <v>2713329.8842831403</v>
      </c>
      <c r="J7" s="91" cm="1">
        <f t="array" ref="J7">TREND('Total Pop'!$J11:$K11,'Total Pop'!$J$5:$K$5,'state calcs'!J$1)</f>
        <v>2739902.119818531</v>
      </c>
      <c r="K7" s="91" cm="1">
        <f t="array" ref="K7">TREND('Total Pop'!$K11:$L11,'Total Pop'!$K$5:$L$5,'state calcs'!K$1)</f>
        <v>2766474.3553539217</v>
      </c>
      <c r="L7" s="91" cm="1">
        <f t="array" ref="L7">TREND('Total Pop'!$K11:$L11,'Total Pop'!$K$5:$L$5,'state calcs'!L$1)</f>
        <v>2795185.0445085317</v>
      </c>
      <c r="M7" s="91" cm="1">
        <f t="array" ref="M7">TREND('Total Pop'!$K11:$L11,'Total Pop'!$K$5:$L$5,'state calcs'!M$1)</f>
        <v>2823895.7336631492</v>
      </c>
      <c r="N7" s="91" cm="1">
        <f t="array" ref="N7">TREND('Total Pop'!$K11:$L11,'Total Pop'!$K$5:$L$5,'state calcs'!N$1)</f>
        <v>2852606.4228177592</v>
      </c>
      <c r="O7" s="91" cm="1">
        <f t="array" ref="O7">TREND('Total Pop'!$K11:$L11,'Total Pop'!$K$5:$L$5,'state calcs'!O$1)</f>
        <v>2881317.1119723767</v>
      </c>
      <c r="P7" s="91" cm="1">
        <f t="array" ref="P7">TREND('Total Pop'!$L11:$M11,'Total Pop'!$L$5:$M$5,'state calcs'!P$1)</f>
        <v>2910027.8011269942</v>
      </c>
      <c r="Q7" s="91" cm="1">
        <f t="array" ref="Q7">TREND('Total Pop'!$L11:$M11,'Total Pop'!$L$5:$M$5,'state calcs'!Q$1)</f>
        <v>2938738.4902816117</v>
      </c>
      <c r="R7" s="91" cm="1">
        <f t="array" ref="R7">TREND('Total Pop'!$L11:$M11,'Total Pop'!$L$5:$M$5,'state calcs'!R$1)</f>
        <v>2967449.1794362217</v>
      </c>
      <c r="S7" s="91" cm="1">
        <f t="array" ref="S7">TREND('Total Pop'!$L11:$M11,'Total Pop'!$L$5:$M$5,'state calcs'!S$1)</f>
        <v>2996159.8685908392</v>
      </c>
      <c r="T7" s="91" cm="1">
        <f t="array" ref="T7">TREND('Total Pop'!$L11:$M11,'Total Pop'!$L$5:$M$5,'state calcs'!T$1)</f>
        <v>3024870.5577454492</v>
      </c>
      <c r="U7" s="91" cm="1">
        <f t="array" ref="U7">TREND('Total Pop'!$M11:$N11,'Total Pop'!$M$5:$N$5,'state calcs'!U$1)</f>
        <v>3053581.2469000593</v>
      </c>
      <c r="V7" s="91" cm="1">
        <f t="array" ref="V7">TREND('Total Pop'!$M11:$N11,'Total Pop'!$M$5:$N$5,'state calcs'!V$1)</f>
        <v>3081322.0551687852</v>
      </c>
      <c r="W7" s="91" cm="1">
        <f t="array" ref="W7">TREND('Total Pop'!$M11:$N11,'Total Pop'!$M$5:$N$5,'state calcs'!W$1)</f>
        <v>3109062.8634375036</v>
      </c>
      <c r="X7" s="91" cm="1">
        <f t="array" ref="X7">TREND('Total Pop'!$M11:$N11,'Total Pop'!$M$5:$N$5,'state calcs'!X$1)</f>
        <v>3136803.671706222</v>
      </c>
      <c r="Y7" s="91" cm="1">
        <f t="array" ref="Y7">TREND('Total Pop'!$M11:$N11,'Total Pop'!$M$5:$N$5,'state calcs'!Y$1)</f>
        <v>3164544.4799749404</v>
      </c>
      <c r="Z7" s="91" cm="1">
        <f t="array" ref="Z7">TREND('Total Pop'!$N11:$O11,'Total Pop'!$N$5:$O$5,'state calcs'!Z$1)</f>
        <v>3192285.2882436588</v>
      </c>
      <c r="AA7" s="91" cm="1">
        <f t="array" ref="AA7">TREND('Total Pop'!$N11:$O11,'Total Pop'!$N$5:$O$5,'state calcs'!AA$1)</f>
        <v>3220026.0965123847</v>
      </c>
      <c r="AB7" s="91" cm="1">
        <f t="array" ref="AB7">TREND('Total Pop'!$N11:$O11,'Total Pop'!$N$5:$O$5,'state calcs'!AB$1)</f>
        <v>3247766.9047811031</v>
      </c>
      <c r="AC7" s="91" cm="1">
        <f t="array" ref="AC7">TREND('Total Pop'!$N11:$O11,'Total Pop'!$N$5:$O$5,'state calcs'!AC$1)</f>
        <v>3275507.7130498216</v>
      </c>
      <c r="AD7" s="91" cm="1">
        <f t="array" ref="AD7">TREND('Total Pop'!$N11:$O11,'Total Pop'!$N$5:$O$5,'state calcs'!AD$1)</f>
        <v>3303248.52131854</v>
      </c>
      <c r="AE7" s="91" cm="1">
        <f t="array" ref="AE7">TREND('Total Pop'!$N11:$O11,'Total Pop'!$N$5:$O$5,'state calcs'!AE$1)</f>
        <v>3330989.3295872584</v>
      </c>
    </row>
    <row r="8" spans="1:31" x14ac:dyDescent="0.25">
      <c r="A8" s="91" t="s">
        <v>339</v>
      </c>
      <c r="B8" s="91" cm="1">
        <f t="array" ref="B8">TREND('Total Pop'!$I12:$J12,'Total Pop'!$I$5:$J$5,'state calcs'!B$1)</f>
        <v>1532496.4535268159</v>
      </c>
      <c r="C8" s="91" cm="1">
        <f t="array" ref="C8">TREND('Total Pop'!$I12:$J12,'Total Pop'!$I$5:$J$5,'state calcs'!C$1)</f>
        <v>1533516.9070536317</v>
      </c>
      <c r="D8" s="91" cm="1">
        <f t="array" ref="D8">TREND('Total Pop'!$I12:$J12,'Total Pop'!$I$5:$J$5,'state calcs'!D$1)</f>
        <v>1534537.3605804478</v>
      </c>
      <c r="E8" s="91" cm="1">
        <f t="array" ref="E8">TREND('Total Pop'!$I12:$J12,'Total Pop'!$I$5:$J$5,'state calcs'!E$1)</f>
        <v>1535557.8141072639</v>
      </c>
      <c r="F8" s="91" cm="1">
        <f t="array" ref="F8">TREND('Total Pop'!$J12:$K12,'Total Pop'!$J$5:$K$5,'state calcs'!F$1)</f>
        <v>1536578.26763408</v>
      </c>
      <c r="G8" s="91" cm="1">
        <f t="array" ref="G8">TREND('Total Pop'!$J12:$K12,'Total Pop'!$J$5:$K$5,'state calcs'!G$1)</f>
        <v>1537598.7211608961</v>
      </c>
      <c r="H8" s="91" cm="1">
        <f t="array" ref="H8">TREND('Total Pop'!$J12:$K12,'Total Pop'!$J$5:$K$5,'state calcs'!H$1)</f>
        <v>1538619.174687712</v>
      </c>
      <c r="I8" s="91" cm="1">
        <f t="array" ref="I8">TREND('Total Pop'!$J12:$K12,'Total Pop'!$J$5:$K$5,'state calcs'!I$1)</f>
        <v>1539639.6282145281</v>
      </c>
      <c r="J8" s="91" cm="1">
        <f t="array" ref="J8">TREND('Total Pop'!$J12:$K12,'Total Pop'!$J$5:$K$5,'state calcs'!J$1)</f>
        <v>1540660.0817413442</v>
      </c>
      <c r="K8" s="91" cm="1">
        <f t="array" ref="K8">TREND('Total Pop'!$K12:$L12,'Total Pop'!$K$5:$L$5,'state calcs'!K$1)</f>
        <v>1541680.5352681577</v>
      </c>
      <c r="L8" s="91" cm="1">
        <f t="array" ref="L8">TREND('Total Pop'!$K12:$L12,'Total Pop'!$K$5:$L$5,'state calcs'!L$1)</f>
        <v>1537057.9156678263</v>
      </c>
      <c r="M8" s="91" cm="1">
        <f t="array" ref="M8">TREND('Total Pop'!$K12:$L12,'Total Pop'!$K$5:$L$5,'state calcs'!M$1)</f>
        <v>1532435.2960674949</v>
      </c>
      <c r="N8" s="91" cm="1">
        <f t="array" ref="N8">TREND('Total Pop'!$K12:$L12,'Total Pop'!$K$5:$L$5,'state calcs'!N$1)</f>
        <v>1527812.6764671635</v>
      </c>
      <c r="O8" s="91" cm="1">
        <f t="array" ref="O8">TREND('Total Pop'!$K12:$L12,'Total Pop'!$K$5:$L$5,'state calcs'!O$1)</f>
        <v>1523190.0568668321</v>
      </c>
      <c r="P8" s="91" cm="1">
        <f t="array" ref="P8">TREND('Total Pop'!$L12:$M12,'Total Pop'!$L$5:$M$5,'state calcs'!P$1)</f>
        <v>1518567.4372665025</v>
      </c>
      <c r="Q8" s="91" cm="1">
        <f t="array" ref="Q8">TREND('Total Pop'!$L12:$M12,'Total Pop'!$L$5:$M$5,'state calcs'!Q$1)</f>
        <v>1513944.8176661711</v>
      </c>
      <c r="R8" s="91" cm="1">
        <f t="array" ref="R8">TREND('Total Pop'!$L12:$M12,'Total Pop'!$L$5:$M$5,'state calcs'!R$1)</f>
        <v>1509322.1980658397</v>
      </c>
      <c r="S8" s="91" cm="1">
        <f t="array" ref="S8">TREND('Total Pop'!$L12:$M12,'Total Pop'!$L$5:$M$5,'state calcs'!S$1)</f>
        <v>1504699.5784655083</v>
      </c>
      <c r="T8" s="91" cm="1">
        <f t="array" ref="T8">TREND('Total Pop'!$L12:$M12,'Total Pop'!$L$5:$M$5,'state calcs'!T$1)</f>
        <v>1500076.9588651769</v>
      </c>
      <c r="U8" s="91" cm="1">
        <f t="array" ref="U8">TREND('Total Pop'!$M12:$N12,'Total Pop'!$M$5:$N$5,'state calcs'!U$1)</f>
        <v>1495454.3392648436</v>
      </c>
      <c r="V8" s="91" cm="1">
        <f t="array" ref="V8">TREND('Total Pop'!$M12:$N12,'Total Pop'!$M$5:$N$5,'state calcs'!V$1)</f>
        <v>1489270.5108259059</v>
      </c>
      <c r="W8" s="91" cm="1">
        <f t="array" ref="W8">TREND('Total Pop'!$M12:$N12,'Total Pop'!$M$5:$N$5,'state calcs'!W$1)</f>
        <v>1483086.6823869683</v>
      </c>
      <c r="X8" s="91" cm="1">
        <f t="array" ref="X8">TREND('Total Pop'!$M12:$N12,'Total Pop'!$M$5:$N$5,'state calcs'!X$1)</f>
        <v>1476902.8539480288</v>
      </c>
      <c r="Y8" s="91" cm="1">
        <f t="array" ref="Y8">TREND('Total Pop'!$M12:$N12,'Total Pop'!$M$5:$N$5,'state calcs'!Y$1)</f>
        <v>1470719.0255090911</v>
      </c>
      <c r="Z8" s="91" cm="1">
        <f t="array" ref="Z8">TREND('Total Pop'!$N12:$O12,'Total Pop'!$N$5:$O$5,'state calcs'!Z$1)</f>
        <v>1464535.1970701534</v>
      </c>
      <c r="AA8" s="91" cm="1">
        <f t="array" ref="AA8">TREND('Total Pop'!$N12:$O12,'Total Pop'!$N$5:$O$5,'state calcs'!AA$1)</f>
        <v>1458351.3686312158</v>
      </c>
      <c r="AB8" s="91" cm="1">
        <f t="array" ref="AB8">TREND('Total Pop'!$N12:$O12,'Total Pop'!$N$5:$O$5,'state calcs'!AB$1)</f>
        <v>1452167.5401922762</v>
      </c>
      <c r="AC8" s="91" cm="1">
        <f t="array" ref="AC8">TREND('Total Pop'!$N12:$O12,'Total Pop'!$N$5:$O$5,'state calcs'!AC$1)</f>
        <v>1445983.7117533386</v>
      </c>
      <c r="AD8" s="91" cm="1">
        <f t="array" ref="AD8">TREND('Total Pop'!$N12:$O12,'Total Pop'!$N$5:$O$5,'state calcs'!AD$1)</f>
        <v>1439799.8833144009</v>
      </c>
      <c r="AE8" s="91" cm="1">
        <f t="array" ref="AE8">TREND('Total Pop'!$N12:$O12,'Total Pop'!$N$5:$O$5,'state calcs'!AE$1)</f>
        <v>1433616.0548754614</v>
      </c>
    </row>
    <row r="9" spans="1:31" x14ac:dyDescent="0.25">
      <c r="A9" s="91" t="s">
        <v>341</v>
      </c>
      <c r="B9" s="91" cm="1">
        <f t="array" ref="B9">TREND('Total Pop'!$I13:$J13,'Total Pop'!$I$5:$J$5,'state calcs'!B$1)</f>
        <v>453483.28689530306</v>
      </c>
      <c r="C9" s="91" cm="1">
        <f t="array" ref="C9">TREND('Total Pop'!$I13:$J13,'Total Pop'!$I$5:$J$5,'state calcs'!C$1)</f>
        <v>456835.57379060518</v>
      </c>
      <c r="D9" s="91" cm="1">
        <f t="array" ref="D9">TREND('Total Pop'!$I13:$J13,'Total Pop'!$I$5:$J$5,'state calcs'!D$1)</f>
        <v>460187.86068590824</v>
      </c>
      <c r="E9" s="91" cm="1">
        <f t="array" ref="E9">TREND('Total Pop'!$I13:$J13,'Total Pop'!$I$5:$J$5,'state calcs'!E$1)</f>
        <v>463540.14758121129</v>
      </c>
      <c r="F9" s="91" cm="1">
        <f t="array" ref="F9">TREND('Total Pop'!$J13:$K13,'Total Pop'!$J$5:$K$5,'state calcs'!F$1)</f>
        <v>466892.43447651435</v>
      </c>
      <c r="G9" s="91" cm="1">
        <f t="array" ref="G9">TREND('Total Pop'!$J13:$K13,'Total Pop'!$J$5:$K$5,'state calcs'!G$1)</f>
        <v>470244.72137181647</v>
      </c>
      <c r="H9" s="91" cm="1">
        <f t="array" ref="H9">TREND('Total Pop'!$J13:$K13,'Total Pop'!$J$5:$K$5,'state calcs'!H$1)</f>
        <v>473597.00826711953</v>
      </c>
      <c r="I9" s="91" cm="1">
        <f t="array" ref="I9">TREND('Total Pop'!$J13:$K13,'Total Pop'!$J$5:$K$5,'state calcs'!I$1)</f>
        <v>476949.29516242258</v>
      </c>
      <c r="J9" s="91" cm="1">
        <f t="array" ref="J9">TREND('Total Pop'!$J13:$K13,'Total Pop'!$J$5:$K$5,'state calcs'!J$1)</f>
        <v>480301.58205772471</v>
      </c>
      <c r="K9" s="91" cm="1">
        <f t="array" ref="K9">TREND('Total Pop'!$K13:$L13,'Total Pop'!$K$5:$L$5,'state calcs'!K$1)</f>
        <v>483653.86895302776</v>
      </c>
      <c r="L9" s="91" cm="1">
        <f t="array" ref="L9">TREND('Total Pop'!$K13:$L13,'Total Pop'!$K$5:$L$5,'state calcs'!L$1)</f>
        <v>486554.40231346339</v>
      </c>
      <c r="M9" s="91" cm="1">
        <f t="array" ref="M9">TREND('Total Pop'!$K13:$L13,'Total Pop'!$K$5:$L$5,'state calcs'!M$1)</f>
        <v>489454.93567389902</v>
      </c>
      <c r="N9" s="91" cm="1">
        <f t="array" ref="N9">TREND('Total Pop'!$K13:$L13,'Total Pop'!$K$5:$L$5,'state calcs'!N$1)</f>
        <v>492355.46903433558</v>
      </c>
      <c r="O9" s="91" cm="1">
        <f t="array" ref="O9">TREND('Total Pop'!$K13:$L13,'Total Pop'!$K$5:$L$5,'state calcs'!O$1)</f>
        <v>495256.0023947712</v>
      </c>
      <c r="P9" s="91" cm="1">
        <f t="array" ref="P9">TREND('Total Pop'!$L13:$M13,'Total Pop'!$L$5:$M$5,'state calcs'!P$1)</f>
        <v>498156.5357552059</v>
      </c>
      <c r="Q9" s="91" cm="1">
        <f t="array" ref="Q9">TREND('Total Pop'!$L13:$M13,'Total Pop'!$L$5:$M$5,'state calcs'!Q$1)</f>
        <v>501057.06911564153</v>
      </c>
      <c r="R9" s="91" cm="1">
        <f t="array" ref="R9">TREND('Total Pop'!$L13:$M13,'Total Pop'!$L$5:$M$5,'state calcs'!R$1)</f>
        <v>503957.60247607715</v>
      </c>
      <c r="S9" s="91" cm="1">
        <f t="array" ref="S9">TREND('Total Pop'!$L13:$M13,'Total Pop'!$L$5:$M$5,'state calcs'!S$1)</f>
        <v>506858.13583651278</v>
      </c>
      <c r="T9" s="91" cm="1">
        <f t="array" ref="T9">TREND('Total Pop'!$L13:$M13,'Total Pop'!$L$5:$M$5,'state calcs'!T$1)</f>
        <v>509758.66919694934</v>
      </c>
      <c r="U9" s="91" cm="1">
        <f t="array" ref="U9">TREND('Total Pop'!$M13:$N13,'Total Pop'!$M$5:$N$5,'state calcs'!U$1)</f>
        <v>512659.2025573859</v>
      </c>
      <c r="V9" s="91" cm="1">
        <f t="array" ref="V9">TREND('Total Pop'!$M13:$N13,'Total Pop'!$M$5:$N$5,'state calcs'!V$1)</f>
        <v>515096.92932293378</v>
      </c>
      <c r="W9" s="91" cm="1">
        <f t="array" ref="W9">TREND('Total Pop'!$M13:$N13,'Total Pop'!$M$5:$N$5,'state calcs'!W$1)</f>
        <v>517534.65608848259</v>
      </c>
      <c r="X9" s="91" cm="1">
        <f t="array" ref="X9">TREND('Total Pop'!$M13:$N13,'Total Pop'!$M$5:$N$5,'state calcs'!X$1)</f>
        <v>519972.38285403047</v>
      </c>
      <c r="Y9" s="91" cm="1">
        <f t="array" ref="Y9">TREND('Total Pop'!$M13:$N13,'Total Pop'!$M$5:$N$5,'state calcs'!Y$1)</f>
        <v>522410.10961957928</v>
      </c>
      <c r="Z9" s="91" cm="1">
        <f t="array" ref="Z9">TREND('Total Pop'!$N13:$O13,'Total Pop'!$N$5:$O$5,'state calcs'!Z$1)</f>
        <v>524847.83638512716</v>
      </c>
      <c r="AA9" s="91" cm="1">
        <f t="array" ref="AA9">TREND('Total Pop'!$N13:$O13,'Total Pop'!$N$5:$O$5,'state calcs'!AA$1)</f>
        <v>527285.56315067504</v>
      </c>
      <c r="AB9" s="91" cm="1">
        <f t="array" ref="AB9">TREND('Total Pop'!$N13:$O13,'Total Pop'!$N$5:$O$5,'state calcs'!AB$1)</f>
        <v>529723.28991622385</v>
      </c>
      <c r="AC9" s="91" cm="1">
        <f t="array" ref="AC9">TREND('Total Pop'!$N13:$O13,'Total Pop'!$N$5:$O$5,'state calcs'!AC$1)</f>
        <v>532161.01668177173</v>
      </c>
      <c r="AD9" s="91" cm="1">
        <f t="array" ref="AD9">TREND('Total Pop'!$N13:$O13,'Total Pop'!$N$5:$O$5,'state calcs'!AD$1)</f>
        <v>534598.7434473196</v>
      </c>
      <c r="AE9" s="91" cm="1">
        <f t="array" ref="AE9">TREND('Total Pop'!$N13:$O13,'Total Pop'!$N$5:$O$5,'state calcs'!AE$1)</f>
        <v>537036.47021286841</v>
      </c>
    </row>
    <row r="10" spans="1:31" x14ac:dyDescent="0.25">
      <c r="A10" s="91" t="s">
        <v>432</v>
      </c>
      <c r="B10" s="91" cm="1">
        <f t="array" ref="B10">TREND('Total Pop'!$I14:$J14,'Total Pop'!$I$5:$J$5,'state calcs'!B$1)</f>
        <v>355112.53822026122</v>
      </c>
      <c r="C10" s="91" cm="1">
        <f t="array" ref="C10">TREND('Total Pop'!$I14:$J14,'Total Pop'!$I$5:$J$5,'state calcs'!C$1)</f>
        <v>358796.07644052338</v>
      </c>
      <c r="D10" s="91" cm="1">
        <f t="array" ref="D10">TREND('Total Pop'!$I14:$J14,'Total Pop'!$I$5:$J$5,'state calcs'!D$1)</f>
        <v>362479.6146607846</v>
      </c>
      <c r="E10" s="91" cm="1">
        <f t="array" ref="E10">TREND('Total Pop'!$I14:$J14,'Total Pop'!$I$5:$J$5,'state calcs'!E$1)</f>
        <v>366163.15288104583</v>
      </c>
      <c r="F10" s="91" cm="1">
        <f t="array" ref="F10">TREND('Total Pop'!$J14:$K14,'Total Pop'!$J$5:$K$5,'state calcs'!F$1)</f>
        <v>369846.69110130705</v>
      </c>
      <c r="G10" s="91" cm="1">
        <f t="array" ref="G10">TREND('Total Pop'!$J14:$K14,'Total Pop'!$J$5:$K$5,'state calcs'!G$1)</f>
        <v>373530.22932156827</v>
      </c>
      <c r="H10" s="91" cm="1">
        <f t="array" ref="H10">TREND('Total Pop'!$J14:$K14,'Total Pop'!$J$5:$K$5,'state calcs'!H$1)</f>
        <v>377213.7675418295</v>
      </c>
      <c r="I10" s="91" cm="1">
        <f t="array" ref="I10">TREND('Total Pop'!$J14:$K14,'Total Pop'!$J$5:$K$5,'state calcs'!I$1)</f>
        <v>380897.30576209072</v>
      </c>
      <c r="J10" s="91" cm="1">
        <f t="array" ref="J10">TREND('Total Pop'!$J14:$K14,'Total Pop'!$J$5:$K$5,'state calcs'!J$1)</f>
        <v>384580.84398235194</v>
      </c>
      <c r="K10" s="91" cm="1">
        <f t="array" ref="K10">TREND('Total Pop'!$K14:$L14,'Total Pop'!$K$5:$L$5,'state calcs'!K$1)</f>
        <v>388264.3822026141</v>
      </c>
      <c r="L10" s="91" cm="1">
        <f t="array" ref="L10">TREND('Total Pop'!$K14:$L14,'Total Pop'!$K$5:$L$5,'state calcs'!L$1)</f>
        <v>392215.86543358956</v>
      </c>
      <c r="M10" s="91" cm="1">
        <f t="array" ref="M10">TREND('Total Pop'!$K14:$L14,'Total Pop'!$K$5:$L$5,'state calcs'!M$1)</f>
        <v>396167.34866456408</v>
      </c>
      <c r="N10" s="91" cm="1">
        <f t="array" ref="N10">TREND('Total Pop'!$K14:$L14,'Total Pop'!$K$5:$L$5,'state calcs'!N$1)</f>
        <v>400118.83189553861</v>
      </c>
      <c r="O10" s="91" cm="1">
        <f t="array" ref="O10">TREND('Total Pop'!$K14:$L14,'Total Pop'!$K$5:$L$5,'state calcs'!O$1)</f>
        <v>404070.31512651313</v>
      </c>
      <c r="P10" s="91" cm="1">
        <f t="array" ref="P10">TREND('Total Pop'!$L14:$M14,'Total Pop'!$L$5:$M$5,'state calcs'!P$1)</f>
        <v>408021.79835748766</v>
      </c>
      <c r="Q10" s="91" cm="1">
        <f t="array" ref="Q10">TREND('Total Pop'!$L14:$M14,'Total Pop'!$L$5:$M$5,'state calcs'!Q$1)</f>
        <v>411973.28158846218</v>
      </c>
      <c r="R10" s="91" cm="1">
        <f t="array" ref="R10">TREND('Total Pop'!$L14:$M14,'Total Pop'!$L$5:$M$5,'state calcs'!R$1)</f>
        <v>415924.76481943671</v>
      </c>
      <c r="S10" s="91" cm="1">
        <f t="array" ref="S10">TREND('Total Pop'!$L14:$M14,'Total Pop'!$L$5:$M$5,'state calcs'!S$1)</f>
        <v>419876.24805041123</v>
      </c>
      <c r="T10" s="91" cm="1">
        <f t="array" ref="T10">TREND('Total Pop'!$L14:$M14,'Total Pop'!$L$5:$M$5,'state calcs'!T$1)</f>
        <v>423827.73128138576</v>
      </c>
      <c r="U10" s="91" cm="1">
        <f t="array" ref="U10">TREND('Total Pop'!$M14:$N14,'Total Pop'!$M$5:$N$5,'state calcs'!U$1)</f>
        <v>427779.21451236121</v>
      </c>
      <c r="V10" s="91" cm="1">
        <f t="array" ref="V10">TREND('Total Pop'!$M14:$N14,'Total Pop'!$M$5:$N$5,'state calcs'!V$1)</f>
        <v>431580.56929861847</v>
      </c>
      <c r="W10" s="91" cm="1">
        <f t="array" ref="W10">TREND('Total Pop'!$M14:$N14,'Total Pop'!$M$5:$N$5,'state calcs'!W$1)</f>
        <v>435381.92408487573</v>
      </c>
      <c r="X10" s="91" cm="1">
        <f t="array" ref="X10">TREND('Total Pop'!$M14:$N14,'Total Pop'!$M$5:$N$5,'state calcs'!X$1)</f>
        <v>439183.27887113299</v>
      </c>
      <c r="Y10" s="91" cm="1">
        <f t="array" ref="Y10">TREND('Total Pop'!$M14:$N14,'Total Pop'!$M$5:$N$5,'state calcs'!Y$1)</f>
        <v>442984.63365738932</v>
      </c>
      <c r="Z10" s="91" cm="1">
        <f t="array" ref="Z10">TREND('Total Pop'!$N14:$O14,'Total Pop'!$N$5:$O$5,'state calcs'!Z$1)</f>
        <v>446785.98844364565</v>
      </c>
      <c r="AA10" s="91" cm="1">
        <f t="array" ref="AA10">TREND('Total Pop'!$N14:$O14,'Total Pop'!$N$5:$O$5,'state calcs'!AA$1)</f>
        <v>450587.34322990291</v>
      </c>
      <c r="AB10" s="91" cm="1">
        <f t="array" ref="AB10">TREND('Total Pop'!$N14:$O14,'Total Pop'!$N$5:$O$5,'state calcs'!AB$1)</f>
        <v>454388.69801616017</v>
      </c>
      <c r="AC10" s="91" cm="1">
        <f t="array" ref="AC10">TREND('Total Pop'!$N14:$O14,'Total Pop'!$N$5:$O$5,'state calcs'!AC$1)</f>
        <v>458190.05280241743</v>
      </c>
      <c r="AD10" s="91" cm="1">
        <f t="array" ref="AD10">TREND('Total Pop'!$N14:$O14,'Total Pop'!$N$5:$O$5,'state calcs'!AD$1)</f>
        <v>461991.40758867469</v>
      </c>
      <c r="AE10" s="91" cm="1">
        <f t="array" ref="AE10">TREND('Total Pop'!$N14:$O14,'Total Pop'!$N$5:$O$5,'state calcs'!AE$1)</f>
        <v>465792.76237493195</v>
      </c>
    </row>
    <row r="11" spans="1:31" x14ac:dyDescent="0.25">
      <c r="A11" s="91" t="s">
        <v>343</v>
      </c>
      <c r="B11" s="91" cm="1">
        <f t="array" ref="B11">TREND('Total Pop'!$I15:$J15,'Total Pop'!$I$5:$J$5,'state calcs'!B$1)</f>
        <v>10003894.432915092</v>
      </c>
      <c r="C11" s="91" cm="1">
        <f t="array" ref="C11">TREND('Total Pop'!$I15:$J15,'Total Pop'!$I$5:$J$5,'state calcs'!C$1)</f>
        <v>10107404.865830213</v>
      </c>
      <c r="D11" s="91" cm="1">
        <f t="array" ref="D11">TREND('Total Pop'!$I15:$J15,'Total Pop'!$I$5:$J$5,'state calcs'!D$1)</f>
        <v>10210915.298745334</v>
      </c>
      <c r="E11" s="91" cm="1">
        <f t="array" ref="E11">TREND('Total Pop'!$I15:$J15,'Total Pop'!$I$5:$J$5,'state calcs'!E$1)</f>
        <v>10314425.731660455</v>
      </c>
      <c r="F11" s="91" cm="1">
        <f t="array" ref="F11">TREND('Total Pop'!$J15:$K15,'Total Pop'!$J$5:$K$5,'state calcs'!F$1)</f>
        <v>10417936.164575577</v>
      </c>
      <c r="G11" s="91" cm="1">
        <f t="array" ref="G11">TREND('Total Pop'!$J15:$K15,'Total Pop'!$J$5:$K$5,'state calcs'!G$1)</f>
        <v>10521446.597490698</v>
      </c>
      <c r="H11" s="91" cm="1">
        <f t="array" ref="H11">TREND('Total Pop'!$J15:$K15,'Total Pop'!$J$5:$K$5,'state calcs'!H$1)</f>
        <v>10624957.030405819</v>
      </c>
      <c r="I11" s="91" cm="1">
        <f t="array" ref="I11">TREND('Total Pop'!$J15:$K15,'Total Pop'!$J$5:$K$5,'state calcs'!I$1)</f>
        <v>10728467.463320941</v>
      </c>
      <c r="J11" s="91" cm="1">
        <f t="array" ref="J11">TREND('Total Pop'!$J15:$K15,'Total Pop'!$J$5:$K$5,'state calcs'!J$1)</f>
        <v>10831977.896236062</v>
      </c>
      <c r="K11" s="91" cm="1">
        <f t="array" ref="K11">TREND('Total Pop'!$K15:$L15,'Total Pop'!$K$5:$L$5,'state calcs'!K$1)</f>
        <v>10935488.329151154</v>
      </c>
      <c r="L11" s="91" cm="1">
        <f t="array" ref="L11">TREND('Total Pop'!$K15:$L15,'Total Pop'!$K$5:$L$5,'state calcs'!L$1)</f>
        <v>11046379.966158777</v>
      </c>
      <c r="M11" s="91" cm="1">
        <f t="array" ref="M11">TREND('Total Pop'!$K15:$L15,'Total Pop'!$K$5:$L$5,'state calcs'!M$1)</f>
        <v>11157271.603166401</v>
      </c>
      <c r="N11" s="91" cm="1">
        <f t="array" ref="N11">TREND('Total Pop'!$K15:$L15,'Total Pop'!$K$5:$L$5,'state calcs'!N$1)</f>
        <v>11268163.240174025</v>
      </c>
      <c r="O11" s="91" cm="1">
        <f t="array" ref="O11">TREND('Total Pop'!$K15:$L15,'Total Pop'!$K$5:$L$5,'state calcs'!O$1)</f>
        <v>11379054.877181649</v>
      </c>
      <c r="P11" s="91" cm="1">
        <f t="array" ref="P11">TREND('Total Pop'!$L15:$M15,'Total Pop'!$L$5:$M$5,'state calcs'!P$1)</f>
        <v>11489946.514189333</v>
      </c>
      <c r="Q11" s="91" cm="1">
        <f t="array" ref="Q11">TREND('Total Pop'!$L15:$M15,'Total Pop'!$L$5:$M$5,'state calcs'!Q$1)</f>
        <v>11600838.151196957</v>
      </c>
      <c r="R11" s="91" cm="1">
        <f t="array" ref="R11">TREND('Total Pop'!$L15:$M15,'Total Pop'!$L$5:$M$5,'state calcs'!R$1)</f>
        <v>11711729.788204581</v>
      </c>
      <c r="S11" s="91" cm="1">
        <f t="array" ref="S11">TREND('Total Pop'!$L15:$M15,'Total Pop'!$L$5:$M$5,'state calcs'!S$1)</f>
        <v>11822621.425212204</v>
      </c>
      <c r="T11" s="91" cm="1">
        <f t="array" ref="T11">TREND('Total Pop'!$L15:$M15,'Total Pop'!$L$5:$M$5,'state calcs'!T$1)</f>
        <v>11933513.062219828</v>
      </c>
      <c r="U11" s="91" cm="1">
        <f t="array" ref="U11">TREND('Total Pop'!$M15:$N15,'Total Pop'!$M$5:$N$5,'state calcs'!U$1)</f>
        <v>12044404.699227452</v>
      </c>
      <c r="V11" s="91" cm="1">
        <f t="array" ref="V11">TREND('Total Pop'!$M15:$N15,'Total Pop'!$M$5:$N$5,'state calcs'!V$1)</f>
        <v>12150996.640797973</v>
      </c>
      <c r="W11" s="91" cm="1">
        <f t="array" ref="W11">TREND('Total Pop'!$M15:$N15,'Total Pop'!$M$5:$N$5,'state calcs'!W$1)</f>
        <v>12257588.582368523</v>
      </c>
      <c r="X11" s="91" cm="1">
        <f t="array" ref="X11">TREND('Total Pop'!$M15:$N15,'Total Pop'!$M$5:$N$5,'state calcs'!X$1)</f>
        <v>12364180.523939043</v>
      </c>
      <c r="Y11" s="91" cm="1">
        <f t="array" ref="Y11">TREND('Total Pop'!$M15:$N15,'Total Pop'!$M$5:$N$5,'state calcs'!Y$1)</f>
        <v>12470772.465509593</v>
      </c>
      <c r="Z11" s="91" cm="1">
        <f t="array" ref="Z11">TREND('Total Pop'!$N15:$O15,'Total Pop'!$N$5:$O$5,'state calcs'!Z$1)</f>
        <v>12577364.407080114</v>
      </c>
      <c r="AA11" s="91" cm="1">
        <f t="array" ref="AA11">TREND('Total Pop'!$N15:$O15,'Total Pop'!$N$5:$O$5,'state calcs'!AA$1)</f>
        <v>12683956.348650634</v>
      </c>
      <c r="AB11" s="91" cm="1">
        <f t="array" ref="AB11">TREND('Total Pop'!$N15:$O15,'Total Pop'!$N$5:$O$5,'state calcs'!AB$1)</f>
        <v>12790548.290221184</v>
      </c>
      <c r="AC11" s="91" cm="1">
        <f t="array" ref="AC11">TREND('Total Pop'!$N15:$O15,'Total Pop'!$N$5:$O$5,'state calcs'!AC$1)</f>
        <v>12897140.231791705</v>
      </c>
      <c r="AD11" s="91" cm="1">
        <f t="array" ref="AD11">TREND('Total Pop'!$N15:$O15,'Total Pop'!$N$5:$O$5,'state calcs'!AD$1)</f>
        <v>13003732.173362225</v>
      </c>
      <c r="AE11" s="91" cm="1">
        <f t="array" ref="AE11">TREND('Total Pop'!$N15:$O15,'Total Pop'!$N$5:$O$5,'state calcs'!AE$1)</f>
        <v>13110324.114932775</v>
      </c>
    </row>
    <row r="12" spans="1:31" x14ac:dyDescent="0.25">
      <c r="A12" s="91" t="s">
        <v>345</v>
      </c>
      <c r="B12" s="91" cm="1">
        <f t="array" ref="B12">TREND('Total Pop'!$I16:$J16,'Total Pop'!$I$5:$J$5,'state calcs'!B$1)</f>
        <v>4457021.2263961062</v>
      </c>
      <c r="C12" s="91" cm="1">
        <f t="array" ref="C12">TREND('Total Pop'!$I16:$J16,'Total Pop'!$I$5:$J$5,'state calcs'!C$1)</f>
        <v>4490976.4527922198</v>
      </c>
      <c r="D12" s="91" cm="1">
        <f t="array" ref="D12">TREND('Total Pop'!$I16:$J16,'Total Pop'!$I$5:$J$5,'state calcs'!D$1)</f>
        <v>4524931.6791883335</v>
      </c>
      <c r="E12" s="91" cm="1">
        <f t="array" ref="E12">TREND('Total Pop'!$I16:$J16,'Total Pop'!$I$5:$J$5,'state calcs'!E$1)</f>
        <v>4558886.9055844471</v>
      </c>
      <c r="F12" s="91" cm="1">
        <f t="array" ref="F12">TREND('Total Pop'!$J16:$K16,'Total Pop'!$J$5:$K$5,'state calcs'!F$1)</f>
        <v>4592842.1319805533</v>
      </c>
      <c r="G12" s="91" cm="1">
        <f t="array" ref="G12">TREND('Total Pop'!$J16:$K16,'Total Pop'!$J$5:$K$5,'state calcs'!G$1)</f>
        <v>4626797.3583766669</v>
      </c>
      <c r="H12" s="91" cm="1">
        <f t="array" ref="H12">TREND('Total Pop'!$J16:$K16,'Total Pop'!$J$5:$K$5,'state calcs'!H$1)</f>
        <v>4660752.5847727805</v>
      </c>
      <c r="I12" s="91" cm="1">
        <f t="array" ref="I12">TREND('Total Pop'!$J16:$K16,'Total Pop'!$J$5:$K$5,'state calcs'!I$1)</f>
        <v>4694707.8111688942</v>
      </c>
      <c r="J12" s="91" cm="1">
        <f t="array" ref="J12">TREND('Total Pop'!$J16:$K16,'Total Pop'!$J$5:$K$5,'state calcs'!J$1)</f>
        <v>4728663.0375649929</v>
      </c>
      <c r="K12" s="91" cm="1">
        <f t="array" ref="K12">TREND('Total Pop'!$K16:$L16,'Total Pop'!$K$5:$L$5,'state calcs'!K$1)</f>
        <v>4762618.263961114</v>
      </c>
      <c r="L12" s="91" cm="1">
        <f t="array" ref="L12">TREND('Total Pop'!$K16:$L16,'Total Pop'!$K$5:$L$5,'state calcs'!L$1)</f>
        <v>4792670.6959354952</v>
      </c>
      <c r="M12" s="91" cm="1">
        <f t="array" ref="M12">TREND('Total Pop'!$K16:$L16,'Total Pop'!$K$5:$L$5,'state calcs'!M$1)</f>
        <v>4822723.1279098764</v>
      </c>
      <c r="N12" s="91" cm="1">
        <f t="array" ref="N12">TREND('Total Pop'!$K16:$L16,'Total Pop'!$K$5:$L$5,'state calcs'!N$1)</f>
        <v>4852775.5598842576</v>
      </c>
      <c r="O12" s="91" cm="1">
        <f t="array" ref="O12">TREND('Total Pop'!$K16:$L16,'Total Pop'!$K$5:$L$5,'state calcs'!O$1)</f>
        <v>4882827.9918586388</v>
      </c>
      <c r="P12" s="91" cm="1">
        <f t="array" ref="P12">TREND('Total Pop'!$L16:$M16,'Total Pop'!$L$5:$M$5,'state calcs'!P$1)</f>
        <v>4912880.42383302</v>
      </c>
      <c r="Q12" s="91" cm="1">
        <f t="array" ref="Q12">TREND('Total Pop'!$L16:$M16,'Total Pop'!$L$5:$M$5,'state calcs'!Q$1)</f>
        <v>4942932.8558074012</v>
      </c>
      <c r="R12" s="91" cm="1">
        <f t="array" ref="R12">TREND('Total Pop'!$L16:$M16,'Total Pop'!$L$5:$M$5,'state calcs'!R$1)</f>
        <v>4972985.2877817824</v>
      </c>
      <c r="S12" s="91" cm="1">
        <f t="array" ref="S12">TREND('Total Pop'!$L16:$M16,'Total Pop'!$L$5:$M$5,'state calcs'!S$1)</f>
        <v>5003037.7197561637</v>
      </c>
      <c r="T12" s="91" cm="1">
        <f t="array" ref="T12">TREND('Total Pop'!$L16:$M16,'Total Pop'!$L$5:$M$5,'state calcs'!T$1)</f>
        <v>5033090.1517305449</v>
      </c>
      <c r="U12" s="91" cm="1">
        <f t="array" ref="U12">TREND('Total Pop'!$M16:$N16,'Total Pop'!$M$5:$N$5,'state calcs'!U$1)</f>
        <v>5063142.5837049261</v>
      </c>
      <c r="V12" s="91" cm="1">
        <f t="array" ref="V12">TREND('Total Pop'!$M16:$N16,'Total Pop'!$M$5:$N$5,'state calcs'!V$1)</f>
        <v>5088784.0330506712</v>
      </c>
      <c r="W12" s="91" cm="1">
        <f t="array" ref="W12">TREND('Total Pop'!$M16:$N16,'Total Pop'!$M$5:$N$5,'state calcs'!W$1)</f>
        <v>5114425.4823964164</v>
      </c>
      <c r="X12" s="91" cm="1">
        <f t="array" ref="X12">TREND('Total Pop'!$M16:$N16,'Total Pop'!$M$5:$N$5,'state calcs'!X$1)</f>
        <v>5140066.9317421615</v>
      </c>
      <c r="Y12" s="91" cm="1">
        <f t="array" ref="Y12">TREND('Total Pop'!$M16:$N16,'Total Pop'!$M$5:$N$5,'state calcs'!Y$1)</f>
        <v>5165708.3810879067</v>
      </c>
      <c r="Z12" s="91" cm="1">
        <f t="array" ref="Z12">TREND('Total Pop'!$N16:$O16,'Total Pop'!$N$5:$O$5,'state calcs'!Z$1)</f>
        <v>5191349.8304336593</v>
      </c>
      <c r="AA12" s="91" cm="1">
        <f t="array" ref="AA12">TREND('Total Pop'!$N16:$O16,'Total Pop'!$N$5:$O$5,'state calcs'!AA$1)</f>
        <v>5216991.2797794044</v>
      </c>
      <c r="AB12" s="91" cm="1">
        <f t="array" ref="AB12">TREND('Total Pop'!$N16:$O16,'Total Pop'!$N$5:$O$5,'state calcs'!AB$1)</f>
        <v>5242632.7291251495</v>
      </c>
      <c r="AC12" s="91" cm="1">
        <f t="array" ref="AC12">TREND('Total Pop'!$N16:$O16,'Total Pop'!$N$5:$O$5,'state calcs'!AC$1)</f>
        <v>5268274.1784708947</v>
      </c>
      <c r="AD12" s="91" cm="1">
        <f t="array" ref="AD12">TREND('Total Pop'!$N16:$O16,'Total Pop'!$N$5:$O$5,'state calcs'!AD$1)</f>
        <v>5293915.6278166398</v>
      </c>
      <c r="AE12" s="91" cm="1">
        <f t="array" ref="AE12">TREND('Total Pop'!$N16:$O16,'Total Pop'!$N$5:$O$5,'state calcs'!AE$1)</f>
        <v>5319557.077162385</v>
      </c>
    </row>
    <row r="13" spans="1:31" x14ac:dyDescent="0.25">
      <c r="A13" s="91" t="s">
        <v>347</v>
      </c>
      <c r="B13" s="91" cm="1">
        <f t="array" ref="B13">TREND('Total Pop'!$I17:$J17,'Total Pop'!$I$5:$J$5,'state calcs'!B$1)</f>
        <v>564879.71220668126</v>
      </c>
      <c r="C13" s="91" cm="1">
        <f t="array" ref="C13">TREND('Total Pop'!$I17:$J17,'Total Pop'!$I$5:$J$5,'state calcs'!C$1)</f>
        <v>567758.42441336159</v>
      </c>
      <c r="D13" s="91" cm="1">
        <f t="array" ref="D13">TREND('Total Pop'!$I17:$J17,'Total Pop'!$I$5:$J$5,'state calcs'!D$1)</f>
        <v>570637.13662004191</v>
      </c>
      <c r="E13" s="91" cm="1">
        <f t="array" ref="E13">TREND('Total Pop'!$I17:$J17,'Total Pop'!$I$5:$J$5,'state calcs'!E$1)</f>
        <v>573515.84882672317</v>
      </c>
      <c r="F13" s="91" cm="1">
        <f t="array" ref="F13">TREND('Total Pop'!$J17:$K17,'Total Pop'!$J$5:$K$5,'state calcs'!F$1)</f>
        <v>576394.5610334035</v>
      </c>
      <c r="G13" s="91" cm="1">
        <f t="array" ref="G13">TREND('Total Pop'!$J17:$K17,'Total Pop'!$J$5:$K$5,'state calcs'!G$1)</f>
        <v>579273.27324008383</v>
      </c>
      <c r="H13" s="91" cm="1">
        <f t="array" ref="H13">TREND('Total Pop'!$J17:$K17,'Total Pop'!$J$5:$K$5,'state calcs'!H$1)</f>
        <v>582151.98544676509</v>
      </c>
      <c r="I13" s="91" cm="1">
        <f t="array" ref="I13">TREND('Total Pop'!$J17:$K17,'Total Pop'!$J$5:$K$5,'state calcs'!I$1)</f>
        <v>585030.69765344542</v>
      </c>
      <c r="J13" s="91" cm="1">
        <f t="array" ref="J13">TREND('Total Pop'!$J17:$K17,'Total Pop'!$J$5:$K$5,'state calcs'!J$1)</f>
        <v>587909.40986012574</v>
      </c>
      <c r="K13" s="91" cm="1">
        <f t="array" ref="K13">TREND('Total Pop'!$K17:$L17,'Total Pop'!$K$5:$L$5,'state calcs'!K$1)</f>
        <v>590788.12206680654</v>
      </c>
      <c r="L13" s="91" cm="1">
        <f t="array" ref="L13">TREND('Total Pop'!$K17:$L17,'Total Pop'!$K$5:$L$5,'state calcs'!L$1)</f>
        <v>592476.16178471409</v>
      </c>
      <c r="M13" s="91" cm="1">
        <f t="array" ref="M13">TREND('Total Pop'!$K17:$L17,'Total Pop'!$K$5:$L$5,'state calcs'!M$1)</f>
        <v>594164.20150262211</v>
      </c>
      <c r="N13" s="91" cm="1">
        <f t="array" ref="N13">TREND('Total Pop'!$K17:$L17,'Total Pop'!$K$5:$L$5,'state calcs'!N$1)</f>
        <v>595852.24122052966</v>
      </c>
      <c r="O13" s="91" cm="1">
        <f t="array" ref="O13">TREND('Total Pop'!$K17:$L17,'Total Pop'!$K$5:$L$5,'state calcs'!O$1)</f>
        <v>597540.28093843721</v>
      </c>
      <c r="P13" s="91" cm="1">
        <f t="array" ref="P13">TREND('Total Pop'!$L17:$M17,'Total Pop'!$L$5:$M$5,'state calcs'!P$1)</f>
        <v>599228.32065634429</v>
      </c>
      <c r="Q13" s="91" cm="1">
        <f t="array" ref="Q13">TREND('Total Pop'!$L17:$M17,'Total Pop'!$L$5:$M$5,'state calcs'!Q$1)</f>
        <v>600916.36037425185</v>
      </c>
      <c r="R13" s="91" cm="1">
        <f t="array" ref="R13">TREND('Total Pop'!$L17:$M17,'Total Pop'!$L$5:$M$5,'state calcs'!R$1)</f>
        <v>602604.4000921594</v>
      </c>
      <c r="S13" s="91" cm="1">
        <f t="array" ref="S13">TREND('Total Pop'!$L17:$M17,'Total Pop'!$L$5:$M$5,'state calcs'!S$1)</f>
        <v>604292.43981006742</v>
      </c>
      <c r="T13" s="91" cm="1">
        <f t="array" ref="T13">TREND('Total Pop'!$L17:$M17,'Total Pop'!$L$5:$M$5,'state calcs'!T$1)</f>
        <v>605980.47952797497</v>
      </c>
      <c r="U13" s="91" cm="1">
        <f t="array" ref="U13">TREND('Total Pop'!$M17:$N17,'Total Pop'!$M$5:$N$5,'state calcs'!U$1)</f>
        <v>607668.51924588275</v>
      </c>
      <c r="V13" s="91" cm="1">
        <f t="array" ref="V13">TREND('Total Pop'!$M17:$N17,'Total Pop'!$M$5:$N$5,'state calcs'!V$1)</f>
        <v>608672.38560188538</v>
      </c>
      <c r="W13" s="91" cm="1">
        <f t="array" ref="W13">TREND('Total Pop'!$M17:$N17,'Total Pop'!$M$5:$N$5,'state calcs'!W$1)</f>
        <v>609676.25195788802</v>
      </c>
      <c r="X13" s="91" cm="1">
        <f t="array" ref="X13">TREND('Total Pop'!$M17:$N17,'Total Pop'!$M$5:$N$5,'state calcs'!X$1)</f>
        <v>610680.11831389065</v>
      </c>
      <c r="Y13" s="91" cm="1">
        <f t="array" ref="Y13">TREND('Total Pop'!$M17:$N17,'Total Pop'!$M$5:$N$5,'state calcs'!Y$1)</f>
        <v>611683.98466989305</v>
      </c>
      <c r="Z13" s="91" cm="1">
        <f t="array" ref="Z13">TREND('Total Pop'!$N17:$O17,'Total Pop'!$N$5:$O$5,'state calcs'!Z$1)</f>
        <v>612687.85102589568</v>
      </c>
      <c r="AA13" s="91" cm="1">
        <f t="array" ref="AA13">TREND('Total Pop'!$N17:$O17,'Total Pop'!$N$5:$O$5,'state calcs'!AA$1)</f>
        <v>613691.71738189831</v>
      </c>
      <c r="AB13" s="91" cm="1">
        <f t="array" ref="AB13">TREND('Total Pop'!$N17:$O17,'Total Pop'!$N$5:$O$5,'state calcs'!AB$1)</f>
        <v>614695.58373790095</v>
      </c>
      <c r="AC13" s="91" cm="1">
        <f t="array" ref="AC13">TREND('Total Pop'!$N17:$O17,'Total Pop'!$N$5:$O$5,'state calcs'!AC$1)</f>
        <v>615699.45009390358</v>
      </c>
      <c r="AD13" s="91" cm="1">
        <f t="array" ref="AD13">TREND('Total Pop'!$N17:$O17,'Total Pop'!$N$5:$O$5,'state calcs'!AD$1)</f>
        <v>616703.31644990621</v>
      </c>
      <c r="AE13" s="91" cm="1">
        <f t="array" ref="AE13">TREND('Total Pop'!$N17:$O17,'Total Pop'!$N$5:$O$5,'state calcs'!AE$1)</f>
        <v>617707.18280590884</v>
      </c>
    </row>
    <row r="14" spans="1:31" x14ac:dyDescent="0.25">
      <c r="A14" s="91" t="s">
        <v>349</v>
      </c>
      <c r="B14" s="91" cm="1">
        <f t="array" ref="B14">TREND('Total Pop'!$I18:$J18,'Total Pop'!$I$5:$J$5,'state calcs'!B$1)</f>
        <v>765508.88014999777</v>
      </c>
      <c r="C14" s="91" cm="1">
        <f t="array" ref="C14">TREND('Total Pop'!$I18:$J18,'Total Pop'!$I$5:$J$5,'state calcs'!C$1)</f>
        <v>774848.76029999927</v>
      </c>
      <c r="D14" s="91" cm="1">
        <f t="array" ref="D14">TREND('Total Pop'!$I18:$J18,'Total Pop'!$I$5:$J$5,'state calcs'!D$1)</f>
        <v>784188.64044999704</v>
      </c>
      <c r="E14" s="91" cm="1">
        <f t="array" ref="E14">TREND('Total Pop'!$I18:$J18,'Total Pop'!$I$5:$J$5,'state calcs'!E$1)</f>
        <v>793528.52059999481</v>
      </c>
      <c r="F14" s="91" cm="1">
        <f t="array" ref="F14">TREND('Total Pop'!$J18:$K18,'Total Pop'!$J$5:$K$5,'state calcs'!F$1)</f>
        <v>802868.4007499963</v>
      </c>
      <c r="G14" s="91" cm="1">
        <f t="array" ref="G14">TREND('Total Pop'!$J18:$K18,'Total Pop'!$J$5:$K$5,'state calcs'!G$1)</f>
        <v>812208.28089999408</v>
      </c>
      <c r="H14" s="91" cm="1">
        <f t="array" ref="H14">TREND('Total Pop'!$J18:$K18,'Total Pop'!$J$5:$K$5,'state calcs'!H$1)</f>
        <v>821548.16104999185</v>
      </c>
      <c r="I14" s="91" cm="1">
        <f t="array" ref="I14">TREND('Total Pop'!$J18:$K18,'Total Pop'!$J$5:$K$5,'state calcs'!I$1)</f>
        <v>830888.04119998962</v>
      </c>
      <c r="J14" s="91" cm="1">
        <f t="array" ref="J14">TREND('Total Pop'!$J18:$K18,'Total Pop'!$J$5:$K$5,'state calcs'!J$1)</f>
        <v>840227.92134999111</v>
      </c>
      <c r="K14" s="91" cm="1">
        <f t="array" ref="K14">TREND('Total Pop'!$K18:$L18,'Total Pop'!$K$5:$L$5,'state calcs'!K$1)</f>
        <v>849567.80149998888</v>
      </c>
      <c r="L14" s="91" cm="1">
        <f t="array" ref="L14">TREND('Total Pop'!$K18:$L18,'Total Pop'!$K$5:$L$5,'state calcs'!L$1)</f>
        <v>860440.83922461793</v>
      </c>
      <c r="M14" s="91" cm="1">
        <f t="array" ref="M14">TREND('Total Pop'!$K18:$L18,'Total Pop'!$K$5:$L$5,'state calcs'!M$1)</f>
        <v>871313.87694924697</v>
      </c>
      <c r="N14" s="91" cm="1">
        <f t="array" ref="N14">TREND('Total Pop'!$K18:$L18,'Total Pop'!$K$5:$L$5,'state calcs'!N$1)</f>
        <v>882186.91467387974</v>
      </c>
      <c r="O14" s="91" cm="1">
        <f t="array" ref="O14">TREND('Total Pop'!$K18:$L18,'Total Pop'!$K$5:$L$5,'state calcs'!O$1)</f>
        <v>893059.95239850879</v>
      </c>
      <c r="P14" s="91" cm="1">
        <f t="array" ref="P14">TREND('Total Pop'!$L18:$M18,'Total Pop'!$L$5:$M$5,'state calcs'!P$1)</f>
        <v>903932.99012313783</v>
      </c>
      <c r="Q14" s="91" cm="1">
        <f t="array" ref="Q14">TREND('Total Pop'!$L18:$M18,'Total Pop'!$L$5:$M$5,'state calcs'!Q$1)</f>
        <v>914806.0278477706</v>
      </c>
      <c r="R14" s="91" cm="1">
        <f t="array" ref="R14">TREND('Total Pop'!$L18:$M18,'Total Pop'!$L$5:$M$5,'state calcs'!R$1)</f>
        <v>925679.06557239965</v>
      </c>
      <c r="S14" s="91" cm="1">
        <f t="array" ref="S14">TREND('Total Pop'!$L18:$M18,'Total Pop'!$L$5:$M$5,'state calcs'!S$1)</f>
        <v>936552.10329703242</v>
      </c>
      <c r="T14" s="91" cm="1">
        <f t="array" ref="T14">TREND('Total Pop'!$L18:$M18,'Total Pop'!$L$5:$M$5,'state calcs'!T$1)</f>
        <v>947425.14102166146</v>
      </c>
      <c r="U14" s="91" cm="1">
        <f t="array" ref="U14">TREND('Total Pop'!$M18:$N18,'Total Pop'!$M$5:$N$5,'state calcs'!U$1)</f>
        <v>958298.17874629423</v>
      </c>
      <c r="V14" s="91" cm="1">
        <f t="array" ref="V14">TREND('Total Pop'!$M18:$N18,'Total Pop'!$M$5:$N$5,'state calcs'!V$1)</f>
        <v>969296.14295332134</v>
      </c>
      <c r="W14" s="91" cm="1">
        <f t="array" ref="W14">TREND('Total Pop'!$M18:$N18,'Total Pop'!$M$5:$N$5,'state calcs'!W$1)</f>
        <v>980294.10716035217</v>
      </c>
      <c r="X14" s="91" cm="1">
        <f t="array" ref="X14">TREND('Total Pop'!$M18:$N18,'Total Pop'!$M$5:$N$5,'state calcs'!X$1)</f>
        <v>991292.07136737928</v>
      </c>
      <c r="Y14" s="91" cm="1">
        <f t="array" ref="Y14">TREND('Total Pop'!$M18:$N18,'Total Pop'!$M$5:$N$5,'state calcs'!Y$1)</f>
        <v>1002290.0355744064</v>
      </c>
      <c r="Z14" s="91" cm="1">
        <f t="array" ref="Z14">TREND('Total Pop'!$N18:$O18,'Total Pop'!$N$5:$O$5,'state calcs'!Z$1)</f>
        <v>1013287.9997814372</v>
      </c>
      <c r="AA14" s="91" cm="1">
        <f t="array" ref="AA14">TREND('Total Pop'!$N18:$O18,'Total Pop'!$N$5:$O$5,'state calcs'!AA$1)</f>
        <v>1024285.9639884643</v>
      </c>
      <c r="AB14" s="91" cm="1">
        <f t="array" ref="AB14">TREND('Total Pop'!$N18:$O18,'Total Pop'!$N$5:$O$5,'state calcs'!AB$1)</f>
        <v>1035283.9281954952</v>
      </c>
      <c r="AC14" s="91" cm="1">
        <f t="array" ref="AC14">TREND('Total Pop'!$N18:$O18,'Total Pop'!$N$5:$O$5,'state calcs'!AC$1)</f>
        <v>1046281.8924025223</v>
      </c>
      <c r="AD14" s="91" cm="1">
        <f t="array" ref="AD14">TREND('Total Pop'!$N18:$O18,'Total Pop'!$N$5:$O$5,'state calcs'!AD$1)</f>
        <v>1057279.8566095494</v>
      </c>
      <c r="AE14" s="91" cm="1">
        <f t="array" ref="AE14">TREND('Total Pop'!$N18:$O18,'Total Pop'!$N$5:$O$5,'state calcs'!AE$1)</f>
        <v>1068277.8208165802</v>
      </c>
    </row>
    <row r="15" spans="1:31" x14ac:dyDescent="0.25">
      <c r="A15" s="91" t="s">
        <v>351</v>
      </c>
      <c r="B15" s="91" cm="1">
        <f t="array" ref="B15">TREND('Total Pop'!$I19:$J19,'Total Pop'!$I$5:$J$5,'state calcs'!B$1)</f>
        <v>5429742.4311785977</v>
      </c>
      <c r="C15" s="91" cm="1">
        <f t="array" ref="C15">TREND('Total Pop'!$I19:$J19,'Total Pop'!$I$5:$J$5,'state calcs'!C$1)</f>
        <v>5429166.8623571955</v>
      </c>
      <c r="D15" s="91" cm="1">
        <f t="array" ref="D15">TREND('Total Pop'!$I19:$J19,'Total Pop'!$I$5:$J$5,'state calcs'!D$1)</f>
        <v>5428591.2935357923</v>
      </c>
      <c r="E15" s="91" cm="1">
        <f t="array" ref="E15">TREND('Total Pop'!$I19:$J19,'Total Pop'!$I$5:$J$5,'state calcs'!E$1)</f>
        <v>5428015.7247143891</v>
      </c>
      <c r="F15" s="91" cm="1">
        <f t="array" ref="F15">TREND('Total Pop'!$J19:$K19,'Total Pop'!$J$5:$K$5,'state calcs'!F$1)</f>
        <v>5427440.1558929868</v>
      </c>
      <c r="G15" s="91" cm="1">
        <f t="array" ref="G15">TREND('Total Pop'!$J19:$K19,'Total Pop'!$J$5:$K$5,'state calcs'!G$1)</f>
        <v>5426864.5870715845</v>
      </c>
      <c r="H15" s="91" cm="1">
        <f t="array" ref="H15">TREND('Total Pop'!$J19:$K19,'Total Pop'!$J$5:$K$5,'state calcs'!H$1)</f>
        <v>5426289.0182501823</v>
      </c>
      <c r="I15" s="91" cm="1">
        <f t="array" ref="I15">TREND('Total Pop'!$J19:$K19,'Total Pop'!$J$5:$K$5,'state calcs'!I$1)</f>
        <v>5425713.4494287791</v>
      </c>
      <c r="J15" s="91" cm="1">
        <f t="array" ref="J15">TREND('Total Pop'!$J19:$K19,'Total Pop'!$J$5:$K$5,'state calcs'!J$1)</f>
        <v>5425137.8806073759</v>
      </c>
      <c r="K15" s="91" cm="1">
        <f t="array" ref="K15">TREND('Total Pop'!$K19:$L19,'Total Pop'!$K$5:$L$5,'state calcs'!K$1)</f>
        <v>5424562.3117859736</v>
      </c>
      <c r="L15" s="91" cm="1">
        <f t="array" ref="L15">TREND('Total Pop'!$K19:$L19,'Total Pop'!$K$5:$L$5,'state calcs'!L$1)</f>
        <v>5402913.2187446058</v>
      </c>
      <c r="M15" s="91" cm="1">
        <f t="array" ref="M15">TREND('Total Pop'!$K19:$L19,'Total Pop'!$K$5:$L$5,'state calcs'!M$1)</f>
        <v>5381264.125703238</v>
      </c>
      <c r="N15" s="91" cm="1">
        <f t="array" ref="N15">TREND('Total Pop'!$K19:$L19,'Total Pop'!$K$5:$L$5,'state calcs'!N$1)</f>
        <v>5359615.0326618701</v>
      </c>
      <c r="O15" s="91" cm="1">
        <f t="array" ref="O15">TREND('Total Pop'!$K19:$L19,'Total Pop'!$K$5:$L$5,'state calcs'!O$1)</f>
        <v>5337965.9396205023</v>
      </c>
      <c r="P15" s="91" cm="1">
        <f t="array" ref="P15">TREND('Total Pop'!$L19:$M19,'Total Pop'!$L$5:$M$5,'state calcs'!P$1)</f>
        <v>5316316.8465791345</v>
      </c>
      <c r="Q15" s="91" cm="1">
        <f t="array" ref="Q15">TREND('Total Pop'!$L19:$M19,'Total Pop'!$L$5:$M$5,'state calcs'!Q$1)</f>
        <v>5294667.7535377666</v>
      </c>
      <c r="R15" s="91" cm="1">
        <f t="array" ref="R15">TREND('Total Pop'!$L19:$M19,'Total Pop'!$L$5:$M$5,'state calcs'!R$1)</f>
        <v>5273018.6604963988</v>
      </c>
      <c r="S15" s="91" cm="1">
        <f t="array" ref="S15">TREND('Total Pop'!$L19:$M19,'Total Pop'!$L$5:$M$5,'state calcs'!S$1)</f>
        <v>5251369.567455031</v>
      </c>
      <c r="T15" s="91" cm="1">
        <f t="array" ref="T15">TREND('Total Pop'!$L19:$M19,'Total Pop'!$L$5:$M$5,'state calcs'!T$1)</f>
        <v>5229720.4744136631</v>
      </c>
      <c r="U15" s="91" cm="1">
        <f t="array" ref="U15">TREND('Total Pop'!$M19:$N19,'Total Pop'!$M$5:$N$5,'state calcs'!U$1)</f>
        <v>5208071.3813723028</v>
      </c>
      <c r="V15" s="91" cm="1">
        <f t="array" ref="V15">TREND('Total Pop'!$M19:$N19,'Total Pop'!$M$5:$N$5,'state calcs'!V$1)</f>
        <v>5181427.0833352804</v>
      </c>
      <c r="W15" s="91" cm="1">
        <f t="array" ref="W15">TREND('Total Pop'!$M19:$N19,'Total Pop'!$M$5:$N$5,'state calcs'!W$1)</f>
        <v>5154782.7852982581</v>
      </c>
      <c r="X15" s="91" cm="1">
        <f t="array" ref="X15">TREND('Total Pop'!$M19:$N19,'Total Pop'!$M$5:$N$5,'state calcs'!X$1)</f>
        <v>5128138.4872612432</v>
      </c>
      <c r="Y15" s="91" cm="1">
        <f t="array" ref="Y15">TREND('Total Pop'!$M19:$N19,'Total Pop'!$M$5:$N$5,'state calcs'!Y$1)</f>
        <v>5101494.1892242208</v>
      </c>
      <c r="Z15" s="91" cm="1">
        <f t="array" ref="Z15">TREND('Total Pop'!$N19:$O19,'Total Pop'!$N$5:$O$5,'state calcs'!Z$1)</f>
        <v>5074849.891187191</v>
      </c>
      <c r="AA15" s="91" cm="1">
        <f t="array" ref="AA15">TREND('Total Pop'!$N19:$O19,'Total Pop'!$N$5:$O$5,'state calcs'!AA$1)</f>
        <v>5048205.5931501687</v>
      </c>
      <c r="AB15" s="91" cm="1">
        <f t="array" ref="AB15">TREND('Total Pop'!$N19:$O19,'Total Pop'!$N$5:$O$5,'state calcs'!AB$1)</f>
        <v>5021561.2951131538</v>
      </c>
      <c r="AC15" s="91" cm="1">
        <f t="array" ref="AC15">TREND('Total Pop'!$N19:$O19,'Total Pop'!$N$5:$O$5,'state calcs'!AC$1)</f>
        <v>4994916.9970761314</v>
      </c>
      <c r="AD15" s="91" cm="1">
        <f t="array" ref="AD15">TREND('Total Pop'!$N19:$O19,'Total Pop'!$N$5:$O$5,'state calcs'!AD$1)</f>
        <v>4968272.6990391091</v>
      </c>
      <c r="AE15" s="91" cm="1">
        <f t="array" ref="AE15">TREND('Total Pop'!$N19:$O19,'Total Pop'!$N$5:$O$5,'state calcs'!AE$1)</f>
        <v>4941628.4010020941</v>
      </c>
    </row>
    <row r="16" spans="1:31" x14ac:dyDescent="0.25">
      <c r="A16" s="91" t="s">
        <v>353</v>
      </c>
      <c r="B16" s="91" cm="1">
        <f t="array" ref="B16">TREND('Total Pop'!$I20:$J20,'Total Pop'!$I$5:$J$5,'state calcs'!B$1)</f>
        <v>2937837.9068259336</v>
      </c>
      <c r="C16" s="91" cm="1">
        <f t="array" ref="C16">TREND('Total Pop'!$I20:$J20,'Total Pop'!$I$5:$J$5,'state calcs'!C$1)</f>
        <v>2947904.8136518672</v>
      </c>
      <c r="D16" s="91" cm="1">
        <f t="array" ref="D16">TREND('Total Pop'!$I20:$J20,'Total Pop'!$I$5:$J$5,'state calcs'!D$1)</f>
        <v>2957971.7204778008</v>
      </c>
      <c r="E16" s="91" cm="1">
        <f t="array" ref="E16">TREND('Total Pop'!$I20:$J20,'Total Pop'!$I$5:$J$5,'state calcs'!E$1)</f>
        <v>2968038.6273037307</v>
      </c>
      <c r="F16" s="91" cm="1">
        <f t="array" ref="F16">TREND('Total Pop'!$J20:$K20,'Total Pop'!$J$5:$K$5,'state calcs'!F$1)</f>
        <v>2978105.5341296643</v>
      </c>
      <c r="G16" s="91" cm="1">
        <f t="array" ref="G16">TREND('Total Pop'!$J20:$K20,'Total Pop'!$J$5:$K$5,'state calcs'!G$1)</f>
        <v>2988172.4409555942</v>
      </c>
      <c r="H16" s="91" cm="1">
        <f t="array" ref="H16">TREND('Total Pop'!$J20:$K20,'Total Pop'!$J$5:$K$5,'state calcs'!H$1)</f>
        <v>2998239.3477815278</v>
      </c>
      <c r="I16" s="91" cm="1">
        <f t="array" ref="I16">TREND('Total Pop'!$J20:$K20,'Total Pop'!$J$5:$K$5,'state calcs'!I$1)</f>
        <v>3008306.2546074614</v>
      </c>
      <c r="J16" s="91" cm="1">
        <f t="array" ref="J16">TREND('Total Pop'!$J20:$K20,'Total Pop'!$J$5:$K$5,'state calcs'!J$1)</f>
        <v>3018373.1614333913</v>
      </c>
      <c r="K16" s="91" cm="1">
        <f t="array" ref="K16">TREND('Total Pop'!$K20:$L20,'Total Pop'!$K$5:$L$5,'state calcs'!K$1)</f>
        <v>3028440.0682593226</v>
      </c>
      <c r="L16" s="91" cm="1">
        <f t="array" ref="L16">TREND('Total Pop'!$K20:$L20,'Total Pop'!$K$5:$L$5,'state calcs'!L$1)</f>
        <v>3030314.6945713824</v>
      </c>
      <c r="M16" s="91" cm="1">
        <f t="array" ref="M16">TREND('Total Pop'!$K20:$L20,'Total Pop'!$K$5:$L$5,'state calcs'!M$1)</f>
        <v>3032189.3208834417</v>
      </c>
      <c r="N16" s="91" cm="1">
        <f t="array" ref="N16">TREND('Total Pop'!$K20:$L20,'Total Pop'!$K$5:$L$5,'state calcs'!N$1)</f>
        <v>3034063.9471955015</v>
      </c>
      <c r="O16" s="91" cm="1">
        <f t="array" ref="O16">TREND('Total Pop'!$K20:$L20,'Total Pop'!$K$5:$L$5,'state calcs'!O$1)</f>
        <v>3035938.5735075613</v>
      </c>
      <c r="P16" s="91" cm="1">
        <f t="array" ref="P16">TREND('Total Pop'!$L20:$M20,'Total Pop'!$L$5:$M$5,'state calcs'!P$1)</f>
        <v>3037813.1998196207</v>
      </c>
      <c r="Q16" s="91" cm="1">
        <f t="array" ref="Q16">TREND('Total Pop'!$L20:$M20,'Total Pop'!$L$5:$M$5,'state calcs'!Q$1)</f>
        <v>3039687.82613168</v>
      </c>
      <c r="R16" s="91" cm="1">
        <f t="array" ref="R16">TREND('Total Pop'!$L20:$M20,'Total Pop'!$L$5:$M$5,'state calcs'!R$1)</f>
        <v>3041562.4524437399</v>
      </c>
      <c r="S16" s="91" cm="1">
        <f t="array" ref="S16">TREND('Total Pop'!$L20:$M20,'Total Pop'!$L$5:$M$5,'state calcs'!S$1)</f>
        <v>3043437.0787557992</v>
      </c>
      <c r="T16" s="91" cm="1">
        <f t="array" ref="T16">TREND('Total Pop'!$L20:$M20,'Total Pop'!$L$5:$M$5,'state calcs'!T$1)</f>
        <v>3045311.7050678586</v>
      </c>
      <c r="U16" s="91" cm="1">
        <f t="array" ref="U16">TREND('Total Pop'!$M20:$N20,'Total Pop'!$M$5:$N$5,'state calcs'!U$1)</f>
        <v>3047186.3313799184</v>
      </c>
      <c r="V16" s="91" cm="1">
        <f t="array" ref="V16">TREND('Total Pop'!$M20:$N20,'Total Pop'!$M$5:$N$5,'state calcs'!V$1)</f>
        <v>3045479.797505728</v>
      </c>
      <c r="W16" s="91" cm="1">
        <f t="array" ref="W16">TREND('Total Pop'!$M20:$N20,'Total Pop'!$M$5:$N$5,'state calcs'!W$1)</f>
        <v>3043773.2636315371</v>
      </c>
      <c r="X16" s="91" cm="1">
        <f t="array" ref="X16">TREND('Total Pop'!$M20:$N20,'Total Pop'!$M$5:$N$5,'state calcs'!X$1)</f>
        <v>3042066.7297573462</v>
      </c>
      <c r="Y16" s="91" cm="1">
        <f t="array" ref="Y16">TREND('Total Pop'!$M20:$N20,'Total Pop'!$M$5:$N$5,'state calcs'!Y$1)</f>
        <v>3040360.1958831553</v>
      </c>
      <c r="Z16" s="91" cm="1">
        <f t="array" ref="Z16">TREND('Total Pop'!$N20:$O20,'Total Pop'!$N$5:$O$5,'state calcs'!Z$1)</f>
        <v>3038653.6620089645</v>
      </c>
      <c r="AA16" s="91" cm="1">
        <f t="array" ref="AA16">TREND('Total Pop'!$N20:$O20,'Total Pop'!$N$5:$O$5,'state calcs'!AA$1)</f>
        <v>3036947.128134774</v>
      </c>
      <c r="AB16" s="91" cm="1">
        <f t="array" ref="AB16">TREND('Total Pop'!$N20:$O20,'Total Pop'!$N$5:$O$5,'state calcs'!AB$1)</f>
        <v>3035240.5942605832</v>
      </c>
      <c r="AC16" s="91" cm="1">
        <f t="array" ref="AC16">TREND('Total Pop'!$N20:$O20,'Total Pop'!$N$5:$O$5,'state calcs'!AC$1)</f>
        <v>3033534.0603863923</v>
      </c>
      <c r="AD16" s="91" cm="1">
        <f t="array" ref="AD16">TREND('Total Pop'!$N20:$O20,'Total Pop'!$N$5:$O$5,'state calcs'!AD$1)</f>
        <v>3031827.5265122014</v>
      </c>
      <c r="AE16" s="91" cm="1">
        <f t="array" ref="AE16">TREND('Total Pop'!$N20:$O20,'Total Pop'!$N$5:$O$5,'state calcs'!AE$1)</f>
        <v>3030120.9926380105</v>
      </c>
    </row>
    <row r="17" spans="1:31" x14ac:dyDescent="0.25">
      <c r="A17" s="91" t="s">
        <v>355</v>
      </c>
      <c r="B17" s="91" cm="1">
        <f t="array" ref="B17">TREND('Total Pop'!$I21:$J21,'Total Pop'!$I$5:$J$5,'state calcs'!B$1)</f>
        <v>1420267.6204659231</v>
      </c>
      <c r="C17" s="91" cm="1">
        <f t="array" ref="C17">TREND('Total Pop'!$I21:$J21,'Total Pop'!$I$5:$J$5,'state calcs'!C$1)</f>
        <v>1425210.2409318443</v>
      </c>
      <c r="D17" s="91" cm="1">
        <f t="array" ref="D17">TREND('Total Pop'!$I21:$J21,'Total Pop'!$I$5:$J$5,'state calcs'!D$1)</f>
        <v>1430152.8613977674</v>
      </c>
      <c r="E17" s="91" cm="1">
        <f t="array" ref="E17">TREND('Total Pop'!$I21:$J21,'Total Pop'!$I$5:$J$5,'state calcs'!E$1)</f>
        <v>1435095.4818636905</v>
      </c>
      <c r="F17" s="91" cm="1">
        <f t="array" ref="F17">TREND('Total Pop'!$J21:$K21,'Total Pop'!$J$5:$K$5,'state calcs'!F$1)</f>
        <v>1440038.1023296136</v>
      </c>
      <c r="G17" s="91" cm="1">
        <f t="array" ref="G17">TREND('Total Pop'!$J21:$K21,'Total Pop'!$J$5:$K$5,'state calcs'!G$1)</f>
        <v>1444980.7227955367</v>
      </c>
      <c r="H17" s="91" cm="1">
        <f t="array" ref="H17">TREND('Total Pop'!$J21:$K21,'Total Pop'!$J$5:$K$5,'state calcs'!H$1)</f>
        <v>1449923.343261458</v>
      </c>
      <c r="I17" s="91" cm="1">
        <f t="array" ref="I17">TREND('Total Pop'!$J21:$K21,'Total Pop'!$J$5:$K$5,'state calcs'!I$1)</f>
        <v>1454865.9637273811</v>
      </c>
      <c r="J17" s="91" cm="1">
        <f t="array" ref="J17">TREND('Total Pop'!$J21:$K21,'Total Pop'!$J$5:$K$5,'state calcs'!J$1)</f>
        <v>1459808.5841933042</v>
      </c>
      <c r="K17" s="91" cm="1">
        <f t="array" ref="K17">TREND('Total Pop'!$K21:$L21,'Total Pop'!$K$5:$L$5,'state calcs'!K$1)</f>
        <v>1464751.2046592264</v>
      </c>
      <c r="L17" s="91" cm="1">
        <f t="array" ref="L17">TREND('Total Pop'!$K21:$L21,'Total Pop'!$K$5:$L$5,'state calcs'!L$1)</f>
        <v>1465761.9473601296</v>
      </c>
      <c r="M17" s="91" cm="1">
        <f t="array" ref="M17">TREND('Total Pop'!$K21:$L21,'Total Pop'!$K$5:$L$5,'state calcs'!M$1)</f>
        <v>1466772.6900610328</v>
      </c>
      <c r="N17" s="91" cm="1">
        <f t="array" ref="N17">TREND('Total Pop'!$K21:$L21,'Total Pop'!$K$5:$L$5,'state calcs'!N$1)</f>
        <v>1467783.432761936</v>
      </c>
      <c r="O17" s="91" cm="1">
        <f t="array" ref="O17">TREND('Total Pop'!$K21:$L21,'Total Pop'!$K$5:$L$5,'state calcs'!O$1)</f>
        <v>1468794.1754628392</v>
      </c>
      <c r="P17" s="91" cm="1">
        <f t="array" ref="P17">TREND('Total Pop'!$L21:$M21,'Total Pop'!$L$5:$M$5,'state calcs'!P$1)</f>
        <v>1469804.9181637424</v>
      </c>
      <c r="Q17" s="91" cm="1">
        <f t="array" ref="Q17">TREND('Total Pop'!$L21:$M21,'Total Pop'!$L$5:$M$5,'state calcs'!Q$1)</f>
        <v>1470815.6608646458</v>
      </c>
      <c r="R17" s="91" cm="1">
        <f t="array" ref="R17">TREND('Total Pop'!$L21:$M21,'Total Pop'!$L$5:$M$5,'state calcs'!R$1)</f>
        <v>1471826.4035655491</v>
      </c>
      <c r="S17" s="91" cm="1">
        <f t="array" ref="S17">TREND('Total Pop'!$L21:$M21,'Total Pop'!$L$5:$M$5,'state calcs'!S$1)</f>
        <v>1472837.1462664523</v>
      </c>
      <c r="T17" s="91" cm="1">
        <f t="array" ref="T17">TREND('Total Pop'!$L21:$M21,'Total Pop'!$L$5:$M$5,'state calcs'!T$1)</f>
        <v>1473847.8889673555</v>
      </c>
      <c r="U17" s="91" cm="1">
        <f t="array" ref="U17">TREND('Total Pop'!$M21:$N21,'Total Pop'!$M$5:$N$5,'state calcs'!U$1)</f>
        <v>1474858.6316682582</v>
      </c>
      <c r="V17" s="91" cm="1">
        <f t="array" ref="V17">TREND('Total Pop'!$M21:$N21,'Total Pop'!$M$5:$N$5,'state calcs'!V$1)</f>
        <v>1474136.1992549016</v>
      </c>
      <c r="W17" s="91" cm="1">
        <f t="array" ref="W17">TREND('Total Pop'!$M21:$N21,'Total Pop'!$M$5:$N$5,'state calcs'!W$1)</f>
        <v>1473413.7668415448</v>
      </c>
      <c r="X17" s="91" cm="1">
        <f t="array" ref="X17">TREND('Total Pop'!$M21:$N21,'Total Pop'!$M$5:$N$5,'state calcs'!X$1)</f>
        <v>1472691.3344281879</v>
      </c>
      <c r="Y17" s="91" cm="1">
        <f t="array" ref="Y17">TREND('Total Pop'!$M21:$N21,'Total Pop'!$M$5:$N$5,'state calcs'!Y$1)</f>
        <v>1471968.9020148311</v>
      </c>
      <c r="Z17" s="91" cm="1">
        <f t="array" ref="Z17">TREND('Total Pop'!$N21:$O21,'Total Pop'!$N$5:$O$5,'state calcs'!Z$1)</f>
        <v>1471246.4696014747</v>
      </c>
      <c r="AA17" s="91" cm="1">
        <f t="array" ref="AA17">TREND('Total Pop'!$N21:$O21,'Total Pop'!$N$5:$O$5,'state calcs'!AA$1)</f>
        <v>1470524.0371881181</v>
      </c>
      <c r="AB17" s="91" cm="1">
        <f t="array" ref="AB17">TREND('Total Pop'!$N21:$O21,'Total Pop'!$N$5:$O$5,'state calcs'!AB$1)</f>
        <v>1469801.6047747612</v>
      </c>
      <c r="AC17" s="91" cm="1">
        <f t="array" ref="AC17">TREND('Total Pop'!$N21:$O21,'Total Pop'!$N$5:$O$5,'state calcs'!AC$1)</f>
        <v>1469079.1723614044</v>
      </c>
      <c r="AD17" s="91" cm="1">
        <f t="array" ref="AD17">TREND('Total Pop'!$N21:$O21,'Total Pop'!$N$5:$O$5,'state calcs'!AD$1)</f>
        <v>1468356.7399480476</v>
      </c>
      <c r="AE17" s="91" cm="1">
        <f t="array" ref="AE17">TREND('Total Pop'!$N21:$O21,'Total Pop'!$N$5:$O$5,'state calcs'!AE$1)</f>
        <v>1467634.3075346907</v>
      </c>
    </row>
    <row r="18" spans="1:31" x14ac:dyDescent="0.25">
      <c r="A18" s="91" t="s">
        <v>357</v>
      </c>
      <c r="B18" s="91" cm="1">
        <f t="array" ref="B18">TREND('Total Pop'!$I22:$J22,'Total Pop'!$I$5:$J$5,'state calcs'!B$1)</f>
        <v>1280119.6366429888</v>
      </c>
      <c r="C18" s="91" cm="1">
        <f t="array" ref="C18">TREND('Total Pop'!$I22:$J22,'Total Pop'!$I$5:$J$5,'state calcs'!C$1)</f>
        <v>1282938.2732859775</v>
      </c>
      <c r="D18" s="91" cm="1">
        <f t="array" ref="D18">TREND('Total Pop'!$I22:$J22,'Total Pop'!$I$5:$J$5,'state calcs'!D$1)</f>
        <v>1285756.9099289663</v>
      </c>
      <c r="E18" s="91" cm="1">
        <f t="array" ref="E18">TREND('Total Pop'!$I22:$J22,'Total Pop'!$I$5:$J$5,'state calcs'!E$1)</f>
        <v>1288575.5465719551</v>
      </c>
      <c r="F18" s="91" cm="1">
        <f t="array" ref="F18">TREND('Total Pop'!$J22:$K22,'Total Pop'!$J$5:$K$5,'state calcs'!F$1)</f>
        <v>1291394.1832149429</v>
      </c>
      <c r="G18" s="91" cm="1">
        <f t="array" ref="G18">TREND('Total Pop'!$J22:$K22,'Total Pop'!$J$5:$K$5,'state calcs'!G$1)</f>
        <v>1294212.8198579317</v>
      </c>
      <c r="H18" s="91" cm="1">
        <f t="array" ref="H18">TREND('Total Pop'!$J22:$K22,'Total Pop'!$J$5:$K$5,'state calcs'!H$1)</f>
        <v>1297031.4565009205</v>
      </c>
      <c r="I18" s="91" cm="1">
        <f t="array" ref="I18">TREND('Total Pop'!$J22:$K22,'Total Pop'!$J$5:$K$5,'state calcs'!I$1)</f>
        <v>1299850.0931439092</v>
      </c>
      <c r="J18" s="91" cm="1">
        <f t="array" ref="J18">TREND('Total Pop'!$J22:$K22,'Total Pop'!$J$5:$K$5,'state calcs'!J$1)</f>
        <v>1302668.729786898</v>
      </c>
      <c r="K18" s="91" cm="1">
        <f t="array" ref="K18">TREND('Total Pop'!$K22:$L22,'Total Pop'!$K$5:$L$5,'state calcs'!K$1)</f>
        <v>1305487.3664298863</v>
      </c>
      <c r="L18" s="91" cm="1">
        <f t="array" ref="L18">TREND('Total Pop'!$K22:$L22,'Total Pop'!$K$5:$L$5,'state calcs'!L$1)</f>
        <v>1304183.4413111908</v>
      </c>
      <c r="M18" s="91" cm="1">
        <f t="array" ref="M18">TREND('Total Pop'!$K22:$L22,'Total Pop'!$K$5:$L$5,'state calcs'!M$1)</f>
        <v>1302879.5161924958</v>
      </c>
      <c r="N18" s="91" cm="1">
        <f t="array" ref="N18">TREND('Total Pop'!$K22:$L22,'Total Pop'!$K$5:$L$5,'state calcs'!N$1)</f>
        <v>1301575.5910738008</v>
      </c>
      <c r="O18" s="91" cm="1">
        <f t="array" ref="O18">TREND('Total Pop'!$K22:$L22,'Total Pop'!$K$5:$L$5,'state calcs'!O$1)</f>
        <v>1300271.6659551058</v>
      </c>
      <c r="P18" s="91" cm="1">
        <f t="array" ref="P18">TREND('Total Pop'!$L22:$M22,'Total Pop'!$L$5:$M$5,'state calcs'!P$1)</f>
        <v>1298967.7408364108</v>
      </c>
      <c r="Q18" s="91" cm="1">
        <f t="array" ref="Q18">TREND('Total Pop'!$L22:$M22,'Total Pop'!$L$5:$M$5,'state calcs'!Q$1)</f>
        <v>1297663.8157177158</v>
      </c>
      <c r="R18" s="91" cm="1">
        <f t="array" ref="R18">TREND('Total Pop'!$L22:$M22,'Total Pop'!$L$5:$M$5,'state calcs'!R$1)</f>
        <v>1296359.8905990203</v>
      </c>
      <c r="S18" s="91" cm="1">
        <f t="array" ref="S18">TREND('Total Pop'!$L22:$M22,'Total Pop'!$L$5:$M$5,'state calcs'!S$1)</f>
        <v>1295055.9654803253</v>
      </c>
      <c r="T18" s="91" cm="1">
        <f t="array" ref="T18">TREND('Total Pop'!$L22:$M22,'Total Pop'!$L$5:$M$5,'state calcs'!T$1)</f>
        <v>1293752.0403616303</v>
      </c>
      <c r="U18" s="91" cm="1">
        <f t="array" ref="U18">TREND('Total Pop'!$M22:$N22,'Total Pop'!$M$5:$N$5,'state calcs'!U$1)</f>
        <v>1292448.1152429348</v>
      </c>
      <c r="V18" s="91" cm="1">
        <f t="array" ref="V18">TREND('Total Pop'!$M22:$N22,'Total Pop'!$M$5:$N$5,'state calcs'!V$1)</f>
        <v>1289657.8630127432</v>
      </c>
      <c r="W18" s="91" cm="1">
        <f t="array" ref="W18">TREND('Total Pop'!$M22:$N22,'Total Pop'!$M$5:$N$5,'state calcs'!W$1)</f>
        <v>1286867.6107825525</v>
      </c>
      <c r="X18" s="91" cm="1">
        <f t="array" ref="X18">TREND('Total Pop'!$M22:$N22,'Total Pop'!$M$5:$N$5,'state calcs'!X$1)</f>
        <v>1284077.3585523609</v>
      </c>
      <c r="Y18" s="91" cm="1">
        <f t="array" ref="Y18">TREND('Total Pop'!$M22:$N22,'Total Pop'!$M$5:$N$5,'state calcs'!Y$1)</f>
        <v>1281287.1063221702</v>
      </c>
      <c r="Z18" s="91" cm="1">
        <f t="array" ref="Z18">TREND('Total Pop'!$N22:$O22,'Total Pop'!$N$5:$O$5,'state calcs'!Z$1)</f>
        <v>1278496.8540919796</v>
      </c>
      <c r="AA18" s="91" cm="1">
        <f t="array" ref="AA18">TREND('Total Pop'!$N22:$O22,'Total Pop'!$N$5:$O$5,'state calcs'!AA$1)</f>
        <v>1275706.6018617889</v>
      </c>
      <c r="AB18" s="91" cm="1">
        <f t="array" ref="AB18">TREND('Total Pop'!$N22:$O22,'Total Pop'!$N$5:$O$5,'state calcs'!AB$1)</f>
        <v>1272916.3496315973</v>
      </c>
      <c r="AC18" s="91" cm="1">
        <f t="array" ref="AC18">TREND('Total Pop'!$N22:$O22,'Total Pop'!$N$5:$O$5,'state calcs'!AC$1)</f>
        <v>1270126.0974014066</v>
      </c>
      <c r="AD18" s="91" cm="1">
        <f t="array" ref="AD18">TREND('Total Pop'!$N22:$O22,'Total Pop'!$N$5:$O$5,'state calcs'!AD$1)</f>
        <v>1267335.8451712159</v>
      </c>
      <c r="AE18" s="91" cm="1">
        <f t="array" ref="AE18">TREND('Total Pop'!$N22:$O22,'Total Pop'!$N$5:$O$5,'state calcs'!AE$1)</f>
        <v>1264545.5929410243</v>
      </c>
    </row>
    <row r="19" spans="1:31" x14ac:dyDescent="0.25">
      <c r="A19" s="91" t="s">
        <v>359</v>
      </c>
      <c r="B19" s="91" cm="1">
        <f t="array" ref="B19">TREND('Total Pop'!$I23:$J23,'Total Pop'!$I$5:$J$5,'state calcs'!B$1)</f>
        <v>2002631.8631744683</v>
      </c>
      <c r="C19" s="91" cm="1">
        <f t="array" ref="C19">TREND('Total Pop'!$I23:$J23,'Total Pop'!$I$5:$J$5,'state calcs'!C$1)</f>
        <v>2008306.7263489347</v>
      </c>
      <c r="D19" s="91" cm="1">
        <f t="array" ref="D19">TREND('Total Pop'!$I23:$J23,'Total Pop'!$I$5:$J$5,'state calcs'!D$1)</f>
        <v>2013981.589523403</v>
      </c>
      <c r="E19" s="91" cm="1">
        <f t="array" ref="E19">TREND('Total Pop'!$I23:$J23,'Total Pop'!$I$5:$J$5,'state calcs'!E$1)</f>
        <v>2019656.4526978694</v>
      </c>
      <c r="F19" s="91" cm="1">
        <f t="array" ref="F19">TREND('Total Pop'!$J23:$K23,'Total Pop'!$J$5:$K$5,'state calcs'!F$1)</f>
        <v>2025331.3158723358</v>
      </c>
      <c r="G19" s="91" cm="1">
        <f t="array" ref="G19">TREND('Total Pop'!$J23:$K23,'Total Pop'!$J$5:$K$5,'state calcs'!G$1)</f>
        <v>2031006.1790468022</v>
      </c>
      <c r="H19" s="91" cm="1">
        <f t="array" ref="H19">TREND('Total Pop'!$J23:$K23,'Total Pop'!$J$5:$K$5,'state calcs'!H$1)</f>
        <v>2036681.0422212705</v>
      </c>
      <c r="I19" s="91" cm="1">
        <f t="array" ref="I19">TREND('Total Pop'!$J23:$K23,'Total Pop'!$J$5:$K$5,'state calcs'!I$1)</f>
        <v>2042355.9053957388</v>
      </c>
      <c r="J19" s="91" cm="1">
        <f t="array" ref="J19">TREND('Total Pop'!$J23:$K23,'Total Pop'!$J$5:$K$5,'state calcs'!J$1)</f>
        <v>2048030.7685702052</v>
      </c>
      <c r="K19" s="91" cm="1">
        <f t="array" ref="K19">TREND('Total Pop'!$K23:$L23,'Total Pop'!$K$5:$L$5,'state calcs'!K$1)</f>
        <v>2053705.6317446737</v>
      </c>
      <c r="L19" s="91" cm="1">
        <f t="array" ref="L19">TREND('Total Pop'!$K23:$L23,'Total Pop'!$K$5:$L$5,'state calcs'!L$1)</f>
        <v>2053363.1358552668</v>
      </c>
      <c r="M19" s="91" cm="1">
        <f t="array" ref="M19">TREND('Total Pop'!$K23:$L23,'Total Pop'!$K$5:$L$5,'state calcs'!M$1)</f>
        <v>2053020.6399658602</v>
      </c>
      <c r="N19" s="91" cm="1">
        <f t="array" ref="N19">TREND('Total Pop'!$K23:$L23,'Total Pop'!$K$5:$L$5,'state calcs'!N$1)</f>
        <v>2052678.1440764531</v>
      </c>
      <c r="O19" s="91" cm="1">
        <f t="array" ref="O19">TREND('Total Pop'!$K23:$L23,'Total Pop'!$K$5:$L$5,'state calcs'!O$1)</f>
        <v>2052335.6481870464</v>
      </c>
      <c r="P19" s="91" cm="1">
        <f t="array" ref="P19">TREND('Total Pop'!$L23:$M23,'Total Pop'!$L$5:$M$5,'state calcs'!P$1)</f>
        <v>2051993.1522976398</v>
      </c>
      <c r="Q19" s="91" cm="1">
        <f t="array" ref="Q19">TREND('Total Pop'!$L23:$M23,'Total Pop'!$L$5:$M$5,'state calcs'!Q$1)</f>
        <v>2051650.6564082329</v>
      </c>
      <c r="R19" s="91" cm="1">
        <f t="array" ref="R19">TREND('Total Pop'!$L23:$M23,'Total Pop'!$L$5:$M$5,'state calcs'!R$1)</f>
        <v>2051308.160518826</v>
      </c>
      <c r="S19" s="91" cm="1">
        <f t="array" ref="S19">TREND('Total Pop'!$L23:$M23,'Total Pop'!$L$5:$M$5,'state calcs'!S$1)</f>
        <v>2050965.6646294191</v>
      </c>
      <c r="T19" s="91" cm="1">
        <f t="array" ref="T19">TREND('Total Pop'!$L23:$M23,'Total Pop'!$L$5:$M$5,'state calcs'!T$1)</f>
        <v>2050623.1687400122</v>
      </c>
      <c r="U19" s="91" cm="1">
        <f t="array" ref="U19">TREND('Total Pop'!$M23:$N23,'Total Pop'!$M$5:$N$5,'state calcs'!U$1)</f>
        <v>2050280.672850606</v>
      </c>
      <c r="V19" s="91" cm="1">
        <f t="array" ref="V19">TREND('Total Pop'!$M23:$N23,'Total Pop'!$M$5:$N$5,'state calcs'!V$1)</f>
        <v>2047540.2569723362</v>
      </c>
      <c r="W19" s="91" cm="1">
        <f t="array" ref="W19">TREND('Total Pop'!$M23:$N23,'Total Pop'!$M$5:$N$5,'state calcs'!W$1)</f>
        <v>2044799.8410940664</v>
      </c>
      <c r="X19" s="91" cm="1">
        <f t="array" ref="X19">TREND('Total Pop'!$M23:$N23,'Total Pop'!$M$5:$N$5,'state calcs'!X$1)</f>
        <v>2042059.4252157966</v>
      </c>
      <c r="Y19" s="91" cm="1">
        <f t="array" ref="Y19">TREND('Total Pop'!$M23:$N23,'Total Pop'!$M$5:$N$5,'state calcs'!Y$1)</f>
        <v>2039319.0093375267</v>
      </c>
      <c r="Z19" s="91" cm="1">
        <f t="array" ref="Z19">TREND('Total Pop'!$N23:$O23,'Total Pop'!$N$5:$O$5,'state calcs'!Z$1)</f>
        <v>2036578.593459256</v>
      </c>
      <c r="AA19" s="91" cm="1">
        <f t="array" ref="AA19">TREND('Total Pop'!$N23:$O23,'Total Pop'!$N$5:$O$5,'state calcs'!AA$1)</f>
        <v>2033838.1775809862</v>
      </c>
      <c r="AB19" s="91" cm="1">
        <f t="array" ref="AB19">TREND('Total Pop'!$N23:$O23,'Total Pop'!$N$5:$O$5,'state calcs'!AB$1)</f>
        <v>2031097.7617027164</v>
      </c>
      <c r="AC19" s="91" cm="1">
        <f t="array" ref="AC19">TREND('Total Pop'!$N23:$O23,'Total Pop'!$N$5:$O$5,'state calcs'!AC$1)</f>
        <v>2028357.3458244465</v>
      </c>
      <c r="AD19" s="91" cm="1">
        <f t="array" ref="AD19">TREND('Total Pop'!$N23:$O23,'Total Pop'!$N$5:$O$5,'state calcs'!AD$1)</f>
        <v>2025616.9299461767</v>
      </c>
      <c r="AE19" s="91" cm="1">
        <f t="array" ref="AE19">TREND('Total Pop'!$N23:$O23,'Total Pop'!$N$5:$O$5,'state calcs'!AE$1)</f>
        <v>2022876.5140679069</v>
      </c>
    </row>
    <row r="20" spans="1:31" x14ac:dyDescent="0.25">
      <c r="A20" s="91" t="s">
        <v>361</v>
      </c>
      <c r="B20" s="91" cm="1">
        <f t="array" ref="B20">TREND('Total Pop'!$I24:$J24,'Total Pop'!$I$5:$J$5,'state calcs'!B$1)</f>
        <v>2080782.1270140409</v>
      </c>
      <c r="C20" s="91" cm="1">
        <f t="array" ref="C20">TREND('Total Pop'!$I24:$J24,'Total Pop'!$I$5:$J$5,'state calcs'!C$1)</f>
        <v>2085017.25402808</v>
      </c>
      <c r="D20" s="91" cm="1">
        <f t="array" ref="D20">TREND('Total Pop'!$I24:$J24,'Total Pop'!$I$5:$J$5,'state calcs'!D$1)</f>
        <v>2089252.3810421191</v>
      </c>
      <c r="E20" s="91" cm="1">
        <f t="array" ref="E20">TREND('Total Pop'!$I24:$J24,'Total Pop'!$I$5:$J$5,'state calcs'!E$1)</f>
        <v>2093487.5080561582</v>
      </c>
      <c r="F20" s="91" cm="1">
        <f t="array" ref="F20">TREND('Total Pop'!$J24:$K24,'Total Pop'!$J$5:$K$5,'state calcs'!F$1)</f>
        <v>2097722.6350701973</v>
      </c>
      <c r="G20" s="91" cm="1">
        <f t="array" ref="G20">TREND('Total Pop'!$J24:$K24,'Total Pop'!$J$5:$K$5,'state calcs'!G$1)</f>
        <v>2101957.7620842382</v>
      </c>
      <c r="H20" s="91" cm="1">
        <f t="array" ref="H20">TREND('Total Pop'!$J24:$K24,'Total Pop'!$J$5:$K$5,'state calcs'!H$1)</f>
        <v>2106192.8890982773</v>
      </c>
      <c r="I20" s="91" cm="1">
        <f t="array" ref="I20">TREND('Total Pop'!$J24:$K24,'Total Pop'!$J$5:$K$5,'state calcs'!I$1)</f>
        <v>2110428.0161123164</v>
      </c>
      <c r="J20" s="91" cm="1">
        <f t="array" ref="J20">TREND('Total Pop'!$J24:$K24,'Total Pop'!$J$5:$K$5,'state calcs'!J$1)</f>
        <v>2114663.1431263555</v>
      </c>
      <c r="K20" s="91" cm="1">
        <f t="array" ref="K20">TREND('Total Pop'!$K24:$L24,'Total Pop'!$K$5:$L$5,'state calcs'!K$1)</f>
        <v>2118898.2701403946</v>
      </c>
      <c r="L20" s="91" cm="1">
        <f t="array" ref="L20">TREND('Total Pop'!$K24:$L24,'Total Pop'!$K$5:$L$5,'state calcs'!L$1)</f>
        <v>2116319.2736038789</v>
      </c>
      <c r="M20" s="91" cm="1">
        <f t="array" ref="M20">TREND('Total Pop'!$K24:$L24,'Total Pop'!$K$5:$L$5,'state calcs'!M$1)</f>
        <v>2113740.2770673623</v>
      </c>
      <c r="N20" s="91" cm="1">
        <f t="array" ref="N20">TREND('Total Pop'!$K24:$L24,'Total Pop'!$K$5:$L$5,'state calcs'!N$1)</f>
        <v>2111161.2805308467</v>
      </c>
      <c r="O20" s="91" cm="1">
        <f t="array" ref="O20">TREND('Total Pop'!$K24:$L24,'Total Pop'!$K$5:$L$5,'state calcs'!O$1)</f>
        <v>2108582.283994331</v>
      </c>
      <c r="P20" s="91" cm="1">
        <f t="array" ref="P20">TREND('Total Pop'!$L24:$M24,'Total Pop'!$L$5:$M$5,'state calcs'!P$1)</f>
        <v>2106003.2874578144</v>
      </c>
      <c r="Q20" s="91" cm="1">
        <f t="array" ref="Q20">TREND('Total Pop'!$L24:$M24,'Total Pop'!$L$5:$M$5,'state calcs'!Q$1)</f>
        <v>2103424.2909212988</v>
      </c>
      <c r="R20" s="91" cm="1">
        <f t="array" ref="R20">TREND('Total Pop'!$L24:$M24,'Total Pop'!$L$5:$M$5,'state calcs'!R$1)</f>
        <v>2100845.2943847822</v>
      </c>
      <c r="S20" s="91" cm="1">
        <f t="array" ref="S20">TREND('Total Pop'!$L24:$M24,'Total Pop'!$L$5:$M$5,'state calcs'!S$1)</f>
        <v>2098266.2978482665</v>
      </c>
      <c r="T20" s="91" cm="1">
        <f t="array" ref="T20">TREND('Total Pop'!$L24:$M24,'Total Pop'!$L$5:$M$5,'state calcs'!T$1)</f>
        <v>2095687.30131175</v>
      </c>
      <c r="U20" s="91" cm="1">
        <f t="array" ref="U20">TREND('Total Pop'!$M24:$N24,'Total Pop'!$M$5:$N$5,'state calcs'!U$1)</f>
        <v>2093108.3047752324</v>
      </c>
      <c r="V20" s="91" cm="1">
        <f t="array" ref="V20">TREND('Total Pop'!$M24:$N24,'Total Pop'!$M$5:$N$5,'state calcs'!V$1)</f>
        <v>2088137.8680514582</v>
      </c>
      <c r="W20" s="91" cm="1">
        <f t="array" ref="W20">TREND('Total Pop'!$M24:$N24,'Total Pop'!$M$5:$N$5,'state calcs'!W$1)</f>
        <v>2083167.4313276839</v>
      </c>
      <c r="X20" s="91" cm="1">
        <f t="array" ref="X20">TREND('Total Pop'!$M24:$N24,'Total Pop'!$M$5:$N$5,'state calcs'!X$1)</f>
        <v>2078196.9946039096</v>
      </c>
      <c r="Y20" s="91" cm="1">
        <f t="array" ref="Y20">TREND('Total Pop'!$M24:$N24,'Total Pop'!$M$5:$N$5,'state calcs'!Y$1)</f>
        <v>2073226.5578801353</v>
      </c>
      <c r="Z20" s="91" cm="1">
        <f t="array" ref="Z20">TREND('Total Pop'!$N24:$O24,'Total Pop'!$N$5:$O$5,'state calcs'!Z$1)</f>
        <v>2068256.121156361</v>
      </c>
      <c r="AA20" s="91" cm="1">
        <f t="array" ref="AA20">TREND('Total Pop'!$N24:$O24,'Total Pop'!$N$5:$O$5,'state calcs'!AA$1)</f>
        <v>2063285.6844325867</v>
      </c>
      <c r="AB20" s="91" cm="1">
        <f t="array" ref="AB20">TREND('Total Pop'!$N24:$O24,'Total Pop'!$N$5:$O$5,'state calcs'!AB$1)</f>
        <v>2058315.2477088124</v>
      </c>
      <c r="AC20" s="91" cm="1">
        <f t="array" ref="AC20">TREND('Total Pop'!$N24:$O24,'Total Pop'!$N$5:$O$5,'state calcs'!AC$1)</f>
        <v>2053344.8109850381</v>
      </c>
      <c r="AD20" s="91" cm="1">
        <f t="array" ref="AD20">TREND('Total Pop'!$N24:$O24,'Total Pop'!$N$5:$O$5,'state calcs'!AD$1)</f>
        <v>2048374.3742612638</v>
      </c>
      <c r="AE20" s="91" cm="1">
        <f t="array" ref="AE20">TREND('Total Pop'!$N24:$O24,'Total Pop'!$N$5:$O$5,'state calcs'!AE$1)</f>
        <v>2043403.9375374895</v>
      </c>
    </row>
    <row r="21" spans="1:31" x14ac:dyDescent="0.25">
      <c r="A21" s="91" t="s">
        <v>363</v>
      </c>
      <c r="B21" s="91" cm="1">
        <f t="array" ref="B21">TREND('Total Pop'!$I25:$J25,'Total Pop'!$I$5:$J$5,'state calcs'!B$1)</f>
        <v>741524.86882226123</v>
      </c>
      <c r="C21" s="91" cm="1">
        <f t="array" ref="C21">TREND('Total Pop'!$I25:$J25,'Total Pop'!$I$5:$J$5,'state calcs'!C$1)</f>
        <v>742933.73764452245</v>
      </c>
      <c r="D21" s="91" cm="1">
        <f t="array" ref="D21">TREND('Total Pop'!$I25:$J25,'Total Pop'!$I$5:$J$5,'state calcs'!D$1)</f>
        <v>744342.60646678414</v>
      </c>
      <c r="E21" s="91" cm="1">
        <f t="array" ref="E21">TREND('Total Pop'!$I25:$J25,'Total Pop'!$I$5:$J$5,'state calcs'!E$1)</f>
        <v>745751.47528904537</v>
      </c>
      <c r="F21" s="91" cm="1">
        <f t="array" ref="F21">TREND('Total Pop'!$J25:$K25,'Total Pop'!$J$5:$K$5,'state calcs'!F$1)</f>
        <v>747160.34411130659</v>
      </c>
      <c r="G21" s="91" cm="1">
        <f t="array" ref="G21">TREND('Total Pop'!$J25:$K25,'Total Pop'!$J$5:$K$5,'state calcs'!G$1)</f>
        <v>748569.21293356782</v>
      </c>
      <c r="H21" s="91" cm="1">
        <f t="array" ref="H21">TREND('Total Pop'!$J25:$K25,'Total Pop'!$J$5:$K$5,'state calcs'!H$1)</f>
        <v>749978.08175582904</v>
      </c>
      <c r="I21" s="91" cm="1">
        <f t="array" ref="I21">TREND('Total Pop'!$J25:$K25,'Total Pop'!$J$5:$K$5,'state calcs'!I$1)</f>
        <v>751386.95057809027</v>
      </c>
      <c r="J21" s="91" cm="1">
        <f t="array" ref="J21">TREND('Total Pop'!$J25:$K25,'Total Pop'!$J$5:$K$5,'state calcs'!J$1)</f>
        <v>752795.81940035149</v>
      </c>
      <c r="K21" s="91" cm="1">
        <f t="array" ref="K21">TREND('Total Pop'!$K25:$L25,'Total Pop'!$K$5:$L$5,'state calcs'!K$1)</f>
        <v>754204.68822261225</v>
      </c>
      <c r="L21" s="91" cm="1">
        <f t="array" ref="L21">TREND('Total Pop'!$K25:$L25,'Total Pop'!$K$5:$L$5,'state calcs'!L$1)</f>
        <v>753153.02413664013</v>
      </c>
      <c r="M21" s="91" cm="1">
        <f t="array" ref="M21">TREND('Total Pop'!$K25:$L25,'Total Pop'!$K$5:$L$5,'state calcs'!M$1)</f>
        <v>752101.36005066801</v>
      </c>
      <c r="N21" s="91" cm="1">
        <f t="array" ref="N21">TREND('Total Pop'!$K25:$L25,'Total Pop'!$K$5:$L$5,'state calcs'!N$1)</f>
        <v>751049.69596469589</v>
      </c>
      <c r="O21" s="91" cm="1">
        <f t="array" ref="O21">TREND('Total Pop'!$K25:$L25,'Total Pop'!$K$5:$L$5,'state calcs'!O$1)</f>
        <v>749998.03187872376</v>
      </c>
      <c r="P21" s="91" cm="1">
        <f t="array" ref="P21">TREND('Total Pop'!$L25:$M25,'Total Pop'!$L$5:$M$5,'state calcs'!P$1)</f>
        <v>748946.36779275117</v>
      </c>
      <c r="Q21" s="91" cm="1">
        <f t="array" ref="Q21">TREND('Total Pop'!$L25:$M25,'Total Pop'!$L$5:$M$5,'state calcs'!Q$1)</f>
        <v>747894.70370677905</v>
      </c>
      <c r="R21" s="91" cm="1">
        <f t="array" ref="R21">TREND('Total Pop'!$L25:$M25,'Total Pop'!$L$5:$M$5,'state calcs'!R$1)</f>
        <v>746843.03962080693</v>
      </c>
      <c r="S21" s="91" cm="1">
        <f t="array" ref="S21">TREND('Total Pop'!$L25:$M25,'Total Pop'!$L$5:$M$5,'state calcs'!S$1)</f>
        <v>745791.37553483434</v>
      </c>
      <c r="T21" s="91" cm="1">
        <f t="array" ref="T21">TREND('Total Pop'!$L25:$M25,'Total Pop'!$L$5:$M$5,'state calcs'!T$1)</f>
        <v>744739.71144886222</v>
      </c>
      <c r="U21" s="91" cm="1">
        <f t="array" ref="U21">TREND('Total Pop'!$M25:$N25,'Total Pop'!$M$5:$N$5,'state calcs'!U$1)</f>
        <v>743688.04736289009</v>
      </c>
      <c r="V21" s="91" cm="1">
        <f t="array" ref="V21">TREND('Total Pop'!$M25:$N25,'Total Pop'!$M$5:$N$5,'state calcs'!V$1)</f>
        <v>741791.75314565981</v>
      </c>
      <c r="W21" s="91" cm="1">
        <f t="array" ref="W21">TREND('Total Pop'!$M25:$N25,'Total Pop'!$M$5:$N$5,'state calcs'!W$1)</f>
        <v>739895.45892842999</v>
      </c>
      <c r="X21" s="91" cm="1">
        <f t="array" ref="X21">TREND('Total Pop'!$M25:$N25,'Total Pop'!$M$5:$N$5,'state calcs'!X$1)</f>
        <v>737999.1647111997</v>
      </c>
      <c r="Y21" s="91" cm="1">
        <f t="array" ref="Y21">TREND('Total Pop'!$M25:$N25,'Total Pop'!$M$5:$N$5,'state calcs'!Y$1)</f>
        <v>736102.87049396941</v>
      </c>
      <c r="Z21" s="91" cm="1">
        <f t="array" ref="Z21">TREND('Total Pop'!$N25:$O25,'Total Pop'!$N$5:$O$5,'state calcs'!Z$1)</f>
        <v>734206.57627673959</v>
      </c>
      <c r="AA21" s="91" cm="1">
        <f t="array" ref="AA21">TREND('Total Pop'!$N25:$O25,'Total Pop'!$N$5:$O$5,'state calcs'!AA$1)</f>
        <v>732310.28205950931</v>
      </c>
      <c r="AB21" s="91" cm="1">
        <f t="array" ref="AB21">TREND('Total Pop'!$N25:$O25,'Total Pop'!$N$5:$O$5,'state calcs'!AB$1)</f>
        <v>730413.98784227949</v>
      </c>
      <c r="AC21" s="91" cm="1">
        <f t="array" ref="AC21">TREND('Total Pop'!$N25:$O25,'Total Pop'!$N$5:$O$5,'state calcs'!AC$1)</f>
        <v>728517.6936250492</v>
      </c>
      <c r="AD21" s="91" cm="1">
        <f t="array" ref="AD21">TREND('Total Pop'!$N25:$O25,'Total Pop'!$N$5:$O$5,'state calcs'!AD$1)</f>
        <v>726621.39940781891</v>
      </c>
      <c r="AE21" s="91" cm="1">
        <f t="array" ref="AE21">TREND('Total Pop'!$N25:$O25,'Total Pop'!$N$5:$O$5,'state calcs'!AE$1)</f>
        <v>724725.10519058909</v>
      </c>
    </row>
    <row r="22" spans="1:31" x14ac:dyDescent="0.25">
      <c r="A22" s="91" t="s">
        <v>365</v>
      </c>
      <c r="B22" s="91" cm="1">
        <f t="array" ref="B22">TREND('Total Pop'!$I26:$J26,'Total Pop'!$I$5:$J$5,'state calcs'!B$1)</f>
        <v>2547118.9799016044</v>
      </c>
      <c r="C22" s="91" cm="1">
        <f t="array" ref="C22">TREND('Total Pop'!$I26:$J26,'Total Pop'!$I$5:$J$5,'state calcs'!C$1)</f>
        <v>2560117.9598032087</v>
      </c>
      <c r="D22" s="91" cm="1">
        <f t="array" ref="D22">TREND('Total Pop'!$I26:$J26,'Total Pop'!$I$5:$J$5,'state calcs'!D$1)</f>
        <v>2573116.9397048093</v>
      </c>
      <c r="E22" s="91" cm="1">
        <f t="array" ref="E22">TREND('Total Pop'!$I26:$J26,'Total Pop'!$I$5:$J$5,'state calcs'!E$1)</f>
        <v>2586115.91960641</v>
      </c>
      <c r="F22" s="91" cm="1">
        <f t="array" ref="F22">TREND('Total Pop'!$J26:$K26,'Total Pop'!$J$5:$K$5,'state calcs'!F$1)</f>
        <v>2599114.8995080069</v>
      </c>
      <c r="G22" s="91" cm="1">
        <f t="array" ref="G22">TREND('Total Pop'!$J26:$K26,'Total Pop'!$J$5:$K$5,'state calcs'!G$1)</f>
        <v>2612113.8794096112</v>
      </c>
      <c r="H22" s="91" cm="1">
        <f t="array" ref="H22">TREND('Total Pop'!$J26:$K26,'Total Pop'!$J$5:$K$5,'state calcs'!H$1)</f>
        <v>2625112.8593112119</v>
      </c>
      <c r="I22" s="91" cm="1">
        <f t="array" ref="I22">TREND('Total Pop'!$J26:$K26,'Total Pop'!$J$5:$K$5,'state calcs'!I$1)</f>
        <v>2638111.8392128162</v>
      </c>
      <c r="J22" s="91" cm="1">
        <f t="array" ref="J22">TREND('Total Pop'!$J26:$K26,'Total Pop'!$J$5:$K$5,'state calcs'!J$1)</f>
        <v>2651110.8191144168</v>
      </c>
      <c r="K22" s="91" cm="1">
        <f t="array" ref="K22">TREND('Total Pop'!$K26:$L26,'Total Pop'!$K$5:$L$5,'state calcs'!K$1)</f>
        <v>2664109.7990160212</v>
      </c>
      <c r="L22" s="91" cm="1">
        <f t="array" ref="L22">TREND('Total Pop'!$K26:$L26,'Total Pop'!$K$5:$L$5,'state calcs'!L$1)</f>
        <v>2671748.0032738838</v>
      </c>
      <c r="M22" s="91" cm="1">
        <f t="array" ref="M22">TREND('Total Pop'!$K26:$L26,'Total Pop'!$K$5:$L$5,'state calcs'!M$1)</f>
        <v>2679386.2075317465</v>
      </c>
      <c r="N22" s="91" cm="1">
        <f t="array" ref="N22">TREND('Total Pop'!$K26:$L26,'Total Pop'!$K$5:$L$5,'state calcs'!N$1)</f>
        <v>2687024.411789611</v>
      </c>
      <c r="O22" s="91" cm="1">
        <f t="array" ref="O22">TREND('Total Pop'!$K26:$L26,'Total Pop'!$K$5:$L$5,'state calcs'!O$1)</f>
        <v>2694662.6160474736</v>
      </c>
      <c r="P22" s="91" cm="1">
        <f t="array" ref="P22">TREND('Total Pop'!$L26:$M26,'Total Pop'!$L$5:$M$5,'state calcs'!P$1)</f>
        <v>2702300.8203053363</v>
      </c>
      <c r="Q22" s="91" cm="1">
        <f t="array" ref="Q22">TREND('Total Pop'!$L26:$M26,'Total Pop'!$L$5:$M$5,'state calcs'!Q$1)</f>
        <v>2709939.0245631989</v>
      </c>
      <c r="R22" s="91" cm="1">
        <f t="array" ref="R22">TREND('Total Pop'!$L26:$M26,'Total Pop'!$L$5:$M$5,'state calcs'!R$1)</f>
        <v>2717577.2288210634</v>
      </c>
      <c r="S22" s="91" cm="1">
        <f t="array" ref="S22">TREND('Total Pop'!$L26:$M26,'Total Pop'!$L$5:$M$5,'state calcs'!S$1)</f>
        <v>2725215.4330789261</v>
      </c>
      <c r="T22" s="91" cm="1">
        <f t="array" ref="T22">TREND('Total Pop'!$L26:$M26,'Total Pop'!$L$5:$M$5,'state calcs'!T$1)</f>
        <v>2732853.6373367887</v>
      </c>
      <c r="U22" s="91" cm="1">
        <f t="array" ref="U22">TREND('Total Pop'!$M26:$N26,'Total Pop'!$M$5:$N$5,'state calcs'!U$1)</f>
        <v>2740491.8415946513</v>
      </c>
      <c r="V22" s="91" cm="1">
        <f t="array" ref="V22">TREND('Total Pop'!$M26:$N26,'Total Pop'!$M$5:$N$5,'state calcs'!V$1)</f>
        <v>2745045.6889581457</v>
      </c>
      <c r="W22" s="91" cm="1">
        <f t="array" ref="W22">TREND('Total Pop'!$M26:$N26,'Total Pop'!$M$5:$N$5,'state calcs'!W$1)</f>
        <v>2749599.5363216382</v>
      </c>
      <c r="X22" s="91" cm="1">
        <f t="array" ref="X22">TREND('Total Pop'!$M26:$N26,'Total Pop'!$M$5:$N$5,'state calcs'!X$1)</f>
        <v>2754153.3836851306</v>
      </c>
      <c r="Y22" s="91" cm="1">
        <f t="array" ref="Y22">TREND('Total Pop'!$M26:$N26,'Total Pop'!$M$5:$N$5,'state calcs'!Y$1)</f>
        <v>2758707.231048625</v>
      </c>
      <c r="Z22" s="91" cm="1">
        <f t="array" ref="Z22">TREND('Total Pop'!$N26:$O26,'Total Pop'!$N$5:$O$5,'state calcs'!Z$1)</f>
        <v>2763261.0784121193</v>
      </c>
      <c r="AA22" s="91" cm="1">
        <f t="array" ref="AA22">TREND('Total Pop'!$N26:$O26,'Total Pop'!$N$5:$O$5,'state calcs'!AA$1)</f>
        <v>2767814.9257756118</v>
      </c>
      <c r="AB22" s="91" cm="1">
        <f t="array" ref="AB22">TREND('Total Pop'!$N26:$O26,'Total Pop'!$N$5:$O$5,'state calcs'!AB$1)</f>
        <v>2772368.7731391061</v>
      </c>
      <c r="AC22" s="91" cm="1">
        <f t="array" ref="AC22">TREND('Total Pop'!$N26:$O26,'Total Pop'!$N$5:$O$5,'state calcs'!AC$1)</f>
        <v>2776922.6205025986</v>
      </c>
      <c r="AD22" s="91" cm="1">
        <f t="array" ref="AD22">TREND('Total Pop'!$N26:$O26,'Total Pop'!$N$5:$O$5,'state calcs'!AD$1)</f>
        <v>2781476.4678660911</v>
      </c>
      <c r="AE22" s="91" cm="1">
        <f t="array" ref="AE22">TREND('Total Pop'!$N26:$O26,'Total Pop'!$N$5:$O$5,'state calcs'!AE$1)</f>
        <v>2786030.3152295854</v>
      </c>
    </row>
    <row r="23" spans="1:31" x14ac:dyDescent="0.25">
      <c r="A23" s="91" t="s">
        <v>367</v>
      </c>
      <c r="B23" s="91" cm="1">
        <f t="array" ref="B23">TREND('Total Pop'!$I27:$J27,'Total Pop'!$I$5:$J$5,'state calcs'!B$1)</f>
        <v>3017903.3203297108</v>
      </c>
      <c r="C23" s="91" cm="1">
        <f t="array" ref="C23">TREND('Total Pop'!$I27:$J27,'Total Pop'!$I$5:$J$5,'state calcs'!C$1)</f>
        <v>3034106.6406594142</v>
      </c>
      <c r="D23" s="91" cm="1">
        <f t="array" ref="D23">TREND('Total Pop'!$I27:$J27,'Total Pop'!$I$5:$J$5,'state calcs'!D$1)</f>
        <v>3050309.9609891213</v>
      </c>
      <c r="E23" s="91" cm="1">
        <f t="array" ref="E23">TREND('Total Pop'!$I27:$J27,'Total Pop'!$I$5:$J$5,'state calcs'!E$1)</f>
        <v>3066513.2813188247</v>
      </c>
      <c r="F23" s="91" cm="1">
        <f t="array" ref="F23">TREND('Total Pop'!$J27:$K27,'Total Pop'!$J$5:$K$5,'state calcs'!F$1)</f>
        <v>3082716.6016485281</v>
      </c>
      <c r="G23" s="91" cm="1">
        <f t="array" ref="G23">TREND('Total Pop'!$J27:$K27,'Total Pop'!$J$5:$K$5,'state calcs'!G$1)</f>
        <v>3098919.9219782315</v>
      </c>
      <c r="H23" s="91" cm="1">
        <f t="array" ref="H23">TREND('Total Pop'!$J27:$K27,'Total Pop'!$J$5:$K$5,'state calcs'!H$1)</f>
        <v>3115123.2423079386</v>
      </c>
      <c r="I23" s="91" cm="1">
        <f t="array" ref="I23">TREND('Total Pop'!$J27:$K27,'Total Pop'!$J$5:$K$5,'state calcs'!I$1)</f>
        <v>3131326.5626376458</v>
      </c>
      <c r="J23" s="91" cm="1">
        <f t="array" ref="J23">TREND('Total Pop'!$J27:$K27,'Total Pop'!$J$5:$K$5,'state calcs'!J$1)</f>
        <v>3147529.8829673491</v>
      </c>
      <c r="K23" s="91" cm="1">
        <f t="array" ref="K23">TREND('Total Pop'!$K27:$L27,'Total Pop'!$K$5:$L$5,'state calcs'!K$1)</f>
        <v>3163733.2032970525</v>
      </c>
      <c r="L23" s="91" cm="1">
        <f t="array" ref="L23">TREND('Total Pop'!$K27:$L27,'Total Pop'!$K$5:$L$5,'state calcs'!L$1)</f>
        <v>3173941.7830683887</v>
      </c>
      <c r="M23" s="91" cm="1">
        <f t="array" ref="M23">TREND('Total Pop'!$K27:$L27,'Total Pop'!$K$5:$L$5,'state calcs'!M$1)</f>
        <v>3184150.3628397249</v>
      </c>
      <c r="N23" s="91" cm="1">
        <f t="array" ref="N23">TREND('Total Pop'!$K27:$L27,'Total Pop'!$K$5:$L$5,'state calcs'!N$1)</f>
        <v>3194358.942611061</v>
      </c>
      <c r="O23" s="91" cm="1">
        <f t="array" ref="O23">TREND('Total Pop'!$K27:$L27,'Total Pop'!$K$5:$L$5,'state calcs'!O$1)</f>
        <v>3204567.5223823972</v>
      </c>
      <c r="P23" s="91" cm="1">
        <f t="array" ref="P23">TREND('Total Pop'!$L27:$M27,'Total Pop'!$L$5:$M$5,'state calcs'!P$1)</f>
        <v>3214776.1021537371</v>
      </c>
      <c r="Q23" s="91" cm="1">
        <f t="array" ref="Q23">TREND('Total Pop'!$L27:$M27,'Total Pop'!$L$5:$M$5,'state calcs'!Q$1)</f>
        <v>3224984.6819250733</v>
      </c>
      <c r="R23" s="91" cm="1">
        <f t="array" ref="R23">TREND('Total Pop'!$L27:$M27,'Total Pop'!$L$5:$M$5,'state calcs'!R$1)</f>
        <v>3235193.2616964094</v>
      </c>
      <c r="S23" s="91" cm="1">
        <f t="array" ref="S23">TREND('Total Pop'!$L27:$M27,'Total Pop'!$L$5:$M$5,'state calcs'!S$1)</f>
        <v>3245401.8414677456</v>
      </c>
      <c r="T23" s="91" cm="1">
        <f t="array" ref="T23">TREND('Total Pop'!$L27:$M27,'Total Pop'!$L$5:$M$5,'state calcs'!T$1)</f>
        <v>3255610.4212390818</v>
      </c>
      <c r="U23" s="91" cm="1">
        <f t="array" ref="U23">TREND('Total Pop'!$M27:$N27,'Total Pop'!$M$5:$N$5,'state calcs'!U$1)</f>
        <v>3265819.0010104142</v>
      </c>
      <c r="V23" s="91" cm="1">
        <f t="array" ref="V23">TREND('Total Pop'!$M27:$N27,'Total Pop'!$M$5:$N$5,'state calcs'!V$1)</f>
        <v>3272406.6501014046</v>
      </c>
      <c r="W23" s="91" cm="1">
        <f t="array" ref="W23">TREND('Total Pop'!$M27:$N27,'Total Pop'!$M$5:$N$5,'state calcs'!W$1)</f>
        <v>3278994.2991923932</v>
      </c>
      <c r="X23" s="91" cm="1">
        <f t="array" ref="X23">TREND('Total Pop'!$M27:$N27,'Total Pop'!$M$5:$N$5,'state calcs'!X$1)</f>
        <v>3285581.9482833836</v>
      </c>
      <c r="Y23" s="91" cm="1">
        <f t="array" ref="Y23">TREND('Total Pop'!$M27:$N27,'Total Pop'!$M$5:$N$5,'state calcs'!Y$1)</f>
        <v>3292169.5973743722</v>
      </c>
      <c r="Z23" s="91" cm="1">
        <f t="array" ref="Z23">TREND('Total Pop'!$N27:$O27,'Total Pop'!$N$5:$O$5,'state calcs'!Z$1)</f>
        <v>3298757.2464653626</v>
      </c>
      <c r="AA23" s="91" cm="1">
        <f t="array" ref="AA23">TREND('Total Pop'!$N27:$O27,'Total Pop'!$N$5:$O$5,'state calcs'!AA$1)</f>
        <v>3305344.8955563512</v>
      </c>
      <c r="AB23" s="91" cm="1">
        <f t="array" ref="AB23">TREND('Total Pop'!$N27:$O27,'Total Pop'!$N$5:$O$5,'state calcs'!AB$1)</f>
        <v>3311932.5446473416</v>
      </c>
      <c r="AC23" s="91" cm="1">
        <f t="array" ref="AC23">TREND('Total Pop'!$N27:$O27,'Total Pop'!$N$5:$O$5,'state calcs'!AC$1)</f>
        <v>3318520.1937383302</v>
      </c>
      <c r="AD23" s="91" cm="1">
        <f t="array" ref="AD23">TREND('Total Pop'!$N27:$O27,'Total Pop'!$N$5:$O$5,'state calcs'!AD$1)</f>
        <v>3325107.8428293187</v>
      </c>
      <c r="AE23" s="91" cm="1">
        <f t="array" ref="AE23">TREND('Total Pop'!$N27:$O27,'Total Pop'!$N$5:$O$5,'state calcs'!AE$1)</f>
        <v>3331695.4919203091</v>
      </c>
    </row>
    <row r="24" spans="1:31" x14ac:dyDescent="0.25">
      <c r="A24" s="91" t="s">
        <v>369</v>
      </c>
      <c r="B24" s="91" cm="1">
        <f t="array" ref="B24">TREND('Total Pop'!$I28:$J28,'Total Pop'!$I$5:$J$5,'state calcs'!B$1)</f>
        <v>4581824.3936535008</v>
      </c>
      <c r="C24" s="91" cm="1">
        <f t="array" ref="C24">TREND('Total Pop'!$I28:$J28,'Total Pop'!$I$5:$J$5,'state calcs'!C$1)</f>
        <v>4588505.7873070017</v>
      </c>
      <c r="D24" s="91" cm="1">
        <f t="array" ref="D24">TREND('Total Pop'!$I28:$J28,'Total Pop'!$I$5:$J$5,'state calcs'!D$1)</f>
        <v>4595187.1809605025</v>
      </c>
      <c r="E24" s="91" cm="1">
        <f t="array" ref="E24">TREND('Total Pop'!$I28:$J28,'Total Pop'!$I$5:$J$5,'state calcs'!E$1)</f>
        <v>4601868.5746140052</v>
      </c>
      <c r="F24" s="91" cm="1">
        <f t="array" ref="F24">TREND('Total Pop'!$J28:$K28,'Total Pop'!$J$5:$K$5,'state calcs'!F$1)</f>
        <v>4608549.968267506</v>
      </c>
      <c r="G24" s="91" cm="1">
        <f t="array" ref="G24">TREND('Total Pop'!$J28:$K28,'Total Pop'!$J$5:$K$5,'state calcs'!G$1)</f>
        <v>4615231.3619210068</v>
      </c>
      <c r="H24" s="91" cm="1">
        <f t="array" ref="H24">TREND('Total Pop'!$J28:$K28,'Total Pop'!$J$5:$K$5,'state calcs'!H$1)</f>
        <v>4621912.7555745076</v>
      </c>
      <c r="I24" s="91" cm="1">
        <f t="array" ref="I24">TREND('Total Pop'!$J28:$K28,'Total Pop'!$J$5:$K$5,'state calcs'!I$1)</f>
        <v>4628594.1492280085</v>
      </c>
      <c r="J24" s="91" cm="1">
        <f t="array" ref="J24">TREND('Total Pop'!$J28:$K28,'Total Pop'!$J$5:$K$5,'state calcs'!J$1)</f>
        <v>4635275.5428815093</v>
      </c>
      <c r="K24" s="91" cm="1">
        <f t="array" ref="K24">TREND('Total Pop'!$K28:$L28,'Total Pop'!$K$5:$L$5,'state calcs'!K$1)</f>
        <v>4641956.9365350083</v>
      </c>
      <c r="L24" s="91" cm="1">
        <f t="array" ref="L24">TREND('Total Pop'!$K28:$L28,'Total Pop'!$K$5:$L$5,'state calcs'!L$1)</f>
        <v>4632807.8049907014</v>
      </c>
      <c r="M24" s="91" cm="1">
        <f t="array" ref="M24">TREND('Total Pop'!$K28:$L28,'Total Pop'!$K$5:$L$5,'state calcs'!M$1)</f>
        <v>4623658.6734463945</v>
      </c>
      <c r="N24" s="91" cm="1">
        <f t="array" ref="N24">TREND('Total Pop'!$K28:$L28,'Total Pop'!$K$5:$L$5,'state calcs'!N$1)</f>
        <v>4614509.5419020839</v>
      </c>
      <c r="O24" s="91" cm="1">
        <f t="array" ref="O24">TREND('Total Pop'!$K28:$L28,'Total Pop'!$K$5:$L$5,'state calcs'!O$1)</f>
        <v>4605360.410357777</v>
      </c>
      <c r="P24" s="91" cm="1">
        <f t="array" ref="P24">TREND('Total Pop'!$L28:$M28,'Total Pop'!$L$5:$M$5,'state calcs'!P$1)</f>
        <v>4596211.2788134739</v>
      </c>
      <c r="Q24" s="91" cm="1">
        <f t="array" ref="Q24">TREND('Total Pop'!$L28:$M28,'Total Pop'!$L$5:$M$5,'state calcs'!Q$1)</f>
        <v>4587062.147269167</v>
      </c>
      <c r="R24" s="91" cm="1">
        <f t="array" ref="R24">TREND('Total Pop'!$L28:$M28,'Total Pop'!$L$5:$M$5,'state calcs'!R$1)</f>
        <v>4577913.0157248601</v>
      </c>
      <c r="S24" s="91" cm="1">
        <f t="array" ref="S24">TREND('Total Pop'!$L28:$M28,'Total Pop'!$L$5:$M$5,'state calcs'!S$1)</f>
        <v>4568763.8841805495</v>
      </c>
      <c r="T24" s="91" cm="1">
        <f t="array" ref="T24">TREND('Total Pop'!$L28:$M28,'Total Pop'!$L$5:$M$5,'state calcs'!T$1)</f>
        <v>4559614.7526362427</v>
      </c>
      <c r="U24" s="91" cm="1">
        <f t="array" ref="U24">TREND('Total Pop'!$M28:$N28,'Total Pop'!$M$5:$N$5,'state calcs'!U$1)</f>
        <v>4550465.6210919358</v>
      </c>
      <c r="V24" s="91" cm="1">
        <f t="array" ref="V24">TREND('Total Pop'!$M28:$N28,'Total Pop'!$M$5:$N$5,'state calcs'!V$1)</f>
        <v>4536269.722389821</v>
      </c>
      <c r="W24" s="91" cm="1">
        <f t="array" ref="W24">TREND('Total Pop'!$M28:$N28,'Total Pop'!$M$5:$N$5,'state calcs'!W$1)</f>
        <v>4522073.8236877061</v>
      </c>
      <c r="X24" s="91" cm="1">
        <f t="array" ref="X24">TREND('Total Pop'!$M28:$N28,'Total Pop'!$M$5:$N$5,'state calcs'!X$1)</f>
        <v>4507877.9249855876</v>
      </c>
      <c r="Y24" s="91" cm="1">
        <f t="array" ref="Y24">TREND('Total Pop'!$M28:$N28,'Total Pop'!$M$5:$N$5,'state calcs'!Y$1)</f>
        <v>4493682.0262834728</v>
      </c>
      <c r="Z24" s="91" cm="1">
        <f t="array" ref="Z24">TREND('Total Pop'!$N28:$O28,'Total Pop'!$N$5:$O$5,'state calcs'!Z$1)</f>
        <v>4479486.127581358</v>
      </c>
      <c r="AA24" s="91" cm="1">
        <f t="array" ref="AA24">TREND('Total Pop'!$N28:$O28,'Total Pop'!$N$5:$O$5,'state calcs'!AA$1)</f>
        <v>4465290.2288792431</v>
      </c>
      <c r="AB24" s="91" cm="1">
        <f t="array" ref="AB24">TREND('Total Pop'!$N28:$O28,'Total Pop'!$N$5:$O$5,'state calcs'!AB$1)</f>
        <v>4451094.3301771246</v>
      </c>
      <c r="AC24" s="91" cm="1">
        <f t="array" ref="AC24">TREND('Total Pop'!$N28:$O28,'Total Pop'!$N$5:$O$5,'state calcs'!AC$1)</f>
        <v>4436898.4314750098</v>
      </c>
      <c r="AD24" s="91" cm="1">
        <f t="array" ref="AD24">TREND('Total Pop'!$N28:$O28,'Total Pop'!$N$5:$O$5,'state calcs'!AD$1)</f>
        <v>4422702.5327728949</v>
      </c>
      <c r="AE24" s="91" cm="1">
        <f t="array" ref="AE24">TREND('Total Pop'!$N28:$O28,'Total Pop'!$N$5:$O$5,'state calcs'!AE$1)</f>
        <v>4408506.6340707764</v>
      </c>
    </row>
    <row r="25" spans="1:31" x14ac:dyDescent="0.25">
      <c r="A25" s="91" t="s">
        <v>371</v>
      </c>
      <c r="B25" s="91" cm="1">
        <f t="array" ref="B25">TREND('Total Pop'!$I29:$J29,'Total Pop'!$I$5:$J$5,'state calcs'!B$1)</f>
        <v>2505609.8273558766</v>
      </c>
      <c r="C25" s="91" cm="1">
        <f t="array" ref="C25">TREND('Total Pop'!$I29:$J29,'Total Pop'!$I$5:$J$5,'state calcs'!C$1)</f>
        <v>2519460.6547117531</v>
      </c>
      <c r="D25" s="91" cm="1">
        <f t="array" ref="D25">TREND('Total Pop'!$I29:$J29,'Total Pop'!$I$5:$J$5,'state calcs'!D$1)</f>
        <v>2533311.4820676297</v>
      </c>
      <c r="E25" s="91" cm="1">
        <f t="array" ref="E25">TREND('Total Pop'!$I29:$J29,'Total Pop'!$I$5:$J$5,'state calcs'!E$1)</f>
        <v>2547162.3094235063</v>
      </c>
      <c r="F25" s="91" cm="1">
        <f t="array" ref="F25">TREND('Total Pop'!$J29:$K29,'Total Pop'!$J$5:$K$5,'state calcs'!F$1)</f>
        <v>2561013.1367793828</v>
      </c>
      <c r="G25" s="91" cm="1">
        <f t="array" ref="G25">TREND('Total Pop'!$J29:$K29,'Total Pop'!$J$5:$K$5,'state calcs'!G$1)</f>
        <v>2574863.9641352594</v>
      </c>
      <c r="H25" s="91" cm="1">
        <f t="array" ref="H25">TREND('Total Pop'!$J29:$K29,'Total Pop'!$J$5:$K$5,'state calcs'!H$1)</f>
        <v>2588714.791491136</v>
      </c>
      <c r="I25" s="91" cm="1">
        <f t="array" ref="I25">TREND('Total Pop'!$J29:$K29,'Total Pop'!$J$5:$K$5,'state calcs'!I$1)</f>
        <v>2602565.6188470125</v>
      </c>
      <c r="J25" s="91" cm="1">
        <f t="array" ref="J25">TREND('Total Pop'!$J29:$K29,'Total Pop'!$J$5:$K$5,'state calcs'!J$1)</f>
        <v>2616416.4462028891</v>
      </c>
      <c r="K25" s="91" cm="1">
        <f t="array" ref="K25">TREND('Total Pop'!$K29:$L29,'Total Pop'!$K$5:$L$5,'state calcs'!K$1)</f>
        <v>2630267.2735587638</v>
      </c>
      <c r="L25" s="91" cm="1">
        <f t="array" ref="L25">TREND('Total Pop'!$K29:$L29,'Total Pop'!$K$5:$L$5,'state calcs'!L$1)</f>
        <v>2639321.4096716139</v>
      </c>
      <c r="M25" s="91" cm="1">
        <f t="array" ref="M25">TREND('Total Pop'!$K29:$L29,'Total Pop'!$K$5:$L$5,'state calcs'!M$1)</f>
        <v>2648375.5457844641</v>
      </c>
      <c r="N25" s="91" cm="1">
        <f t="array" ref="N25">TREND('Total Pop'!$K29:$L29,'Total Pop'!$K$5:$L$5,'state calcs'!N$1)</f>
        <v>2657429.6818973143</v>
      </c>
      <c r="O25" s="91" cm="1">
        <f t="array" ref="O25">TREND('Total Pop'!$K29:$L29,'Total Pop'!$K$5:$L$5,'state calcs'!O$1)</f>
        <v>2666483.8180101682</v>
      </c>
      <c r="P25" s="91" cm="1">
        <f t="array" ref="P25">TREND('Total Pop'!$L29:$M29,'Total Pop'!$L$5:$M$5,'state calcs'!P$1)</f>
        <v>2675537.9541230202</v>
      </c>
      <c r="Q25" s="91" cm="1">
        <f t="array" ref="Q25">TREND('Total Pop'!$L29:$M29,'Total Pop'!$L$5:$M$5,'state calcs'!Q$1)</f>
        <v>2684592.0902358703</v>
      </c>
      <c r="R25" s="91" cm="1">
        <f t="array" ref="R25">TREND('Total Pop'!$L29:$M29,'Total Pop'!$L$5:$M$5,'state calcs'!R$1)</f>
        <v>2693646.2263487242</v>
      </c>
      <c r="S25" s="91" cm="1">
        <f t="array" ref="S25">TREND('Total Pop'!$L29:$M29,'Total Pop'!$L$5:$M$5,'state calcs'!S$1)</f>
        <v>2702700.3624615744</v>
      </c>
      <c r="T25" s="91" cm="1">
        <f t="array" ref="T25">TREND('Total Pop'!$L29:$M29,'Total Pop'!$L$5:$M$5,'state calcs'!T$1)</f>
        <v>2711754.4985744245</v>
      </c>
      <c r="U25" s="91" cm="1">
        <f t="array" ref="U25">TREND('Total Pop'!$M29:$N29,'Total Pop'!$M$5:$N$5,'state calcs'!U$1)</f>
        <v>2720808.6346872728</v>
      </c>
      <c r="V25" s="91" cm="1">
        <f t="array" ref="V25">TREND('Total Pop'!$M29:$N29,'Total Pop'!$M$5:$N$5,'state calcs'!V$1)</f>
        <v>2726876.4770718589</v>
      </c>
      <c r="W25" s="91" cm="1">
        <f t="array" ref="W25">TREND('Total Pop'!$M29:$N29,'Total Pop'!$M$5:$N$5,'state calcs'!W$1)</f>
        <v>2732944.3194564432</v>
      </c>
      <c r="X25" s="91" cm="1">
        <f t="array" ref="X25">TREND('Total Pop'!$M29:$N29,'Total Pop'!$M$5:$N$5,'state calcs'!X$1)</f>
        <v>2739012.1618410293</v>
      </c>
      <c r="Y25" s="91" cm="1">
        <f t="array" ref="Y25">TREND('Total Pop'!$M29:$N29,'Total Pop'!$M$5:$N$5,'state calcs'!Y$1)</f>
        <v>2745080.0042256135</v>
      </c>
      <c r="Z25" s="91" cm="1">
        <f t="array" ref="Z25">TREND('Total Pop'!$N29:$O29,'Total Pop'!$N$5:$O$5,'state calcs'!Z$1)</f>
        <v>2751147.8466101997</v>
      </c>
      <c r="AA25" s="91" cm="1">
        <f t="array" ref="AA25">TREND('Total Pop'!$N29:$O29,'Total Pop'!$N$5:$O$5,'state calcs'!AA$1)</f>
        <v>2757215.6889947839</v>
      </c>
      <c r="AB25" s="91" cm="1">
        <f t="array" ref="AB25">TREND('Total Pop'!$N29:$O29,'Total Pop'!$N$5:$O$5,'state calcs'!AB$1)</f>
        <v>2763283.53137937</v>
      </c>
      <c r="AC25" s="91" cm="1">
        <f t="array" ref="AC25">TREND('Total Pop'!$N29:$O29,'Total Pop'!$N$5:$O$5,'state calcs'!AC$1)</f>
        <v>2769351.3737639543</v>
      </c>
      <c r="AD25" s="91" cm="1">
        <f t="array" ref="AD25">TREND('Total Pop'!$N29:$O29,'Total Pop'!$N$5:$O$5,'state calcs'!AD$1)</f>
        <v>2775419.2161485385</v>
      </c>
      <c r="AE25" s="91" cm="1">
        <f t="array" ref="AE25">TREND('Total Pop'!$N29:$O29,'Total Pop'!$N$5:$O$5,'state calcs'!AE$1)</f>
        <v>2781487.0585331246</v>
      </c>
    </row>
    <row r="26" spans="1:31" x14ac:dyDescent="0.25">
      <c r="A26" s="91" t="s">
        <v>373</v>
      </c>
      <c r="B26" s="91" cm="1">
        <f t="array" ref="B26">TREND('Total Pop'!$I30:$J30,'Total Pop'!$I$5:$J$5,'state calcs'!B$1)</f>
        <v>1321733.7867265875</v>
      </c>
      <c r="C26" s="91" cm="1">
        <f t="array" ref="C26">TREND('Total Pop'!$I30:$J30,'Total Pop'!$I$5:$J$5,'state calcs'!C$1)</f>
        <v>1321532.5734531749</v>
      </c>
      <c r="D26" s="91" cm="1">
        <f t="array" ref="D26">TREND('Total Pop'!$I30:$J30,'Total Pop'!$I$5:$J$5,'state calcs'!D$1)</f>
        <v>1321331.3601797621</v>
      </c>
      <c r="E26" s="91" cm="1">
        <f t="array" ref="E26">TREND('Total Pop'!$I30:$J30,'Total Pop'!$I$5:$J$5,'state calcs'!E$1)</f>
        <v>1321130.1469063493</v>
      </c>
      <c r="F26" s="91" cm="1">
        <f t="array" ref="F26">TREND('Total Pop'!$J30:$K30,'Total Pop'!$J$5:$K$5,'state calcs'!F$1)</f>
        <v>1320928.9336329368</v>
      </c>
      <c r="G26" s="91" cm="1">
        <f t="array" ref="G26">TREND('Total Pop'!$J30:$K30,'Total Pop'!$J$5:$K$5,'state calcs'!G$1)</f>
        <v>1320727.7203595242</v>
      </c>
      <c r="H26" s="91" cm="1">
        <f t="array" ref="H26">TREND('Total Pop'!$J30:$K30,'Total Pop'!$J$5:$K$5,'state calcs'!H$1)</f>
        <v>1320526.5070861117</v>
      </c>
      <c r="I26" s="91" cm="1">
        <f t="array" ref="I26">TREND('Total Pop'!$J30:$K30,'Total Pop'!$J$5:$K$5,'state calcs'!I$1)</f>
        <v>1320325.2938126992</v>
      </c>
      <c r="J26" s="91" cm="1">
        <f t="array" ref="J26">TREND('Total Pop'!$J30:$K30,'Total Pop'!$J$5:$K$5,'state calcs'!J$1)</f>
        <v>1320124.0805392866</v>
      </c>
      <c r="K26" s="91" cm="1">
        <f t="array" ref="K26">TREND('Total Pop'!$K30:$L30,'Total Pop'!$K$5:$L$5,'state calcs'!K$1)</f>
        <v>1319922.8672658745</v>
      </c>
      <c r="L26" s="91" cm="1">
        <f t="array" ref="L26">TREND('Total Pop'!$K30:$L30,'Total Pop'!$K$5:$L$5,'state calcs'!L$1)</f>
        <v>1314577.0208384357</v>
      </c>
      <c r="M26" s="91" cm="1">
        <f t="array" ref="M26">TREND('Total Pop'!$K30:$L30,'Total Pop'!$K$5:$L$5,'state calcs'!M$1)</f>
        <v>1309231.174410997</v>
      </c>
      <c r="N26" s="91" cm="1">
        <f t="array" ref="N26">TREND('Total Pop'!$K30:$L30,'Total Pop'!$K$5:$L$5,'state calcs'!N$1)</f>
        <v>1303885.3279835563</v>
      </c>
      <c r="O26" s="91" cm="1">
        <f t="array" ref="O26">TREND('Total Pop'!$K30:$L30,'Total Pop'!$K$5:$L$5,'state calcs'!O$1)</f>
        <v>1298539.4815561175</v>
      </c>
      <c r="P26" s="91" cm="1">
        <f t="array" ref="P26">TREND('Total Pop'!$L30:$M30,'Total Pop'!$L$5:$M$5,'state calcs'!P$1)</f>
        <v>1293193.6351286769</v>
      </c>
      <c r="Q26" s="91" cm="1">
        <f t="array" ref="Q26">TREND('Total Pop'!$L30:$M30,'Total Pop'!$L$5:$M$5,'state calcs'!Q$1)</f>
        <v>1287847.7887012381</v>
      </c>
      <c r="R26" s="91" cm="1">
        <f t="array" ref="R26">TREND('Total Pop'!$L30:$M30,'Total Pop'!$L$5:$M$5,'state calcs'!R$1)</f>
        <v>1282501.9422737993</v>
      </c>
      <c r="S26" s="91" cm="1">
        <f t="array" ref="S26">TREND('Total Pop'!$L30:$M30,'Total Pop'!$L$5:$M$5,'state calcs'!S$1)</f>
        <v>1277156.0958463605</v>
      </c>
      <c r="T26" s="91" cm="1">
        <f t="array" ref="T26">TREND('Total Pop'!$L30:$M30,'Total Pop'!$L$5:$M$5,'state calcs'!T$1)</f>
        <v>1271810.2494189218</v>
      </c>
      <c r="U26" s="91" cm="1">
        <f t="array" ref="U26">TREND('Total Pop'!$M30:$N30,'Total Pop'!$M$5:$N$5,'state calcs'!U$1)</f>
        <v>1266464.4029914867</v>
      </c>
      <c r="V26" s="91" cm="1">
        <f t="array" ref="V26">TREND('Total Pop'!$M30:$N30,'Total Pop'!$M$5:$N$5,'state calcs'!V$1)</f>
        <v>1259911.1448128689</v>
      </c>
      <c r="W26" s="91" cm="1">
        <f t="array" ref="W26">TREND('Total Pop'!$M30:$N30,'Total Pop'!$M$5:$N$5,'state calcs'!W$1)</f>
        <v>1253357.8866342492</v>
      </c>
      <c r="X26" s="91" cm="1">
        <f t="array" ref="X26">TREND('Total Pop'!$M30:$N30,'Total Pop'!$M$5:$N$5,'state calcs'!X$1)</f>
        <v>1246804.6284556314</v>
      </c>
      <c r="Y26" s="91" cm="1">
        <f t="array" ref="Y26">TREND('Total Pop'!$M30:$N30,'Total Pop'!$M$5:$N$5,'state calcs'!Y$1)</f>
        <v>1240251.3702770136</v>
      </c>
      <c r="Z26" s="91" cm="1">
        <f t="array" ref="Z26">TREND('Total Pop'!$N30:$O30,'Total Pop'!$N$5:$O$5,'state calcs'!Z$1)</f>
        <v>1233698.112098394</v>
      </c>
      <c r="AA26" s="91" cm="1">
        <f t="array" ref="AA26">TREND('Total Pop'!$N30:$O30,'Total Pop'!$N$5:$O$5,'state calcs'!AA$1)</f>
        <v>1227144.8539197762</v>
      </c>
      <c r="AB26" s="91" cm="1">
        <f t="array" ref="AB26">TREND('Total Pop'!$N30:$O30,'Total Pop'!$N$5:$O$5,'state calcs'!AB$1)</f>
        <v>1220591.5957411584</v>
      </c>
      <c r="AC26" s="91" cm="1">
        <f t="array" ref="AC26">TREND('Total Pop'!$N30:$O30,'Total Pop'!$N$5:$O$5,'state calcs'!AC$1)</f>
        <v>1214038.3375625405</v>
      </c>
      <c r="AD26" s="91" cm="1">
        <f t="array" ref="AD26">TREND('Total Pop'!$N30:$O30,'Total Pop'!$N$5:$O$5,'state calcs'!AD$1)</f>
        <v>1207485.0793839227</v>
      </c>
      <c r="AE26" s="91" cm="1">
        <f t="array" ref="AE26">TREND('Total Pop'!$N30:$O30,'Total Pop'!$N$5:$O$5,'state calcs'!AE$1)</f>
        <v>1200931.8212053049</v>
      </c>
    </row>
    <row r="27" spans="1:31" x14ac:dyDescent="0.25">
      <c r="A27" s="91" t="s">
        <v>375</v>
      </c>
      <c r="B27" s="91" cm="1">
        <f t="array" ref="B27">TREND('Total Pop'!$I31:$J31,'Total Pop'!$I$5:$J$5,'state calcs'!B$1)</f>
        <v>2796051.9574773628</v>
      </c>
      <c r="C27" s="91" cm="1">
        <f t="array" ref="C27">TREND('Total Pop'!$I31:$J31,'Total Pop'!$I$5:$J$5,'state calcs'!C$1)</f>
        <v>2801799.9149547257</v>
      </c>
      <c r="D27" s="91" cm="1">
        <f t="array" ref="D27">TREND('Total Pop'!$I31:$J31,'Total Pop'!$I$5:$J$5,'state calcs'!D$1)</f>
        <v>2807547.8724320903</v>
      </c>
      <c r="E27" s="91" cm="1">
        <f t="array" ref="E27">TREND('Total Pop'!$I31:$J31,'Total Pop'!$I$5:$J$5,'state calcs'!E$1)</f>
        <v>2813295.8299094532</v>
      </c>
      <c r="F27" s="91" cm="1">
        <f t="array" ref="F27">TREND('Total Pop'!$J31:$K31,'Total Pop'!$J$5:$K$5,'state calcs'!F$1)</f>
        <v>2819043.787386816</v>
      </c>
      <c r="G27" s="91" cm="1">
        <f t="array" ref="G27">TREND('Total Pop'!$J31:$K31,'Total Pop'!$J$5:$K$5,'state calcs'!G$1)</f>
        <v>2824791.7448641788</v>
      </c>
      <c r="H27" s="91" cm="1">
        <f t="array" ref="H27">TREND('Total Pop'!$J31:$K31,'Total Pop'!$J$5:$K$5,'state calcs'!H$1)</f>
        <v>2830539.7023415416</v>
      </c>
      <c r="I27" s="91" cm="1">
        <f t="array" ref="I27">TREND('Total Pop'!$J31:$K31,'Total Pop'!$J$5:$K$5,'state calcs'!I$1)</f>
        <v>2836287.6598189045</v>
      </c>
      <c r="J27" s="91" cm="1">
        <f t="array" ref="J27">TREND('Total Pop'!$J31:$K31,'Total Pop'!$J$5:$K$5,'state calcs'!J$1)</f>
        <v>2842035.6172962673</v>
      </c>
      <c r="K27" s="91" cm="1">
        <f t="array" ref="K27">TREND('Total Pop'!$K31:$L31,'Total Pop'!$K$5:$L$5,'state calcs'!K$1)</f>
        <v>2847783.5747736292</v>
      </c>
      <c r="L27" s="91" cm="1">
        <f t="array" ref="L27">TREND('Total Pop'!$K31:$L31,'Total Pop'!$K$5:$L$5,'state calcs'!L$1)</f>
        <v>2844393.4974352736</v>
      </c>
      <c r="M27" s="91" cm="1">
        <f t="array" ref="M27">TREND('Total Pop'!$K31:$L31,'Total Pop'!$K$5:$L$5,'state calcs'!M$1)</f>
        <v>2841003.4200969189</v>
      </c>
      <c r="N27" s="91" cm="1">
        <f t="array" ref="N27">TREND('Total Pop'!$K31:$L31,'Total Pop'!$K$5:$L$5,'state calcs'!N$1)</f>
        <v>2837613.3427585643</v>
      </c>
      <c r="O27" s="91" cm="1">
        <f t="array" ref="O27">TREND('Total Pop'!$K31:$L31,'Total Pop'!$K$5:$L$5,'state calcs'!O$1)</f>
        <v>2834223.2654202087</v>
      </c>
      <c r="P27" s="91" cm="1">
        <f t="array" ref="P27">TREND('Total Pop'!$L31:$M31,'Total Pop'!$L$5:$M$5,'state calcs'!P$1)</f>
        <v>2830833.188081855</v>
      </c>
      <c r="Q27" s="91" cm="1">
        <f t="array" ref="Q27">TREND('Total Pop'!$L31:$M31,'Total Pop'!$L$5:$M$5,'state calcs'!Q$1)</f>
        <v>2827443.1107434994</v>
      </c>
      <c r="R27" s="91" cm="1">
        <f t="array" ref="R27">TREND('Total Pop'!$L31:$M31,'Total Pop'!$L$5:$M$5,'state calcs'!R$1)</f>
        <v>2824053.0334051447</v>
      </c>
      <c r="S27" s="91" cm="1">
        <f t="array" ref="S27">TREND('Total Pop'!$L31:$M31,'Total Pop'!$L$5:$M$5,'state calcs'!S$1)</f>
        <v>2820662.9560667891</v>
      </c>
      <c r="T27" s="91" cm="1">
        <f t="array" ref="T27">TREND('Total Pop'!$L31:$M31,'Total Pop'!$L$5:$M$5,'state calcs'!T$1)</f>
        <v>2817272.8787284335</v>
      </c>
      <c r="U27" s="91" cm="1">
        <f t="array" ref="U27">TREND('Total Pop'!$M31:$N31,'Total Pop'!$M$5:$N$5,'state calcs'!U$1)</f>
        <v>2813882.8013900779</v>
      </c>
      <c r="V27" s="91" cm="1">
        <f t="array" ref="V27">TREND('Total Pop'!$M31:$N31,'Total Pop'!$M$5:$N$5,'state calcs'!V$1)</f>
        <v>2807275.0531920269</v>
      </c>
      <c r="W27" s="91" cm="1">
        <f t="array" ref="W27">TREND('Total Pop'!$M31:$N31,'Total Pop'!$M$5:$N$5,'state calcs'!W$1)</f>
        <v>2800667.3049939778</v>
      </c>
      <c r="X27" s="91" cm="1">
        <f t="array" ref="X27">TREND('Total Pop'!$M31:$N31,'Total Pop'!$M$5:$N$5,'state calcs'!X$1)</f>
        <v>2794059.5567959268</v>
      </c>
      <c r="Y27" s="91" cm="1">
        <f t="array" ref="Y27">TREND('Total Pop'!$M31:$N31,'Total Pop'!$M$5:$N$5,'state calcs'!Y$1)</f>
        <v>2787451.8085978776</v>
      </c>
      <c r="Z27" s="91" cm="1">
        <f t="array" ref="Z27">TREND('Total Pop'!$N31:$O31,'Total Pop'!$N$5:$O$5,'state calcs'!Z$1)</f>
        <v>2780844.0603998266</v>
      </c>
      <c r="AA27" s="91" cm="1">
        <f t="array" ref="AA27">TREND('Total Pop'!$N31:$O31,'Total Pop'!$N$5:$O$5,'state calcs'!AA$1)</f>
        <v>2774236.3122017775</v>
      </c>
      <c r="AB27" s="91" cm="1">
        <f t="array" ref="AB27">TREND('Total Pop'!$N31:$O31,'Total Pop'!$N$5:$O$5,'state calcs'!AB$1)</f>
        <v>2767628.5640037265</v>
      </c>
      <c r="AC27" s="91" cm="1">
        <f t="array" ref="AC27">TREND('Total Pop'!$N31:$O31,'Total Pop'!$N$5:$O$5,'state calcs'!AC$1)</f>
        <v>2761020.8158056773</v>
      </c>
      <c r="AD27" s="91" cm="1">
        <f t="array" ref="AD27">TREND('Total Pop'!$N31:$O31,'Total Pop'!$N$5:$O$5,'state calcs'!AD$1)</f>
        <v>2754413.0676076282</v>
      </c>
      <c r="AE27" s="91" cm="1">
        <f t="array" ref="AE27">TREND('Total Pop'!$N31:$O31,'Total Pop'!$N$5:$O$5,'state calcs'!AE$1)</f>
        <v>2747805.3194095772</v>
      </c>
    </row>
    <row r="28" spans="1:31" x14ac:dyDescent="0.25">
      <c r="A28" s="91" t="s">
        <v>377</v>
      </c>
      <c r="B28" s="91" cm="1">
        <f t="array" ref="B28">TREND('Total Pop'!$I32:$J32,'Total Pop'!$I$5:$J$5,'state calcs'!B$1)</f>
        <v>519535.86024006829</v>
      </c>
      <c r="C28" s="91" cm="1">
        <f t="array" ref="C28">TREND('Total Pop'!$I32:$J32,'Total Pop'!$I$5:$J$5,'state calcs'!C$1)</f>
        <v>523135.72048013657</v>
      </c>
      <c r="D28" s="91" cm="1">
        <f t="array" ref="D28">TREND('Total Pop'!$I32:$J32,'Total Pop'!$I$5:$J$5,'state calcs'!D$1)</f>
        <v>526735.58072020486</v>
      </c>
      <c r="E28" s="91" cm="1">
        <f t="array" ref="E28">TREND('Total Pop'!$I32:$J32,'Total Pop'!$I$5:$J$5,'state calcs'!E$1)</f>
        <v>530335.44096027315</v>
      </c>
      <c r="F28" s="91" cm="1">
        <f t="array" ref="F28">TREND('Total Pop'!$J32:$K32,'Total Pop'!$J$5:$K$5,'state calcs'!F$1)</f>
        <v>533935.3012003405</v>
      </c>
      <c r="G28" s="91" cm="1">
        <f t="array" ref="G28">TREND('Total Pop'!$J32:$K32,'Total Pop'!$J$5:$K$5,'state calcs'!G$1)</f>
        <v>537535.16144040879</v>
      </c>
      <c r="H28" s="91" cm="1">
        <f t="array" ref="H28">TREND('Total Pop'!$J32:$K32,'Total Pop'!$J$5:$K$5,'state calcs'!H$1)</f>
        <v>541135.02168047708</v>
      </c>
      <c r="I28" s="91" cm="1">
        <f t="array" ref="I28">TREND('Total Pop'!$J32:$K32,'Total Pop'!$J$5:$K$5,'state calcs'!I$1)</f>
        <v>544734.88192054629</v>
      </c>
      <c r="J28" s="91" cm="1">
        <f t="array" ref="J28">TREND('Total Pop'!$J32:$K32,'Total Pop'!$J$5:$K$5,'state calcs'!J$1)</f>
        <v>548334.74216061458</v>
      </c>
      <c r="K28" s="91" cm="1">
        <f t="array" ref="K28">TREND('Total Pop'!$K32:$L32,'Total Pop'!$K$5:$L$5,'state calcs'!K$1)</f>
        <v>551934.60240068287</v>
      </c>
      <c r="L28" s="91" cm="1">
        <f t="array" ref="L28">TREND('Total Pop'!$K32:$L32,'Total Pop'!$K$5:$L$5,'state calcs'!L$1)</f>
        <v>554891.80561592244</v>
      </c>
      <c r="M28" s="91" cm="1">
        <f t="array" ref="M28">TREND('Total Pop'!$K32:$L32,'Total Pop'!$K$5:$L$5,'state calcs'!M$1)</f>
        <v>557849.00883116294</v>
      </c>
      <c r="N28" s="91" cm="1">
        <f t="array" ref="N28">TREND('Total Pop'!$K32:$L32,'Total Pop'!$K$5:$L$5,'state calcs'!N$1)</f>
        <v>560806.21204640251</v>
      </c>
      <c r="O28" s="91" cm="1">
        <f t="array" ref="O28">TREND('Total Pop'!$K32:$L32,'Total Pop'!$K$5:$L$5,'state calcs'!O$1)</f>
        <v>563763.41526164208</v>
      </c>
      <c r="P28" s="91" cm="1">
        <f t="array" ref="P28">TREND('Total Pop'!$L32:$M32,'Total Pop'!$L$5:$M$5,'state calcs'!P$1)</f>
        <v>566720.61847688258</v>
      </c>
      <c r="Q28" s="91" cm="1">
        <f t="array" ref="Q28">TREND('Total Pop'!$L32:$M32,'Total Pop'!$L$5:$M$5,'state calcs'!Q$1)</f>
        <v>569677.82169212215</v>
      </c>
      <c r="R28" s="91" cm="1">
        <f t="array" ref="R28">TREND('Total Pop'!$L32:$M32,'Total Pop'!$L$5:$M$5,'state calcs'!R$1)</f>
        <v>572635.02490736172</v>
      </c>
      <c r="S28" s="91" cm="1">
        <f t="array" ref="S28">TREND('Total Pop'!$L32:$M32,'Total Pop'!$L$5:$M$5,'state calcs'!S$1)</f>
        <v>575592.22812260222</v>
      </c>
      <c r="T28" s="91" cm="1">
        <f t="array" ref="T28">TREND('Total Pop'!$L32:$M32,'Total Pop'!$L$5:$M$5,'state calcs'!T$1)</f>
        <v>578549.43133784179</v>
      </c>
      <c r="U28" s="91" cm="1">
        <f t="array" ref="U28">TREND('Total Pop'!$M32:$N32,'Total Pop'!$M$5:$N$5,'state calcs'!U$1)</f>
        <v>581506.63455308136</v>
      </c>
      <c r="V28" s="91" cm="1">
        <f t="array" ref="V28">TREND('Total Pop'!$M32:$N32,'Total Pop'!$M$5:$N$5,'state calcs'!V$1)</f>
        <v>583904.36905106995</v>
      </c>
      <c r="W28" s="91" cm="1">
        <f t="array" ref="W28">TREND('Total Pop'!$M32:$N32,'Total Pop'!$M$5:$N$5,'state calcs'!W$1)</f>
        <v>586302.10354905762</v>
      </c>
      <c r="X28" s="91" cm="1">
        <f t="array" ref="X28">TREND('Total Pop'!$M32:$N32,'Total Pop'!$M$5:$N$5,'state calcs'!X$1)</f>
        <v>588699.83804704621</v>
      </c>
      <c r="Y28" s="91" cm="1">
        <f t="array" ref="Y28">TREND('Total Pop'!$M32:$N32,'Total Pop'!$M$5:$N$5,'state calcs'!Y$1)</f>
        <v>591097.57254503388</v>
      </c>
      <c r="Z28" s="91" cm="1">
        <f t="array" ref="Z28">TREND('Total Pop'!$N32:$O32,'Total Pop'!$N$5:$O$5,'state calcs'!Z$1)</f>
        <v>593495.30704302154</v>
      </c>
      <c r="AA28" s="91" cm="1">
        <f t="array" ref="AA28">TREND('Total Pop'!$N32:$O32,'Total Pop'!$N$5:$O$5,'state calcs'!AA$1)</f>
        <v>595893.04154101014</v>
      </c>
      <c r="AB28" s="91" cm="1">
        <f t="array" ref="AB28">TREND('Total Pop'!$N32:$O32,'Total Pop'!$N$5:$O$5,'state calcs'!AB$1)</f>
        <v>598290.77603899781</v>
      </c>
      <c r="AC28" s="91" cm="1">
        <f t="array" ref="AC28">TREND('Total Pop'!$N32:$O32,'Total Pop'!$N$5:$O$5,'state calcs'!AC$1)</f>
        <v>600688.5105369864</v>
      </c>
      <c r="AD28" s="91" cm="1">
        <f t="array" ref="AD28">TREND('Total Pop'!$N32:$O32,'Total Pop'!$N$5:$O$5,'state calcs'!AD$1)</f>
        <v>603086.245034975</v>
      </c>
      <c r="AE28" s="91" cm="1">
        <f t="array" ref="AE28">TREND('Total Pop'!$N32:$O32,'Total Pop'!$N$5:$O$5,'state calcs'!AE$1)</f>
        <v>605483.97953296266</v>
      </c>
    </row>
    <row r="29" spans="1:31" x14ac:dyDescent="0.25">
      <c r="A29" s="91" t="s">
        <v>379</v>
      </c>
      <c r="B29" s="91" cm="1">
        <f t="array" ref="B29">TREND('Total Pop'!$I33:$J33,'Total Pop'!$I$5:$J$5,'state calcs'!B$1)</f>
        <v>850508.49118756689</v>
      </c>
      <c r="C29" s="91" cm="1">
        <f t="array" ref="C29">TREND('Total Pop'!$I33:$J33,'Total Pop'!$I$5:$J$5,'state calcs'!C$1)</f>
        <v>855095.98237513378</v>
      </c>
      <c r="D29" s="91" cm="1">
        <f t="array" ref="D29">TREND('Total Pop'!$I33:$J33,'Total Pop'!$I$5:$J$5,'state calcs'!D$1)</f>
        <v>859683.47356270067</v>
      </c>
      <c r="E29" s="91" cm="1">
        <f t="array" ref="E29">TREND('Total Pop'!$I33:$J33,'Total Pop'!$I$5:$J$5,'state calcs'!E$1)</f>
        <v>864270.96475026943</v>
      </c>
      <c r="F29" s="91" cm="1">
        <f t="array" ref="F29">TREND('Total Pop'!$J33:$K33,'Total Pop'!$J$5:$K$5,'state calcs'!F$1)</f>
        <v>868858.45593783632</v>
      </c>
      <c r="G29" s="91" cm="1">
        <f t="array" ref="G29">TREND('Total Pop'!$J33:$K33,'Total Pop'!$J$5:$K$5,'state calcs'!G$1)</f>
        <v>873445.94712540321</v>
      </c>
      <c r="H29" s="91" cm="1">
        <f t="array" ref="H29">TREND('Total Pop'!$J33:$K33,'Total Pop'!$J$5:$K$5,'state calcs'!H$1)</f>
        <v>878033.4383129701</v>
      </c>
      <c r="I29" s="91" cm="1">
        <f t="array" ref="I29">TREND('Total Pop'!$J33:$K33,'Total Pop'!$J$5:$K$5,'state calcs'!I$1)</f>
        <v>882620.92950053886</v>
      </c>
      <c r="J29" s="91" cm="1">
        <f t="array" ref="J29">TREND('Total Pop'!$J33:$K33,'Total Pop'!$J$5:$K$5,'state calcs'!J$1)</f>
        <v>887208.42068810575</v>
      </c>
      <c r="K29" s="91" cm="1">
        <f t="array" ref="K29">TREND('Total Pop'!$K33:$L33,'Total Pop'!$K$5:$L$5,'state calcs'!K$1)</f>
        <v>891795.91187567357</v>
      </c>
      <c r="L29" s="91" cm="1">
        <f t="array" ref="L29">TREND('Total Pop'!$K33:$L33,'Total Pop'!$K$5:$L$5,'state calcs'!L$1)</f>
        <v>894703.44934770744</v>
      </c>
      <c r="M29" s="91" cm="1">
        <f t="array" ref="M29">TREND('Total Pop'!$K33:$L33,'Total Pop'!$K$5:$L$5,'state calcs'!M$1)</f>
        <v>897610.98681974132</v>
      </c>
      <c r="N29" s="91" cm="1">
        <f t="array" ref="N29">TREND('Total Pop'!$K33:$L33,'Total Pop'!$K$5:$L$5,'state calcs'!N$1)</f>
        <v>900518.52429177426</v>
      </c>
      <c r="O29" s="91" cm="1">
        <f t="array" ref="O29">TREND('Total Pop'!$K33:$L33,'Total Pop'!$K$5:$L$5,'state calcs'!O$1)</f>
        <v>903426.06176380813</v>
      </c>
      <c r="P29" s="91" cm="1">
        <f t="array" ref="P29">TREND('Total Pop'!$L33:$M33,'Total Pop'!$L$5:$M$5,'state calcs'!P$1)</f>
        <v>906333.599235842</v>
      </c>
      <c r="Q29" s="91" cm="1">
        <f t="array" ref="Q29">TREND('Total Pop'!$L33:$M33,'Total Pop'!$L$5:$M$5,'state calcs'!Q$1)</f>
        <v>909241.13670787495</v>
      </c>
      <c r="R29" s="91" cm="1">
        <f t="array" ref="R29">TREND('Total Pop'!$L33:$M33,'Total Pop'!$L$5:$M$5,'state calcs'!R$1)</f>
        <v>912148.67417990882</v>
      </c>
      <c r="S29" s="91" cm="1">
        <f t="array" ref="S29">TREND('Total Pop'!$L33:$M33,'Total Pop'!$L$5:$M$5,'state calcs'!S$1)</f>
        <v>915056.21165194269</v>
      </c>
      <c r="T29" s="91" cm="1">
        <f t="array" ref="T29">TREND('Total Pop'!$L33:$M33,'Total Pop'!$L$5:$M$5,'state calcs'!T$1)</f>
        <v>917963.74912397563</v>
      </c>
      <c r="U29" s="91" cm="1">
        <f t="array" ref="U29">TREND('Total Pop'!$M33:$N33,'Total Pop'!$M$5:$N$5,'state calcs'!U$1)</f>
        <v>920871.28659600904</v>
      </c>
      <c r="V29" s="91" cm="1">
        <f t="array" ref="V29">TREND('Total Pop'!$M33:$N33,'Total Pop'!$M$5:$N$5,'state calcs'!V$1)</f>
        <v>922759.37048416585</v>
      </c>
      <c r="W29" s="91" cm="1">
        <f t="array" ref="W29">TREND('Total Pop'!$M33:$N33,'Total Pop'!$M$5:$N$5,'state calcs'!W$1)</f>
        <v>924647.45437232265</v>
      </c>
      <c r="X29" s="91" cm="1">
        <f t="array" ref="X29">TREND('Total Pop'!$M33:$N33,'Total Pop'!$M$5:$N$5,'state calcs'!X$1)</f>
        <v>926535.53826047992</v>
      </c>
      <c r="Y29" s="91" cm="1">
        <f t="array" ref="Y29">TREND('Total Pop'!$M33:$N33,'Total Pop'!$M$5:$N$5,'state calcs'!Y$1)</f>
        <v>928423.62214863673</v>
      </c>
      <c r="Z29" s="91" cm="1">
        <f t="array" ref="Z29">TREND('Total Pop'!$N33:$O33,'Total Pop'!$N$5:$O$5,'state calcs'!Z$1)</f>
        <v>930311.706036794</v>
      </c>
      <c r="AA29" s="91" cm="1">
        <f t="array" ref="AA29">TREND('Total Pop'!$N33:$O33,'Total Pop'!$N$5:$O$5,'state calcs'!AA$1)</f>
        <v>932199.7899249508</v>
      </c>
      <c r="AB29" s="91" cm="1">
        <f t="array" ref="AB29">TREND('Total Pop'!$N33:$O33,'Total Pop'!$N$5:$O$5,'state calcs'!AB$1)</f>
        <v>934087.87381310761</v>
      </c>
      <c r="AC29" s="91" cm="1">
        <f t="array" ref="AC29">TREND('Total Pop'!$N33:$O33,'Total Pop'!$N$5:$O$5,'state calcs'!AC$1)</f>
        <v>935975.95770126441</v>
      </c>
      <c r="AD29" s="91" cm="1">
        <f t="array" ref="AD29">TREND('Total Pop'!$N33:$O33,'Total Pop'!$N$5:$O$5,'state calcs'!AD$1)</f>
        <v>937864.04158942122</v>
      </c>
      <c r="AE29" s="91" cm="1">
        <f t="array" ref="AE29">TREND('Total Pop'!$N33:$O33,'Total Pop'!$N$5:$O$5,'state calcs'!AE$1)</f>
        <v>939752.12547757803</v>
      </c>
    </row>
    <row r="30" spans="1:31" x14ac:dyDescent="0.25">
      <c r="A30" s="91" t="s">
        <v>381</v>
      </c>
      <c r="B30" s="91" cm="1">
        <f t="array" ref="B30">TREND('Total Pop'!$I34:$J34,'Total Pop'!$I$5:$J$5,'state calcs'!B$1)</f>
        <v>1299693.8378307223</v>
      </c>
      <c r="C30" s="91" cm="1">
        <f t="array" ref="C30">TREND('Total Pop'!$I34:$J34,'Total Pop'!$I$5:$J$5,'state calcs'!C$1)</f>
        <v>1313497.6756614484</v>
      </c>
      <c r="D30" s="91" cm="1">
        <f t="array" ref="D30">TREND('Total Pop'!$I34:$J34,'Total Pop'!$I$5:$J$5,'state calcs'!D$1)</f>
        <v>1327301.5134921744</v>
      </c>
      <c r="E30" s="91" cm="1">
        <f t="array" ref="E30">TREND('Total Pop'!$I34:$J34,'Total Pop'!$I$5:$J$5,'state calcs'!E$1)</f>
        <v>1341105.3513229005</v>
      </c>
      <c r="F30" s="91" cm="1">
        <f t="array" ref="F30">TREND('Total Pop'!$J34:$K34,'Total Pop'!$J$5:$K$5,'state calcs'!F$1)</f>
        <v>1354909.1891536266</v>
      </c>
      <c r="G30" s="91" cm="1">
        <f t="array" ref="G30">TREND('Total Pop'!$J34:$K34,'Total Pop'!$J$5:$K$5,'state calcs'!G$1)</f>
        <v>1368713.0269843489</v>
      </c>
      <c r="H30" s="91" cm="1">
        <f t="array" ref="H30">TREND('Total Pop'!$J34:$K34,'Total Pop'!$J$5:$K$5,'state calcs'!H$1)</f>
        <v>1382516.864815075</v>
      </c>
      <c r="I30" s="91" cm="1">
        <f t="array" ref="I30">TREND('Total Pop'!$J34:$K34,'Total Pop'!$J$5:$K$5,'state calcs'!I$1)</f>
        <v>1396320.702645801</v>
      </c>
      <c r="J30" s="91" cm="1">
        <f t="array" ref="J30">TREND('Total Pop'!$J34:$K34,'Total Pop'!$J$5:$K$5,'state calcs'!J$1)</f>
        <v>1410124.5404765271</v>
      </c>
      <c r="K30" s="91" cm="1">
        <f t="array" ref="K30">TREND('Total Pop'!$K34:$L34,'Total Pop'!$K$5:$L$5,'state calcs'!K$1)</f>
        <v>1423928.3783072531</v>
      </c>
      <c r="L30" s="91" cm="1">
        <f t="array" ref="L30">TREND('Total Pop'!$K34:$L34,'Total Pop'!$K$5:$L$5,'state calcs'!L$1)</f>
        <v>1438922.7729646228</v>
      </c>
      <c r="M30" s="91" cm="1">
        <f t="array" ref="M30">TREND('Total Pop'!$K34:$L34,'Total Pop'!$K$5:$L$5,'state calcs'!M$1)</f>
        <v>1453917.1676219888</v>
      </c>
      <c r="N30" s="91" cm="1">
        <f t="array" ref="N30">TREND('Total Pop'!$K34:$L34,'Total Pop'!$K$5:$L$5,'state calcs'!N$1)</f>
        <v>1468911.5622793548</v>
      </c>
      <c r="O30" s="91" cm="1">
        <f t="array" ref="O30">TREND('Total Pop'!$K34:$L34,'Total Pop'!$K$5:$L$5,'state calcs'!O$1)</f>
        <v>1483905.9569367245</v>
      </c>
      <c r="P30" s="91" cm="1">
        <f t="array" ref="P30">TREND('Total Pop'!$L34:$M34,'Total Pop'!$L$5:$M$5,'state calcs'!P$1)</f>
        <v>1498900.3515940905</v>
      </c>
      <c r="Q30" s="91" cm="1">
        <f t="array" ref="Q30">TREND('Total Pop'!$L34:$M34,'Total Pop'!$L$5:$M$5,'state calcs'!Q$1)</f>
        <v>1513894.7462514564</v>
      </c>
      <c r="R30" s="91" cm="1">
        <f t="array" ref="R30">TREND('Total Pop'!$L34:$M34,'Total Pop'!$L$5:$M$5,'state calcs'!R$1)</f>
        <v>1528889.1409088261</v>
      </c>
      <c r="S30" s="91" cm="1">
        <f t="array" ref="S30">TREND('Total Pop'!$L34:$M34,'Total Pop'!$L$5:$M$5,'state calcs'!S$1)</f>
        <v>1543883.5355661921</v>
      </c>
      <c r="T30" s="91" cm="1">
        <f t="array" ref="T30">TREND('Total Pop'!$L34:$M34,'Total Pop'!$L$5:$M$5,'state calcs'!T$1)</f>
        <v>1558877.9302235618</v>
      </c>
      <c r="U30" s="91" cm="1">
        <f t="array" ref="U30">TREND('Total Pop'!$M34:$N34,'Total Pop'!$M$5:$N$5,'state calcs'!U$1)</f>
        <v>1573872.3248809278</v>
      </c>
      <c r="V30" s="91" cm="1">
        <f t="array" ref="V30">TREND('Total Pop'!$M34:$N34,'Total Pop'!$M$5:$N$5,'state calcs'!V$1)</f>
        <v>1588407.2222431637</v>
      </c>
      <c r="W30" s="91" cm="1">
        <f t="array" ref="W30">TREND('Total Pop'!$M34:$N34,'Total Pop'!$M$5:$N$5,'state calcs'!W$1)</f>
        <v>1602942.1196053997</v>
      </c>
      <c r="X30" s="91" cm="1">
        <f t="array" ref="X30">TREND('Total Pop'!$M34:$N34,'Total Pop'!$M$5:$N$5,'state calcs'!X$1)</f>
        <v>1617477.0169676356</v>
      </c>
      <c r="Y30" s="91" cm="1">
        <f t="array" ref="Y30">TREND('Total Pop'!$M34:$N34,'Total Pop'!$M$5:$N$5,'state calcs'!Y$1)</f>
        <v>1632011.9143298753</v>
      </c>
      <c r="Z30" s="91" cm="1">
        <f t="array" ref="Z30">TREND('Total Pop'!$N34:$O34,'Total Pop'!$N$5:$O$5,'state calcs'!Z$1)</f>
        <v>1646546.8116921112</v>
      </c>
      <c r="AA30" s="91" cm="1">
        <f t="array" ref="AA30">TREND('Total Pop'!$N34:$O34,'Total Pop'!$N$5:$O$5,'state calcs'!AA$1)</f>
        <v>1661081.7090543471</v>
      </c>
      <c r="AB30" s="91" cm="1">
        <f t="array" ref="AB30">TREND('Total Pop'!$N34:$O34,'Total Pop'!$N$5:$O$5,'state calcs'!AB$1)</f>
        <v>1675616.6064165831</v>
      </c>
      <c r="AC30" s="91" cm="1">
        <f t="array" ref="AC30">TREND('Total Pop'!$N34:$O34,'Total Pop'!$N$5:$O$5,'state calcs'!AC$1)</f>
        <v>1690151.503778819</v>
      </c>
      <c r="AD30" s="91" cm="1">
        <f t="array" ref="AD30">TREND('Total Pop'!$N34:$O34,'Total Pop'!$N$5:$O$5,'state calcs'!AD$1)</f>
        <v>1704686.4011410549</v>
      </c>
      <c r="AE30" s="91" cm="1">
        <f t="array" ref="AE30">TREND('Total Pop'!$N34:$O34,'Total Pop'!$N$5:$O$5,'state calcs'!AE$1)</f>
        <v>1719221.2985032909</v>
      </c>
    </row>
    <row r="31" spans="1:31" x14ac:dyDescent="0.25">
      <c r="A31" s="91" t="s">
        <v>383</v>
      </c>
      <c r="B31" s="91" cm="1">
        <f t="array" ref="B31">TREND('Total Pop'!$I35:$J35,'Total Pop'!$I$5:$J$5,'state calcs'!B$1)</f>
        <v>642078.99687566422</v>
      </c>
      <c r="C31" s="91" cm="1">
        <f t="array" ref="C31">TREND('Total Pop'!$I35:$J35,'Total Pop'!$I$5:$J$5,'state calcs'!C$1)</f>
        <v>644271.99375132844</v>
      </c>
      <c r="D31" s="91" cm="1">
        <f t="array" ref="D31">TREND('Total Pop'!$I35:$J35,'Total Pop'!$I$5:$J$5,'state calcs'!D$1)</f>
        <v>646464.99062699359</v>
      </c>
      <c r="E31" s="91" cm="1">
        <f t="array" ref="E31">TREND('Total Pop'!$I35:$J35,'Total Pop'!$I$5:$J$5,'state calcs'!E$1)</f>
        <v>648657.98750265781</v>
      </c>
      <c r="F31" s="91" cm="1">
        <f t="array" ref="F31">TREND('Total Pop'!$J35:$K35,'Total Pop'!$J$5:$K$5,'state calcs'!F$1)</f>
        <v>650850.98437832389</v>
      </c>
      <c r="G31" s="91" cm="1">
        <f t="array" ref="G31">TREND('Total Pop'!$J35:$K35,'Total Pop'!$J$5:$K$5,'state calcs'!G$1)</f>
        <v>653043.98125398811</v>
      </c>
      <c r="H31" s="91" cm="1">
        <f t="array" ref="H31">TREND('Total Pop'!$J35:$K35,'Total Pop'!$J$5:$K$5,'state calcs'!H$1)</f>
        <v>655236.97812965326</v>
      </c>
      <c r="I31" s="91" cm="1">
        <f t="array" ref="I31">TREND('Total Pop'!$J35:$K35,'Total Pop'!$J$5:$K$5,'state calcs'!I$1)</f>
        <v>657429.97500531841</v>
      </c>
      <c r="J31" s="91" cm="1">
        <f t="array" ref="J31">TREND('Total Pop'!$J35:$K35,'Total Pop'!$J$5:$K$5,'state calcs'!J$1)</f>
        <v>659622.97188098263</v>
      </c>
      <c r="K31" s="91" cm="1">
        <f t="array" ref="K31">TREND('Total Pop'!$K35:$L35,'Total Pop'!$K$5:$L$5,'state calcs'!K$1)</f>
        <v>661815.96875664708</v>
      </c>
      <c r="L31" s="91" cm="1">
        <f t="array" ref="L31">TREND('Total Pop'!$K35:$L35,'Total Pop'!$K$5:$L$5,'state calcs'!L$1)</f>
        <v>662215.80683254357</v>
      </c>
      <c r="M31" s="91" cm="1">
        <f t="array" ref="M31">TREND('Total Pop'!$K35:$L35,'Total Pop'!$K$5:$L$5,'state calcs'!M$1)</f>
        <v>662615.64490844018</v>
      </c>
      <c r="N31" s="91" cm="1">
        <f t="array" ref="N31">TREND('Total Pop'!$K35:$L35,'Total Pop'!$K$5:$L$5,'state calcs'!N$1)</f>
        <v>663015.48298433668</v>
      </c>
      <c r="O31" s="91" cm="1">
        <f t="array" ref="O31">TREND('Total Pop'!$K35:$L35,'Total Pop'!$K$5:$L$5,'state calcs'!O$1)</f>
        <v>663415.32106023317</v>
      </c>
      <c r="P31" s="91" cm="1">
        <f t="array" ref="P31">TREND('Total Pop'!$L35:$M35,'Total Pop'!$L$5:$M$5,'state calcs'!P$1)</f>
        <v>663815.15913612978</v>
      </c>
      <c r="Q31" s="91" cm="1">
        <f t="array" ref="Q31">TREND('Total Pop'!$L35:$M35,'Total Pop'!$L$5:$M$5,'state calcs'!Q$1)</f>
        <v>664214.99721202638</v>
      </c>
      <c r="R31" s="91" cm="1">
        <f t="array" ref="R31">TREND('Total Pop'!$L35:$M35,'Total Pop'!$L$5:$M$5,'state calcs'!R$1)</f>
        <v>664614.83528792288</v>
      </c>
      <c r="S31" s="91" cm="1">
        <f t="array" ref="S31">TREND('Total Pop'!$L35:$M35,'Total Pop'!$L$5:$M$5,'state calcs'!S$1)</f>
        <v>665014.67336381937</v>
      </c>
      <c r="T31" s="91" cm="1">
        <f t="array" ref="T31">TREND('Total Pop'!$L35:$M35,'Total Pop'!$L$5:$M$5,'state calcs'!T$1)</f>
        <v>665414.51143971586</v>
      </c>
      <c r="U31" s="91" cm="1">
        <f t="array" ref="U31">TREND('Total Pop'!$M35:$N35,'Total Pop'!$M$5:$N$5,'state calcs'!U$1)</f>
        <v>665814.34951561259</v>
      </c>
      <c r="V31" s="91" cm="1">
        <f t="array" ref="V31">TREND('Total Pop'!$M35:$N35,'Total Pop'!$M$5:$N$5,'state calcs'!V$1)</f>
        <v>665431.69525011652</v>
      </c>
      <c r="W31" s="91" cm="1">
        <f t="array" ref="W31">TREND('Total Pop'!$M35:$N35,'Total Pop'!$M$5:$N$5,'state calcs'!W$1)</f>
        <v>665049.04098462057</v>
      </c>
      <c r="X31" s="91" cm="1">
        <f t="array" ref="X31">TREND('Total Pop'!$M35:$N35,'Total Pop'!$M$5:$N$5,'state calcs'!X$1)</f>
        <v>664666.38671912451</v>
      </c>
      <c r="Y31" s="91" cm="1">
        <f t="array" ref="Y31">TREND('Total Pop'!$M35:$N35,'Total Pop'!$M$5:$N$5,'state calcs'!Y$1)</f>
        <v>664283.73245362844</v>
      </c>
      <c r="Z31" s="91" cm="1">
        <f t="array" ref="Z31">TREND('Total Pop'!$N35:$O35,'Total Pop'!$N$5:$O$5,'state calcs'!Z$1)</f>
        <v>663901.07818813226</v>
      </c>
      <c r="AA31" s="91" cm="1">
        <f t="array" ref="AA31">TREND('Total Pop'!$N35:$O35,'Total Pop'!$N$5:$O$5,'state calcs'!AA$1)</f>
        <v>663518.4239226362</v>
      </c>
      <c r="AB31" s="91" cm="1">
        <f t="array" ref="AB31">TREND('Total Pop'!$N35:$O35,'Total Pop'!$N$5:$O$5,'state calcs'!AB$1)</f>
        <v>663135.76965714025</v>
      </c>
      <c r="AC31" s="91" cm="1">
        <f t="array" ref="AC31">TREND('Total Pop'!$N35:$O35,'Total Pop'!$N$5:$O$5,'state calcs'!AC$1)</f>
        <v>662753.11539164418</v>
      </c>
      <c r="AD31" s="91" cm="1">
        <f t="array" ref="AD31">TREND('Total Pop'!$N35:$O35,'Total Pop'!$N$5:$O$5,'state calcs'!AD$1)</f>
        <v>662370.46112614812</v>
      </c>
      <c r="AE31" s="91" cm="1">
        <f t="array" ref="AE31">TREND('Total Pop'!$N35:$O35,'Total Pop'!$N$5:$O$5,'state calcs'!AE$1)</f>
        <v>661987.80686065217</v>
      </c>
    </row>
    <row r="32" spans="1:31" x14ac:dyDescent="0.25">
      <c r="A32" s="91" t="s">
        <v>385</v>
      </c>
      <c r="B32" s="91" cm="1">
        <f t="array" ref="B32">TREND('Total Pop'!$I36:$J36,'Total Pop'!$I$5:$J$5,'state calcs'!B$1)</f>
        <v>3780590.5095033459</v>
      </c>
      <c r="C32" s="91" cm="1">
        <f t="array" ref="C32">TREND('Total Pop'!$I36:$J36,'Total Pop'!$I$5:$J$5,'state calcs'!C$1)</f>
        <v>3796271.0190066956</v>
      </c>
      <c r="D32" s="91" cm="1">
        <f t="array" ref="D32">TREND('Total Pop'!$I36:$J36,'Total Pop'!$I$5:$J$5,'state calcs'!D$1)</f>
        <v>3811951.5285100415</v>
      </c>
      <c r="E32" s="91" cm="1">
        <f t="array" ref="E32">TREND('Total Pop'!$I36:$J36,'Total Pop'!$I$5:$J$5,'state calcs'!E$1)</f>
        <v>3827632.0380133912</v>
      </c>
      <c r="F32" s="91" cm="1">
        <f t="array" ref="F32">TREND('Total Pop'!$J36:$K36,'Total Pop'!$J$5:$K$5,'state calcs'!F$1)</f>
        <v>3843312.5475167409</v>
      </c>
      <c r="G32" s="91" cm="1">
        <f t="array" ref="G32">TREND('Total Pop'!$J36:$K36,'Total Pop'!$J$5:$K$5,'state calcs'!G$1)</f>
        <v>3858993.0570200868</v>
      </c>
      <c r="H32" s="91" cm="1">
        <f t="array" ref="H32">TREND('Total Pop'!$J36:$K36,'Total Pop'!$J$5:$K$5,'state calcs'!H$1)</f>
        <v>3874673.5665234365</v>
      </c>
      <c r="I32" s="91" cm="1">
        <f t="array" ref="I32">TREND('Total Pop'!$J36:$K36,'Total Pop'!$J$5:$K$5,'state calcs'!I$1)</f>
        <v>3890354.0760267861</v>
      </c>
      <c r="J32" s="91" cm="1">
        <f t="array" ref="J32">TREND('Total Pop'!$J36:$K36,'Total Pop'!$J$5:$K$5,'state calcs'!J$1)</f>
        <v>3906034.5855301321</v>
      </c>
      <c r="K32" s="91" cm="1">
        <f t="array" ref="K32">TREND('Total Pop'!$K36:$L36,'Total Pop'!$K$5:$L$5,'state calcs'!K$1)</f>
        <v>3921715.0950334799</v>
      </c>
      <c r="L32" s="91" cm="1">
        <f t="array" ref="L32">TREND('Total Pop'!$K36:$L36,'Total Pop'!$K$5:$L$5,'state calcs'!L$1)</f>
        <v>3927915.2167844009</v>
      </c>
      <c r="M32" s="91" cm="1">
        <f t="array" ref="M32">TREND('Total Pop'!$K36:$L36,'Total Pop'!$K$5:$L$5,'state calcs'!M$1)</f>
        <v>3934115.3385353237</v>
      </c>
      <c r="N32" s="91" cm="1">
        <f t="array" ref="N32">TREND('Total Pop'!$K36:$L36,'Total Pop'!$K$5:$L$5,'state calcs'!N$1)</f>
        <v>3940315.4602862466</v>
      </c>
      <c r="O32" s="91" cm="1">
        <f t="array" ref="O32">TREND('Total Pop'!$K36:$L36,'Total Pop'!$K$5:$L$5,'state calcs'!O$1)</f>
        <v>3946515.5820371695</v>
      </c>
      <c r="P32" s="91" cm="1">
        <f t="array" ref="P32">TREND('Total Pop'!$L36:$M36,'Total Pop'!$L$5:$M$5,'state calcs'!P$1)</f>
        <v>3952715.7037880905</v>
      </c>
      <c r="Q32" s="91" cm="1">
        <f t="array" ref="Q32">TREND('Total Pop'!$L36:$M36,'Total Pop'!$L$5:$M$5,'state calcs'!Q$1)</f>
        <v>3958915.8255390134</v>
      </c>
      <c r="R32" s="91" cm="1">
        <f t="array" ref="R32">TREND('Total Pop'!$L36:$M36,'Total Pop'!$L$5:$M$5,'state calcs'!R$1)</f>
        <v>3965115.9472899344</v>
      </c>
      <c r="S32" s="91" cm="1">
        <f t="array" ref="S32">TREND('Total Pop'!$L36:$M36,'Total Pop'!$L$5:$M$5,'state calcs'!S$1)</f>
        <v>3971316.0690408573</v>
      </c>
      <c r="T32" s="91" cm="1">
        <f t="array" ref="T32">TREND('Total Pop'!$L36:$M36,'Total Pop'!$L$5:$M$5,'state calcs'!T$1)</f>
        <v>3977516.1907917801</v>
      </c>
      <c r="U32" s="91" cm="1">
        <f t="array" ref="U32">TREND('Total Pop'!$M36:$N36,'Total Pop'!$M$5:$N$5,'state calcs'!U$1)</f>
        <v>3983716.312542703</v>
      </c>
      <c r="V32" s="91" cm="1">
        <f t="array" ref="V32">TREND('Total Pop'!$M36:$N36,'Total Pop'!$M$5:$N$5,'state calcs'!V$1)</f>
        <v>3985272.5776739037</v>
      </c>
      <c r="W32" s="91" cm="1">
        <f t="array" ref="W32">TREND('Total Pop'!$M36:$N36,'Total Pop'!$M$5:$N$5,'state calcs'!W$1)</f>
        <v>3986828.8428051048</v>
      </c>
      <c r="X32" s="91" cm="1">
        <f t="array" ref="X32">TREND('Total Pop'!$M36:$N36,'Total Pop'!$M$5:$N$5,'state calcs'!X$1)</f>
        <v>3988385.1079363059</v>
      </c>
      <c r="Y32" s="91" cm="1">
        <f t="array" ref="Y32">TREND('Total Pop'!$M36:$N36,'Total Pop'!$M$5:$N$5,'state calcs'!Y$1)</f>
        <v>3989941.3730675071</v>
      </c>
      <c r="Z32" s="91" cm="1">
        <f t="array" ref="Z32">TREND('Total Pop'!$N36:$O36,'Total Pop'!$N$5:$O$5,'state calcs'!Z$1)</f>
        <v>3991497.6381987077</v>
      </c>
      <c r="AA32" s="91" cm="1">
        <f t="array" ref="AA32">TREND('Total Pop'!$N36:$O36,'Total Pop'!$N$5:$O$5,'state calcs'!AA$1)</f>
        <v>3993053.9033299088</v>
      </c>
      <c r="AB32" s="91" cm="1">
        <f t="array" ref="AB32">TREND('Total Pop'!$N36:$O36,'Total Pop'!$N$5:$O$5,'state calcs'!AB$1)</f>
        <v>3994610.1684611095</v>
      </c>
      <c r="AC32" s="91" cm="1">
        <f t="array" ref="AC32">TREND('Total Pop'!$N36:$O36,'Total Pop'!$N$5:$O$5,'state calcs'!AC$1)</f>
        <v>3996166.4335923106</v>
      </c>
      <c r="AD32" s="91" cm="1">
        <f t="array" ref="AD32">TREND('Total Pop'!$N36:$O36,'Total Pop'!$N$5:$O$5,'state calcs'!AD$1)</f>
        <v>3997722.6987235118</v>
      </c>
      <c r="AE32" s="91" cm="1">
        <f t="array" ref="AE32">TREND('Total Pop'!$N36:$O36,'Total Pop'!$N$5:$O$5,'state calcs'!AE$1)</f>
        <v>3999278.9638547124</v>
      </c>
    </row>
    <row r="33" spans="1:31" x14ac:dyDescent="0.25">
      <c r="A33" s="91" t="s">
        <v>387</v>
      </c>
      <c r="B33" s="91" cm="1">
        <f t="array" ref="B33">TREND('Total Pop'!$I37:$J37,'Total Pop'!$I$5:$J$5,'state calcs'!B$1)</f>
        <v>944206.82135397103</v>
      </c>
      <c r="C33" s="91" cm="1">
        <f t="array" ref="C33">TREND('Total Pop'!$I37:$J37,'Total Pop'!$I$5:$J$5,'state calcs'!C$1)</f>
        <v>946190.64270794252</v>
      </c>
      <c r="D33" s="91" cm="1">
        <f t="array" ref="D33">TREND('Total Pop'!$I37:$J37,'Total Pop'!$I$5:$J$5,'state calcs'!D$1)</f>
        <v>948174.46406191401</v>
      </c>
      <c r="E33" s="91" cm="1">
        <f t="array" ref="E33">TREND('Total Pop'!$I37:$J37,'Total Pop'!$I$5:$J$5,'state calcs'!E$1)</f>
        <v>950158.2854158855</v>
      </c>
      <c r="F33" s="91" cm="1">
        <f t="array" ref="F33">TREND('Total Pop'!$J37:$K37,'Total Pop'!$J$5:$K$5,'state calcs'!F$1)</f>
        <v>952142.10676985746</v>
      </c>
      <c r="G33" s="91" cm="1">
        <f t="array" ref="G33">TREND('Total Pop'!$J37:$K37,'Total Pop'!$J$5:$K$5,'state calcs'!G$1)</f>
        <v>954125.92812382895</v>
      </c>
      <c r="H33" s="91" cm="1">
        <f t="array" ref="H33">TREND('Total Pop'!$J37:$K37,'Total Pop'!$J$5:$K$5,'state calcs'!H$1)</f>
        <v>956109.74947780045</v>
      </c>
      <c r="I33" s="91" cm="1">
        <f t="array" ref="I33">TREND('Total Pop'!$J37:$K37,'Total Pop'!$J$5:$K$5,'state calcs'!I$1)</f>
        <v>958093.57083177194</v>
      </c>
      <c r="J33" s="91" cm="1">
        <f t="array" ref="J33">TREND('Total Pop'!$J37:$K37,'Total Pop'!$J$5:$K$5,'state calcs'!J$1)</f>
        <v>960077.39218574343</v>
      </c>
      <c r="K33" s="91" cm="1">
        <f t="array" ref="K33">TREND('Total Pop'!$K37:$L37,'Total Pop'!$K$5:$L$5,'state calcs'!K$1)</f>
        <v>962061.21353971446</v>
      </c>
      <c r="L33" s="91" cm="1">
        <f t="array" ref="L33">TREND('Total Pop'!$K37:$L37,'Total Pop'!$K$5:$L$5,'state calcs'!L$1)</f>
        <v>960973.08160807379</v>
      </c>
      <c r="M33" s="91" cm="1">
        <f t="array" ref="M33">TREND('Total Pop'!$K37:$L37,'Total Pop'!$K$5:$L$5,'state calcs'!M$1)</f>
        <v>959884.94967643358</v>
      </c>
      <c r="N33" s="91" cm="1">
        <f t="array" ref="N33">TREND('Total Pop'!$K37:$L37,'Total Pop'!$K$5:$L$5,'state calcs'!N$1)</f>
        <v>958796.8177447929</v>
      </c>
      <c r="O33" s="91" cm="1">
        <f t="array" ref="O33">TREND('Total Pop'!$K37:$L37,'Total Pop'!$K$5:$L$5,'state calcs'!O$1)</f>
        <v>957708.6858131527</v>
      </c>
      <c r="P33" s="91" cm="1">
        <f t="array" ref="P33">TREND('Total Pop'!$L37:$M37,'Total Pop'!$L$5:$M$5,'state calcs'!P$1)</f>
        <v>956620.55388151249</v>
      </c>
      <c r="Q33" s="91" cm="1">
        <f t="array" ref="Q33">TREND('Total Pop'!$L37:$M37,'Total Pop'!$L$5:$M$5,'state calcs'!Q$1)</f>
        <v>955532.42194987228</v>
      </c>
      <c r="R33" s="91" cm="1">
        <f t="array" ref="R33">TREND('Total Pop'!$L37:$M37,'Total Pop'!$L$5:$M$5,'state calcs'!R$1)</f>
        <v>954444.29001823161</v>
      </c>
      <c r="S33" s="91" cm="1">
        <f t="array" ref="S33">TREND('Total Pop'!$L37:$M37,'Total Pop'!$L$5:$M$5,'state calcs'!S$1)</f>
        <v>953356.1580865914</v>
      </c>
      <c r="T33" s="91" cm="1">
        <f t="array" ref="T33">TREND('Total Pop'!$L37:$M37,'Total Pop'!$L$5:$M$5,'state calcs'!T$1)</f>
        <v>952268.02615495073</v>
      </c>
      <c r="U33" s="91" cm="1">
        <f t="array" ref="U33">TREND('Total Pop'!$M37:$N37,'Total Pop'!$M$5:$N$5,'state calcs'!U$1)</f>
        <v>951179.89422331098</v>
      </c>
      <c r="V33" s="91" cm="1">
        <f t="array" ref="V33">TREND('Total Pop'!$M37:$N37,'Total Pop'!$M$5:$N$5,'state calcs'!V$1)</f>
        <v>949002.09310944751</v>
      </c>
      <c r="W33" s="91" cm="1">
        <f t="array" ref="W33">TREND('Total Pop'!$M37:$N37,'Total Pop'!$M$5:$N$5,'state calcs'!W$1)</f>
        <v>946824.29199558403</v>
      </c>
      <c r="X33" s="91" cm="1">
        <f t="array" ref="X33">TREND('Total Pop'!$M37:$N37,'Total Pop'!$M$5:$N$5,'state calcs'!X$1)</f>
        <v>944646.49088171963</v>
      </c>
      <c r="Y33" s="91" cm="1">
        <f t="array" ref="Y33">TREND('Total Pop'!$M37:$N37,'Total Pop'!$M$5:$N$5,'state calcs'!Y$1)</f>
        <v>942468.68976785615</v>
      </c>
      <c r="Z33" s="91" cm="1">
        <f t="array" ref="Z33">TREND('Total Pop'!$N37:$O37,'Total Pop'!$N$5:$O$5,'state calcs'!Z$1)</f>
        <v>940290.88865399174</v>
      </c>
      <c r="AA33" s="91" cm="1">
        <f t="array" ref="AA33">TREND('Total Pop'!$N37:$O37,'Total Pop'!$N$5:$O$5,'state calcs'!AA$1)</f>
        <v>938113.08754012827</v>
      </c>
      <c r="AB33" s="91" cm="1">
        <f t="array" ref="AB33">TREND('Total Pop'!$N37:$O37,'Total Pop'!$N$5:$O$5,'state calcs'!AB$1)</f>
        <v>935935.28642626479</v>
      </c>
      <c r="AC33" s="91" cm="1">
        <f t="array" ref="AC33">TREND('Total Pop'!$N37:$O37,'Total Pop'!$N$5:$O$5,'state calcs'!AC$1)</f>
        <v>933757.48531240132</v>
      </c>
      <c r="AD33" s="91" cm="1">
        <f t="array" ref="AD33">TREND('Total Pop'!$N37:$O37,'Total Pop'!$N$5:$O$5,'state calcs'!AD$1)</f>
        <v>931579.68419853784</v>
      </c>
      <c r="AE33" s="91" cm="1">
        <f t="array" ref="AE33">TREND('Total Pop'!$N37:$O37,'Total Pop'!$N$5:$O$5,'state calcs'!AE$1)</f>
        <v>929401.88308467437</v>
      </c>
    </row>
    <row r="34" spans="1:31" x14ac:dyDescent="0.25">
      <c r="A34" s="91" t="s">
        <v>389</v>
      </c>
      <c r="B34" s="91" cm="1">
        <f t="array" ref="B34">TREND('Total Pop'!$I38:$J38,'Total Pop'!$I$5:$J$5,'state calcs'!B$1)</f>
        <v>8522180.850317128</v>
      </c>
      <c r="C34" s="91" cm="1">
        <f t="array" ref="C34">TREND('Total Pop'!$I38:$J38,'Total Pop'!$I$5:$J$5,'state calcs'!C$1)</f>
        <v>8548878.7006342486</v>
      </c>
      <c r="D34" s="91" cm="1">
        <f t="array" ref="D34">TREND('Total Pop'!$I38:$J38,'Total Pop'!$I$5:$J$5,'state calcs'!D$1)</f>
        <v>8575576.5509513766</v>
      </c>
      <c r="E34" s="91" cm="1">
        <f t="array" ref="E34">TREND('Total Pop'!$I38:$J38,'Total Pop'!$I$5:$J$5,'state calcs'!E$1)</f>
        <v>8602274.4012684971</v>
      </c>
      <c r="F34" s="91" cm="1">
        <f t="array" ref="F34">TREND('Total Pop'!$J38:$K38,'Total Pop'!$J$5:$K$5,'state calcs'!F$1)</f>
        <v>8628972.2515856177</v>
      </c>
      <c r="G34" s="91" cm="1">
        <f t="array" ref="G34">TREND('Total Pop'!$J38:$K38,'Total Pop'!$J$5:$K$5,'state calcs'!G$1)</f>
        <v>8655670.1019027457</v>
      </c>
      <c r="H34" s="91" cm="1">
        <f t="array" ref="H34">TREND('Total Pop'!$J38:$K38,'Total Pop'!$J$5:$K$5,'state calcs'!H$1)</f>
        <v>8682367.9522198662</v>
      </c>
      <c r="I34" s="91" cm="1">
        <f t="array" ref="I34">TREND('Total Pop'!$J38:$K38,'Total Pop'!$J$5:$K$5,'state calcs'!I$1)</f>
        <v>8709065.8025369942</v>
      </c>
      <c r="J34" s="91" cm="1">
        <f t="array" ref="J34">TREND('Total Pop'!$J38:$K38,'Total Pop'!$J$5:$K$5,'state calcs'!J$1)</f>
        <v>8735763.6528541222</v>
      </c>
      <c r="K34" s="91" cm="1">
        <f t="array" ref="K34">TREND('Total Pop'!$K38:$L38,'Total Pop'!$K$5:$L$5,'state calcs'!K$1)</f>
        <v>8762461.5031712446</v>
      </c>
      <c r="L34" s="91" cm="1">
        <f t="array" ref="L34">TREND('Total Pop'!$K38:$L38,'Total Pop'!$K$5:$L$5,'state calcs'!L$1)</f>
        <v>8764467.5244446546</v>
      </c>
      <c r="M34" s="91" cm="1">
        <f t="array" ref="M34">TREND('Total Pop'!$K38:$L38,'Total Pop'!$K$5:$L$5,'state calcs'!M$1)</f>
        <v>8766473.5457180664</v>
      </c>
      <c r="N34" s="91" cm="1">
        <f t="array" ref="N34">TREND('Total Pop'!$K38:$L38,'Total Pop'!$K$5:$L$5,'state calcs'!N$1)</f>
        <v>8768479.5669914782</v>
      </c>
      <c r="O34" s="91" cm="1">
        <f t="array" ref="O34">TREND('Total Pop'!$K38:$L38,'Total Pop'!$K$5:$L$5,'state calcs'!O$1)</f>
        <v>8770485.5882648882</v>
      </c>
      <c r="P34" s="91" cm="1">
        <f t="array" ref="P34">TREND('Total Pop'!$L38:$M38,'Total Pop'!$L$5:$M$5,'state calcs'!P$1)</f>
        <v>8772491.6095383</v>
      </c>
      <c r="Q34" s="91" cm="1">
        <f t="array" ref="Q34">TREND('Total Pop'!$L38:$M38,'Total Pop'!$L$5:$M$5,'state calcs'!Q$1)</f>
        <v>8774497.6308117099</v>
      </c>
      <c r="R34" s="91" cm="1">
        <f t="array" ref="R34">TREND('Total Pop'!$L38:$M38,'Total Pop'!$L$5:$M$5,'state calcs'!R$1)</f>
        <v>8776503.6520851217</v>
      </c>
      <c r="S34" s="91" cm="1">
        <f t="array" ref="S34">TREND('Total Pop'!$L38:$M38,'Total Pop'!$L$5:$M$5,'state calcs'!S$1)</f>
        <v>8778509.6733585335</v>
      </c>
      <c r="T34" s="91" cm="1">
        <f t="array" ref="T34">TREND('Total Pop'!$L38:$M38,'Total Pop'!$L$5:$M$5,'state calcs'!T$1)</f>
        <v>8780515.6946319435</v>
      </c>
      <c r="U34" s="91" cm="1">
        <f t="array" ref="U34">TREND('Total Pop'!$M38:$N38,'Total Pop'!$M$5:$N$5,'state calcs'!U$1)</f>
        <v>8782521.7159053534</v>
      </c>
      <c r="V34" s="91" cm="1">
        <f t="array" ref="V34">TREND('Total Pop'!$M38:$N38,'Total Pop'!$M$5:$N$5,'state calcs'!V$1)</f>
        <v>8774217.5008442067</v>
      </c>
      <c r="W34" s="91" cm="1">
        <f t="array" ref="W34">TREND('Total Pop'!$M38:$N38,'Total Pop'!$M$5:$N$5,'state calcs'!W$1)</f>
        <v>8765913.2857830562</v>
      </c>
      <c r="X34" s="91" cm="1">
        <f t="array" ref="X34">TREND('Total Pop'!$M38:$N38,'Total Pop'!$M$5:$N$5,'state calcs'!X$1)</f>
        <v>8757609.0707219057</v>
      </c>
      <c r="Y34" s="91" cm="1">
        <f t="array" ref="Y34">TREND('Total Pop'!$M38:$N38,'Total Pop'!$M$5:$N$5,'state calcs'!Y$1)</f>
        <v>8749304.8556607552</v>
      </c>
      <c r="Z34" s="91" cm="1">
        <f t="array" ref="Z34">TREND('Total Pop'!$N38:$O38,'Total Pop'!$N$5:$O$5,'state calcs'!Z$1)</f>
        <v>8741000.6405996047</v>
      </c>
      <c r="AA34" s="91" cm="1">
        <f t="array" ref="AA34">TREND('Total Pop'!$N38:$O38,'Total Pop'!$N$5:$O$5,'state calcs'!AA$1)</f>
        <v>8732696.4255384579</v>
      </c>
      <c r="AB34" s="91" cm="1">
        <f t="array" ref="AB34">TREND('Total Pop'!$N38:$O38,'Total Pop'!$N$5:$O$5,'state calcs'!AB$1)</f>
        <v>8724392.2104773074</v>
      </c>
      <c r="AC34" s="91" cm="1">
        <f t="array" ref="AC34">TREND('Total Pop'!$N38:$O38,'Total Pop'!$N$5:$O$5,'state calcs'!AC$1)</f>
        <v>8716087.9954161569</v>
      </c>
      <c r="AD34" s="91" cm="1">
        <f t="array" ref="AD34">TREND('Total Pop'!$N38:$O38,'Total Pop'!$N$5:$O$5,'state calcs'!AD$1)</f>
        <v>8707783.7803550065</v>
      </c>
      <c r="AE34" s="91" cm="1">
        <f t="array" ref="AE34">TREND('Total Pop'!$N38:$O38,'Total Pop'!$N$5:$O$5,'state calcs'!AE$1)</f>
        <v>8699479.565293856</v>
      </c>
    </row>
    <row r="35" spans="1:31" x14ac:dyDescent="0.25">
      <c r="A35" s="91" t="s">
        <v>391</v>
      </c>
      <c r="B35" s="91" cm="1">
        <f t="array" ref="B35">TREND('Total Pop'!$I39:$J39,'Total Pop'!$I$5:$J$5,'state calcs'!B$1)</f>
        <v>4762304.1147064194</v>
      </c>
      <c r="C35" s="91" cm="1">
        <f t="array" ref="C35">TREND('Total Pop'!$I39:$J39,'Total Pop'!$I$5:$J$5,'state calcs'!C$1)</f>
        <v>4794959.2294128388</v>
      </c>
      <c r="D35" s="91" cm="1">
        <f t="array" ref="D35">TREND('Total Pop'!$I39:$J39,'Total Pop'!$I$5:$J$5,'state calcs'!D$1)</f>
        <v>4827614.3441192508</v>
      </c>
      <c r="E35" s="91" cm="1">
        <f t="array" ref="E35">TREND('Total Pop'!$I39:$J39,'Total Pop'!$I$5:$J$5,'state calcs'!E$1)</f>
        <v>4860269.4588256702</v>
      </c>
      <c r="F35" s="91" cm="1">
        <f t="array" ref="F35">TREND('Total Pop'!$J39:$K39,'Total Pop'!$J$5:$K$5,'state calcs'!F$1)</f>
        <v>4892924.5735320896</v>
      </c>
      <c r="G35" s="91" cm="1">
        <f t="array" ref="G35">TREND('Total Pop'!$J39:$K39,'Total Pop'!$J$5:$K$5,'state calcs'!G$1)</f>
        <v>4925579.688238509</v>
      </c>
      <c r="H35" s="91" cm="1">
        <f t="array" ref="H35">TREND('Total Pop'!$J39:$K39,'Total Pop'!$J$5:$K$5,'state calcs'!H$1)</f>
        <v>4958234.8029449284</v>
      </c>
      <c r="I35" s="91" cm="1">
        <f t="array" ref="I35">TREND('Total Pop'!$J39:$K39,'Total Pop'!$J$5:$K$5,'state calcs'!I$1)</f>
        <v>4990889.9176513478</v>
      </c>
      <c r="J35" s="91" cm="1">
        <f t="array" ref="J35">TREND('Total Pop'!$J39:$K39,'Total Pop'!$J$5:$K$5,'state calcs'!J$1)</f>
        <v>5023545.0323577598</v>
      </c>
      <c r="K35" s="91" cm="1">
        <f t="array" ref="K35">TREND('Total Pop'!$K39:$L39,'Total Pop'!$K$5:$L$5,'state calcs'!K$1)</f>
        <v>5056200.1470641866</v>
      </c>
      <c r="L35" s="91" cm="1">
        <f t="array" ref="L35">TREND('Total Pop'!$K39:$L39,'Total Pop'!$K$5:$L$5,'state calcs'!L$1)</f>
        <v>5082789.7581450269</v>
      </c>
      <c r="M35" s="91" cm="1">
        <f t="array" ref="M35">TREND('Total Pop'!$K39:$L39,'Total Pop'!$K$5:$L$5,'state calcs'!M$1)</f>
        <v>5109379.3692258596</v>
      </c>
      <c r="N35" s="91" cm="1">
        <f t="array" ref="N35">TREND('Total Pop'!$K39:$L39,'Total Pop'!$K$5:$L$5,'state calcs'!N$1)</f>
        <v>5135968.9803066999</v>
      </c>
      <c r="O35" s="91" cm="1">
        <f t="array" ref="O35">TREND('Total Pop'!$K39:$L39,'Total Pop'!$K$5:$L$5,'state calcs'!O$1)</f>
        <v>5162558.5913875401</v>
      </c>
      <c r="P35" s="91" cm="1">
        <f t="array" ref="P35">TREND('Total Pop'!$L39:$M39,'Total Pop'!$L$5:$M$5,'state calcs'!P$1)</f>
        <v>5189148.2024683729</v>
      </c>
      <c r="Q35" s="91" cm="1">
        <f t="array" ref="Q35">TREND('Total Pop'!$L39:$M39,'Total Pop'!$L$5:$M$5,'state calcs'!Q$1)</f>
        <v>5215737.8135492131</v>
      </c>
      <c r="R35" s="91" cm="1">
        <f t="array" ref="R35">TREND('Total Pop'!$L39:$M39,'Total Pop'!$L$5:$M$5,'state calcs'!R$1)</f>
        <v>5242327.4246300533</v>
      </c>
      <c r="S35" s="91" cm="1">
        <f t="array" ref="S35">TREND('Total Pop'!$L39:$M39,'Total Pop'!$L$5:$M$5,'state calcs'!S$1)</f>
        <v>5268917.0357108861</v>
      </c>
      <c r="T35" s="91" cm="1">
        <f t="array" ref="T35">TREND('Total Pop'!$L39:$M39,'Total Pop'!$L$5:$M$5,'state calcs'!T$1)</f>
        <v>5295506.6467917264</v>
      </c>
      <c r="U35" s="91" cm="1">
        <f t="array" ref="U35">TREND('Total Pop'!$M39:$N39,'Total Pop'!$M$5:$N$5,'state calcs'!U$1)</f>
        <v>5322096.257872574</v>
      </c>
      <c r="V35" s="91" cm="1">
        <f t="array" ref="V35">TREND('Total Pop'!$M39:$N39,'Total Pop'!$M$5:$N$5,'state calcs'!V$1)</f>
        <v>5343519.8297778815</v>
      </c>
      <c r="W35" s="91" cm="1">
        <f t="array" ref="W35">TREND('Total Pop'!$M39:$N39,'Total Pop'!$M$5:$N$5,'state calcs'!W$1)</f>
        <v>5364943.401683189</v>
      </c>
      <c r="X35" s="91" cm="1">
        <f t="array" ref="X35">TREND('Total Pop'!$M39:$N39,'Total Pop'!$M$5:$N$5,'state calcs'!X$1)</f>
        <v>5386366.9735884964</v>
      </c>
      <c r="Y35" s="91" cm="1">
        <f t="array" ref="Y35">TREND('Total Pop'!$M39:$N39,'Total Pop'!$M$5:$N$5,'state calcs'!Y$1)</f>
        <v>5407790.5454937965</v>
      </c>
      <c r="Z35" s="91" cm="1">
        <f t="array" ref="Z35">TREND('Total Pop'!$N39:$O39,'Total Pop'!$N$5:$O$5,'state calcs'!Z$1)</f>
        <v>5429214.1173990965</v>
      </c>
      <c r="AA35" s="91" cm="1">
        <f t="array" ref="AA35">TREND('Total Pop'!$N39:$O39,'Total Pop'!$N$5:$O$5,'state calcs'!AA$1)</f>
        <v>5450637.689304404</v>
      </c>
      <c r="AB35" s="91" cm="1">
        <f t="array" ref="AB35">TREND('Total Pop'!$N39:$O39,'Total Pop'!$N$5:$O$5,'state calcs'!AB$1)</f>
        <v>5472061.261209704</v>
      </c>
      <c r="AC35" s="91" cm="1">
        <f t="array" ref="AC35">TREND('Total Pop'!$N39:$O39,'Total Pop'!$N$5:$O$5,'state calcs'!AC$1)</f>
        <v>5493484.8331150115</v>
      </c>
      <c r="AD35" s="91" cm="1">
        <f t="array" ref="AD35">TREND('Total Pop'!$N39:$O39,'Total Pop'!$N$5:$O$5,'state calcs'!AD$1)</f>
        <v>5514908.4050203189</v>
      </c>
      <c r="AE35" s="91" cm="1">
        <f t="array" ref="AE35">TREND('Total Pop'!$N39:$O39,'Total Pop'!$N$5:$O$5,'state calcs'!AE$1)</f>
        <v>5536331.9769256189</v>
      </c>
    </row>
    <row r="36" spans="1:31" x14ac:dyDescent="0.25">
      <c r="A36" s="91" t="s">
        <v>393</v>
      </c>
      <c r="B36" s="91" cm="1">
        <f t="array" ref="B36">TREND('Total Pop'!$I40:$J40,'Total Pop'!$I$5:$J$5,'state calcs'!B$1)</f>
        <v>375374.13882290013</v>
      </c>
      <c r="C36" s="91" cm="1">
        <f t="array" ref="C36">TREND('Total Pop'!$I40:$J40,'Total Pop'!$I$5:$J$5,'state calcs'!C$1)</f>
        <v>379581.27764580026</v>
      </c>
      <c r="D36" s="91" cm="1">
        <f t="array" ref="D36">TREND('Total Pop'!$I40:$J40,'Total Pop'!$I$5:$J$5,'state calcs'!D$1)</f>
        <v>383788.41646870039</v>
      </c>
      <c r="E36" s="91" cm="1">
        <f t="array" ref="E36">TREND('Total Pop'!$I40:$J40,'Total Pop'!$I$5:$J$5,'state calcs'!E$1)</f>
        <v>387995.55529160053</v>
      </c>
      <c r="F36" s="91" cm="1">
        <f t="array" ref="F36">TREND('Total Pop'!$J40:$K40,'Total Pop'!$J$5:$K$5,'state calcs'!F$1)</f>
        <v>392202.69411449973</v>
      </c>
      <c r="G36" s="91" cm="1">
        <f t="array" ref="G36">TREND('Total Pop'!$J40:$K40,'Total Pop'!$J$5:$K$5,'state calcs'!G$1)</f>
        <v>396409.83293739986</v>
      </c>
      <c r="H36" s="91" cm="1">
        <f t="array" ref="H36">TREND('Total Pop'!$J40:$K40,'Total Pop'!$J$5:$K$5,'state calcs'!H$1)</f>
        <v>400616.97176029999</v>
      </c>
      <c r="I36" s="91" cm="1">
        <f t="array" ref="I36">TREND('Total Pop'!$J40:$K40,'Total Pop'!$J$5:$K$5,'state calcs'!I$1)</f>
        <v>404824.11058320012</v>
      </c>
      <c r="J36" s="91" cm="1">
        <f t="array" ref="J36">TREND('Total Pop'!$J40:$K40,'Total Pop'!$J$5:$K$5,'state calcs'!J$1)</f>
        <v>409031.24940610025</v>
      </c>
      <c r="K36" s="91" cm="1">
        <f t="array" ref="K36">TREND('Total Pop'!$K40:$L40,'Total Pop'!$K$5:$L$5,'state calcs'!K$1)</f>
        <v>413238.38822899759</v>
      </c>
      <c r="L36" s="91" cm="1">
        <f t="array" ref="L36">TREND('Total Pop'!$K40:$L40,'Total Pop'!$K$5:$L$5,'state calcs'!L$1)</f>
        <v>417936.56043763086</v>
      </c>
      <c r="M36" s="91" cm="1">
        <f t="array" ref="M36">TREND('Total Pop'!$K40:$L40,'Total Pop'!$K$5:$L$5,'state calcs'!M$1)</f>
        <v>422634.73264626227</v>
      </c>
      <c r="N36" s="91" cm="1">
        <f t="array" ref="N36">TREND('Total Pop'!$K40:$L40,'Total Pop'!$K$5:$L$5,'state calcs'!N$1)</f>
        <v>427332.90485489555</v>
      </c>
      <c r="O36" s="91" cm="1">
        <f t="array" ref="O36">TREND('Total Pop'!$K40:$L40,'Total Pop'!$K$5:$L$5,'state calcs'!O$1)</f>
        <v>432031.07706352696</v>
      </c>
      <c r="P36" s="91" cm="1">
        <f t="array" ref="P36">TREND('Total Pop'!$L40:$M40,'Total Pop'!$L$5:$M$5,'state calcs'!P$1)</f>
        <v>436729.24927215837</v>
      </c>
      <c r="Q36" s="91" cm="1">
        <f t="array" ref="Q36">TREND('Total Pop'!$L40:$M40,'Total Pop'!$L$5:$M$5,'state calcs'!Q$1)</f>
        <v>441427.42148079164</v>
      </c>
      <c r="R36" s="91" cm="1">
        <f t="array" ref="R36">TREND('Total Pop'!$L40:$M40,'Total Pop'!$L$5:$M$5,'state calcs'!R$1)</f>
        <v>446125.59368942305</v>
      </c>
      <c r="S36" s="91" cm="1">
        <f t="array" ref="S36">TREND('Total Pop'!$L40:$M40,'Total Pop'!$L$5:$M$5,'state calcs'!S$1)</f>
        <v>450823.76589805633</v>
      </c>
      <c r="T36" s="91" cm="1">
        <f t="array" ref="T36">TREND('Total Pop'!$L40:$M40,'Total Pop'!$L$5:$M$5,'state calcs'!T$1)</f>
        <v>455521.93810668774</v>
      </c>
      <c r="U36" s="91" cm="1">
        <f t="array" ref="U36">TREND('Total Pop'!$M40:$N40,'Total Pop'!$M$5:$N$5,'state calcs'!U$1)</f>
        <v>460220.11031532101</v>
      </c>
      <c r="V36" s="91" cm="1">
        <f t="array" ref="V36">TREND('Total Pop'!$M40:$N40,'Total Pop'!$M$5:$N$5,'state calcs'!V$1)</f>
        <v>464851.8321903199</v>
      </c>
      <c r="W36" s="91" cm="1">
        <f t="array" ref="W36">TREND('Total Pop'!$M40:$N40,'Total Pop'!$M$5:$N$5,'state calcs'!W$1)</f>
        <v>469483.55406531878</v>
      </c>
      <c r="X36" s="91" cm="1">
        <f t="array" ref="X36">TREND('Total Pop'!$M40:$N40,'Total Pop'!$M$5:$N$5,'state calcs'!X$1)</f>
        <v>474115.27594031766</v>
      </c>
      <c r="Y36" s="91" cm="1">
        <f t="array" ref="Y36">TREND('Total Pop'!$M40:$N40,'Total Pop'!$M$5:$N$5,'state calcs'!Y$1)</f>
        <v>478746.99781531468</v>
      </c>
      <c r="Z36" s="91" cm="1">
        <f t="array" ref="Z36">TREND('Total Pop'!$N40:$O40,'Total Pop'!$N$5:$O$5,'state calcs'!Z$1)</f>
        <v>483378.7196903117</v>
      </c>
      <c r="AA36" s="91" cm="1">
        <f t="array" ref="AA36">TREND('Total Pop'!$N40:$O40,'Total Pop'!$N$5:$O$5,'state calcs'!AA$1)</f>
        <v>488010.44156531058</v>
      </c>
      <c r="AB36" s="91" cm="1">
        <f t="array" ref="AB36">TREND('Total Pop'!$N40:$O40,'Total Pop'!$N$5:$O$5,'state calcs'!AB$1)</f>
        <v>492642.16344030946</v>
      </c>
      <c r="AC36" s="91" cm="1">
        <f t="array" ref="AC36">TREND('Total Pop'!$N40:$O40,'Total Pop'!$N$5:$O$5,'state calcs'!AC$1)</f>
        <v>497273.88531530835</v>
      </c>
      <c r="AD36" s="91" cm="1">
        <f t="array" ref="AD36">TREND('Total Pop'!$N40:$O40,'Total Pop'!$N$5:$O$5,'state calcs'!AD$1)</f>
        <v>501905.60719030723</v>
      </c>
      <c r="AE36" s="91" cm="1">
        <f t="array" ref="AE36">TREND('Total Pop'!$N40:$O40,'Total Pop'!$N$5:$O$5,'state calcs'!AE$1)</f>
        <v>506537.32906530611</v>
      </c>
    </row>
    <row r="37" spans="1:31" x14ac:dyDescent="0.25">
      <c r="A37" s="91" t="s">
        <v>395</v>
      </c>
      <c r="B37" s="91" cm="1">
        <f t="array" ref="B37">TREND('Total Pop'!$I41:$J41,'Total Pop'!$I$5:$J$5,'state calcs'!B$1)</f>
        <v>5255177.5041566435</v>
      </c>
      <c r="C37" s="91" cm="1">
        <f t="array" ref="C37">TREND('Total Pop'!$I41:$J41,'Total Pop'!$I$5:$J$5,'state calcs'!C$1)</f>
        <v>5264079.0083132852</v>
      </c>
      <c r="D37" s="91" cm="1">
        <f t="array" ref="D37">TREND('Total Pop'!$I41:$J41,'Total Pop'!$I$5:$J$5,'state calcs'!D$1)</f>
        <v>5272980.5124699306</v>
      </c>
      <c r="E37" s="91" cm="1">
        <f t="array" ref="E37">TREND('Total Pop'!$I41:$J41,'Total Pop'!$I$5:$J$5,'state calcs'!E$1)</f>
        <v>5281882.016626576</v>
      </c>
      <c r="F37" s="91" cm="1">
        <f t="array" ref="F37">TREND('Total Pop'!$J41:$K41,'Total Pop'!$J$5:$K$5,'state calcs'!F$1)</f>
        <v>5290783.5207832176</v>
      </c>
      <c r="G37" s="91" cm="1">
        <f t="array" ref="G37">TREND('Total Pop'!$J41:$K41,'Total Pop'!$J$5:$K$5,'state calcs'!G$1)</f>
        <v>5299685.024939863</v>
      </c>
      <c r="H37" s="91" cm="1">
        <f t="array" ref="H37">TREND('Total Pop'!$J41:$K41,'Total Pop'!$J$5:$K$5,'state calcs'!H$1)</f>
        <v>5308586.5290965047</v>
      </c>
      <c r="I37" s="91" cm="1">
        <f t="array" ref="I37">TREND('Total Pop'!$J41:$K41,'Total Pop'!$J$5:$K$5,'state calcs'!I$1)</f>
        <v>5317488.0332531501</v>
      </c>
      <c r="J37" s="91" cm="1">
        <f t="array" ref="J37">TREND('Total Pop'!$J41:$K41,'Total Pop'!$J$5:$K$5,'state calcs'!J$1)</f>
        <v>5326389.5374097954</v>
      </c>
      <c r="K37" s="91" cm="1">
        <f t="array" ref="K37">TREND('Total Pop'!$K41:$L41,'Total Pop'!$K$5:$L$5,'state calcs'!K$1)</f>
        <v>5335291.041566439</v>
      </c>
      <c r="L37" s="91" cm="1">
        <f t="array" ref="L37">TREND('Total Pop'!$K41:$L41,'Total Pop'!$K$5:$L$5,'state calcs'!L$1)</f>
        <v>5326414.3932882883</v>
      </c>
      <c r="M37" s="91" cm="1">
        <f t="array" ref="M37">TREND('Total Pop'!$K41:$L41,'Total Pop'!$K$5:$L$5,'state calcs'!M$1)</f>
        <v>5317537.7450101376</v>
      </c>
      <c r="N37" s="91" cm="1">
        <f t="array" ref="N37">TREND('Total Pop'!$K41:$L41,'Total Pop'!$K$5:$L$5,'state calcs'!N$1)</f>
        <v>5308661.0967319869</v>
      </c>
      <c r="O37" s="91" cm="1">
        <f t="array" ref="O37">TREND('Total Pop'!$K41:$L41,'Total Pop'!$K$5:$L$5,'state calcs'!O$1)</f>
        <v>5299784.4484538361</v>
      </c>
      <c r="P37" s="91" cm="1">
        <f t="array" ref="P37">TREND('Total Pop'!$L41:$M41,'Total Pop'!$L$5:$M$5,'state calcs'!P$1)</f>
        <v>5290907.8001756817</v>
      </c>
      <c r="Q37" s="91" cm="1">
        <f t="array" ref="Q37">TREND('Total Pop'!$L41:$M41,'Total Pop'!$L$5:$M$5,'state calcs'!Q$1)</f>
        <v>5282031.151897531</v>
      </c>
      <c r="R37" s="91" cm="1">
        <f t="array" ref="R37">TREND('Total Pop'!$L41:$M41,'Total Pop'!$L$5:$M$5,'state calcs'!R$1)</f>
        <v>5273154.5036193803</v>
      </c>
      <c r="S37" s="91" cm="1">
        <f t="array" ref="S37">TREND('Total Pop'!$L41:$M41,'Total Pop'!$L$5:$M$5,'state calcs'!S$1)</f>
        <v>5264277.8553412259</v>
      </c>
      <c r="T37" s="91" cm="1">
        <f t="array" ref="T37">TREND('Total Pop'!$L41:$M41,'Total Pop'!$L$5:$M$5,'state calcs'!T$1)</f>
        <v>5255401.2070630752</v>
      </c>
      <c r="U37" s="91" cm="1">
        <f t="array" ref="U37">TREND('Total Pop'!$M41:$N41,'Total Pop'!$M$5:$N$5,'state calcs'!U$1)</f>
        <v>5246524.558784917</v>
      </c>
      <c r="V37" s="91" cm="1">
        <f t="array" ref="V37">TREND('Total Pop'!$M41:$N41,'Total Pop'!$M$5:$N$5,'state calcs'!V$1)</f>
        <v>5231750.0582628176</v>
      </c>
      <c r="W37" s="91" cm="1">
        <f t="array" ref="W37">TREND('Total Pop'!$M41:$N41,'Total Pop'!$M$5:$N$5,'state calcs'!W$1)</f>
        <v>5216975.5577407181</v>
      </c>
      <c r="X37" s="91" cm="1">
        <f t="array" ref="X37">TREND('Total Pop'!$M41:$N41,'Total Pop'!$M$5:$N$5,'state calcs'!X$1)</f>
        <v>5202201.057218615</v>
      </c>
      <c r="Y37" s="91" cm="1">
        <f t="array" ref="Y37">TREND('Total Pop'!$M41:$N41,'Total Pop'!$M$5:$N$5,'state calcs'!Y$1)</f>
        <v>5187426.5566965155</v>
      </c>
      <c r="Z37" s="91" cm="1">
        <f t="array" ref="Z37">TREND('Total Pop'!$N41:$O41,'Total Pop'!$N$5:$O$5,'state calcs'!Z$1)</f>
        <v>5172652.0561744235</v>
      </c>
      <c r="AA37" s="91" cm="1">
        <f t="array" ref="AA37">TREND('Total Pop'!$N41:$O41,'Total Pop'!$N$5:$O$5,'state calcs'!AA$1)</f>
        <v>5157877.5556523241</v>
      </c>
      <c r="AB37" s="91" cm="1">
        <f t="array" ref="AB37">TREND('Total Pop'!$N41:$O41,'Total Pop'!$N$5:$O$5,'state calcs'!AB$1)</f>
        <v>5143103.0551302209</v>
      </c>
      <c r="AC37" s="91" cm="1">
        <f t="array" ref="AC37">TREND('Total Pop'!$N41:$O41,'Total Pop'!$N$5:$O$5,'state calcs'!AC$1)</f>
        <v>5128328.5546081215</v>
      </c>
      <c r="AD37" s="91" cm="1">
        <f t="array" ref="AD37">TREND('Total Pop'!$N41:$O41,'Total Pop'!$N$5:$O$5,'state calcs'!AD$1)</f>
        <v>5113554.0540860221</v>
      </c>
      <c r="AE37" s="91" cm="1">
        <f t="array" ref="AE37">TREND('Total Pop'!$N41:$O41,'Total Pop'!$N$5:$O$5,'state calcs'!AE$1)</f>
        <v>5098779.5535639189</v>
      </c>
    </row>
    <row r="38" spans="1:31" x14ac:dyDescent="0.25">
      <c r="A38" s="91" t="s">
        <v>397</v>
      </c>
      <c r="B38" s="91" cm="1">
        <f t="array" ref="B38">TREND('Total Pop'!$I42:$J42,'Total Pop'!$I$5:$J$5,'state calcs'!B$1)</f>
        <v>1756475.2639266737</v>
      </c>
      <c r="C38" s="91" cm="1">
        <f t="array" ref="C38">TREND('Total Pop'!$I42:$J42,'Total Pop'!$I$5:$J$5,'state calcs'!C$1)</f>
        <v>1763622.5278533455</v>
      </c>
      <c r="D38" s="91" cm="1">
        <f t="array" ref="D38">TREND('Total Pop'!$I42:$J42,'Total Pop'!$I$5:$J$5,'state calcs'!D$1)</f>
        <v>1770769.7917800173</v>
      </c>
      <c r="E38" s="91" cm="1">
        <f t="array" ref="E38">TREND('Total Pop'!$I42:$J42,'Total Pop'!$I$5:$J$5,'state calcs'!E$1)</f>
        <v>1777917.0557066891</v>
      </c>
      <c r="F38" s="91" cm="1">
        <f t="array" ref="F38">TREND('Total Pop'!$J42:$K42,'Total Pop'!$J$5:$K$5,'state calcs'!F$1)</f>
        <v>1785064.319633361</v>
      </c>
      <c r="G38" s="91" cm="1">
        <f t="array" ref="G38">TREND('Total Pop'!$J42:$K42,'Total Pop'!$J$5:$K$5,'state calcs'!G$1)</f>
        <v>1792211.5835600328</v>
      </c>
      <c r="H38" s="91" cm="1">
        <f t="array" ref="H38">TREND('Total Pop'!$J42:$K42,'Total Pop'!$J$5:$K$5,'state calcs'!H$1)</f>
        <v>1799358.8474867046</v>
      </c>
      <c r="I38" s="91" cm="1">
        <f t="array" ref="I38">TREND('Total Pop'!$J42:$K42,'Total Pop'!$J$5:$K$5,'state calcs'!I$1)</f>
        <v>1806506.1114133783</v>
      </c>
      <c r="J38" s="91" cm="1">
        <f t="array" ref="J38">TREND('Total Pop'!$J42:$K42,'Total Pop'!$J$5:$K$5,'state calcs'!J$1)</f>
        <v>1813653.3753400501</v>
      </c>
      <c r="K38" s="91" cm="1">
        <f t="array" ref="K38">TREND('Total Pop'!$K42:$L42,'Total Pop'!$K$5:$L$5,'state calcs'!K$1)</f>
        <v>1820800.6392667205</v>
      </c>
      <c r="L38" s="91" cm="1">
        <f t="array" ref="L38">TREND('Total Pop'!$K42:$L42,'Total Pop'!$K$5:$L$5,'state calcs'!L$1)</f>
        <v>1823487.8463521716</v>
      </c>
      <c r="M38" s="91" cm="1">
        <f t="array" ref="M38">TREND('Total Pop'!$K42:$L42,'Total Pop'!$K$5:$L$5,'state calcs'!M$1)</f>
        <v>1826175.0534376227</v>
      </c>
      <c r="N38" s="91" cm="1">
        <f t="array" ref="N38">TREND('Total Pop'!$K42:$L42,'Total Pop'!$K$5:$L$5,'state calcs'!N$1)</f>
        <v>1828862.2605230738</v>
      </c>
      <c r="O38" s="91" cm="1">
        <f t="array" ref="O38">TREND('Total Pop'!$K42:$L42,'Total Pop'!$K$5:$L$5,'state calcs'!O$1)</f>
        <v>1831549.467608525</v>
      </c>
      <c r="P38" s="91" cm="1">
        <f t="array" ref="P38">TREND('Total Pop'!$L42:$M42,'Total Pop'!$L$5:$M$5,'state calcs'!P$1)</f>
        <v>1834236.6746939761</v>
      </c>
      <c r="Q38" s="91" cm="1">
        <f t="array" ref="Q38">TREND('Total Pop'!$L42:$M42,'Total Pop'!$L$5:$M$5,'state calcs'!Q$1)</f>
        <v>1836923.8817794272</v>
      </c>
      <c r="R38" s="91" cm="1">
        <f t="array" ref="R38">TREND('Total Pop'!$L42:$M42,'Total Pop'!$L$5:$M$5,'state calcs'!R$1)</f>
        <v>1839611.0888648783</v>
      </c>
      <c r="S38" s="91" cm="1">
        <f t="array" ref="S38">TREND('Total Pop'!$L42:$M42,'Total Pop'!$L$5:$M$5,'state calcs'!S$1)</f>
        <v>1842298.2959503303</v>
      </c>
      <c r="T38" s="91" cm="1">
        <f t="array" ref="T38">TREND('Total Pop'!$L42:$M42,'Total Pop'!$L$5:$M$5,'state calcs'!T$1)</f>
        <v>1844985.5030357814</v>
      </c>
      <c r="U38" s="91" cm="1">
        <f t="array" ref="U38">TREND('Total Pop'!$M42:$N42,'Total Pop'!$M$5:$N$5,'state calcs'!U$1)</f>
        <v>1847672.7101212319</v>
      </c>
      <c r="V38" s="91" cm="1">
        <f t="array" ref="V38">TREND('Total Pop'!$M42:$N42,'Total Pop'!$M$5:$N$5,'state calcs'!V$1)</f>
        <v>1848202.539020461</v>
      </c>
      <c r="W38" s="91" cm="1">
        <f t="array" ref="W38">TREND('Total Pop'!$M42:$N42,'Total Pop'!$M$5:$N$5,'state calcs'!W$1)</f>
        <v>1848732.3679196904</v>
      </c>
      <c r="X38" s="91" cm="1">
        <f t="array" ref="X38">TREND('Total Pop'!$M42:$N42,'Total Pop'!$M$5:$N$5,'state calcs'!X$1)</f>
        <v>1849262.1968189196</v>
      </c>
      <c r="Y38" s="91" cm="1">
        <f t="array" ref="Y38">TREND('Total Pop'!$M42:$N42,'Total Pop'!$M$5:$N$5,'state calcs'!Y$1)</f>
        <v>1849792.0257181488</v>
      </c>
      <c r="Z38" s="91" cm="1">
        <f t="array" ref="Z38">TREND('Total Pop'!$N42:$O42,'Total Pop'!$N$5:$O$5,'state calcs'!Z$1)</f>
        <v>1850321.8546173782</v>
      </c>
      <c r="AA38" s="91" cm="1">
        <f t="array" ref="AA38">TREND('Total Pop'!$N42:$O42,'Total Pop'!$N$5:$O$5,'state calcs'!AA$1)</f>
        <v>1850851.6835166076</v>
      </c>
      <c r="AB38" s="91" cm="1">
        <f t="array" ref="AB38">TREND('Total Pop'!$N42:$O42,'Total Pop'!$N$5:$O$5,'state calcs'!AB$1)</f>
        <v>1851381.5124158368</v>
      </c>
      <c r="AC38" s="91" cm="1">
        <f t="array" ref="AC38">TREND('Total Pop'!$N42:$O42,'Total Pop'!$N$5:$O$5,'state calcs'!AC$1)</f>
        <v>1851911.3413150662</v>
      </c>
      <c r="AD38" s="91" cm="1">
        <f t="array" ref="AD38">TREND('Total Pop'!$N42:$O42,'Total Pop'!$N$5:$O$5,'state calcs'!AD$1)</f>
        <v>1852441.1702142956</v>
      </c>
      <c r="AE38" s="91" cm="1">
        <f t="array" ref="AE38">TREND('Total Pop'!$N42:$O42,'Total Pop'!$N$5:$O$5,'state calcs'!AE$1)</f>
        <v>1852970.9991135248</v>
      </c>
    </row>
    <row r="39" spans="1:31" x14ac:dyDescent="0.25">
      <c r="A39" s="91" t="s">
        <v>399</v>
      </c>
      <c r="B39" s="91" cm="1">
        <f t="array" ref="B39">TREND('Total Pop'!$I43:$J43,'Total Pop'!$I$5:$J$5,'state calcs'!B$1)</f>
        <v>1833199.5204708688</v>
      </c>
      <c r="C39" s="91" cm="1">
        <f t="array" ref="C39">TREND('Total Pop'!$I43:$J43,'Total Pop'!$I$5:$J$5,'state calcs'!C$1)</f>
        <v>1847203.0409417339</v>
      </c>
      <c r="D39" s="91" cm="1">
        <f t="array" ref="D39">TREND('Total Pop'!$I43:$J43,'Total Pop'!$I$5:$J$5,'state calcs'!D$1)</f>
        <v>1861206.5614125989</v>
      </c>
      <c r="E39" s="91" cm="1">
        <f t="array" ref="E39">TREND('Total Pop'!$I43:$J43,'Total Pop'!$I$5:$J$5,'state calcs'!E$1)</f>
        <v>1875210.0818834677</v>
      </c>
      <c r="F39" s="91" cm="1">
        <f t="array" ref="F39">TREND('Total Pop'!$J43:$K43,'Total Pop'!$J$5:$K$5,'state calcs'!F$1)</f>
        <v>1889213.6023543328</v>
      </c>
      <c r="G39" s="91" cm="1">
        <f t="array" ref="G39">TREND('Total Pop'!$J43:$K43,'Total Pop'!$J$5:$K$5,'state calcs'!G$1)</f>
        <v>1903217.1228251979</v>
      </c>
      <c r="H39" s="91" cm="1">
        <f t="array" ref="H39">TREND('Total Pop'!$J43:$K43,'Total Pop'!$J$5:$K$5,'state calcs'!H$1)</f>
        <v>1917220.6432960667</v>
      </c>
      <c r="I39" s="91" cm="1">
        <f t="array" ref="I39">TREND('Total Pop'!$J43:$K43,'Total Pop'!$J$5:$K$5,'state calcs'!I$1)</f>
        <v>1931224.1637669317</v>
      </c>
      <c r="J39" s="91" cm="1">
        <f t="array" ref="J39">TREND('Total Pop'!$J43:$K43,'Total Pop'!$J$5:$K$5,'state calcs'!J$1)</f>
        <v>1945227.6842378005</v>
      </c>
      <c r="K39" s="91" cm="1">
        <f t="array" ref="K39">TREND('Total Pop'!$K43:$L43,'Total Pop'!$K$5:$L$5,'state calcs'!K$1)</f>
        <v>1959231.2047086656</v>
      </c>
      <c r="L39" s="91" cm="1">
        <f t="array" ref="L39">TREND('Total Pop'!$K43:$L43,'Total Pop'!$K$5:$L$5,'state calcs'!L$1)</f>
        <v>1971649.6755014136</v>
      </c>
      <c r="M39" s="91" cm="1">
        <f t="array" ref="M39">TREND('Total Pop'!$K43:$L43,'Total Pop'!$K$5:$L$5,'state calcs'!M$1)</f>
        <v>1984068.1462941654</v>
      </c>
      <c r="N39" s="91" cm="1">
        <f t="array" ref="N39">TREND('Total Pop'!$K43:$L43,'Total Pop'!$K$5:$L$5,'state calcs'!N$1)</f>
        <v>1996486.6170869134</v>
      </c>
      <c r="O39" s="91" cm="1">
        <f t="array" ref="O39">TREND('Total Pop'!$K43:$L43,'Total Pop'!$K$5:$L$5,'state calcs'!O$1)</f>
        <v>2008905.0878796615</v>
      </c>
      <c r="P39" s="91" cm="1">
        <f t="array" ref="P39">TREND('Total Pop'!$L43:$M43,'Total Pop'!$L$5:$M$5,'state calcs'!P$1)</f>
        <v>2021323.5586724095</v>
      </c>
      <c r="Q39" s="91" cm="1">
        <f t="array" ref="Q39">TREND('Total Pop'!$L43:$M43,'Total Pop'!$L$5:$M$5,'state calcs'!Q$1)</f>
        <v>2033742.0294651575</v>
      </c>
      <c r="R39" s="91" cm="1">
        <f t="array" ref="R39">TREND('Total Pop'!$L43:$M43,'Total Pop'!$L$5:$M$5,'state calcs'!R$1)</f>
        <v>2046160.5002579093</v>
      </c>
      <c r="S39" s="91" cm="1">
        <f t="array" ref="S39">TREND('Total Pop'!$L43:$M43,'Total Pop'!$L$5:$M$5,'state calcs'!S$1)</f>
        <v>2058578.9710506573</v>
      </c>
      <c r="T39" s="91" cm="1">
        <f t="array" ref="T39">TREND('Total Pop'!$L43:$M43,'Total Pop'!$L$5:$M$5,'state calcs'!T$1)</f>
        <v>2070997.4418434054</v>
      </c>
      <c r="U39" s="91" cm="1">
        <f t="array" ref="U39">TREND('Total Pop'!$M43:$N43,'Total Pop'!$M$5:$N$5,'state calcs'!U$1)</f>
        <v>2083415.9126361571</v>
      </c>
      <c r="V39" s="91" cm="1">
        <f t="array" ref="V39">TREND('Total Pop'!$M43:$N43,'Total Pop'!$M$5:$N$5,'state calcs'!V$1)</f>
        <v>2094025.4535361119</v>
      </c>
      <c r="W39" s="91" cm="1">
        <f t="array" ref="W39">TREND('Total Pop'!$M43:$N43,'Total Pop'!$M$5:$N$5,'state calcs'!W$1)</f>
        <v>2104634.9944360666</v>
      </c>
      <c r="X39" s="91" cm="1">
        <f t="array" ref="X39">TREND('Total Pop'!$M43:$N43,'Total Pop'!$M$5:$N$5,'state calcs'!X$1)</f>
        <v>2115244.5353360213</v>
      </c>
      <c r="Y39" s="91" cm="1">
        <f t="array" ref="Y39">TREND('Total Pop'!$M43:$N43,'Total Pop'!$M$5:$N$5,'state calcs'!Y$1)</f>
        <v>2125854.0762359761</v>
      </c>
      <c r="Z39" s="91" cm="1">
        <f t="array" ref="Z39">TREND('Total Pop'!$N43:$O43,'Total Pop'!$N$5:$O$5,'state calcs'!Z$1)</f>
        <v>2136463.6171359345</v>
      </c>
      <c r="AA39" s="91" cm="1">
        <f t="array" ref="AA39">TREND('Total Pop'!$N43:$O43,'Total Pop'!$N$5:$O$5,'state calcs'!AA$1)</f>
        <v>2147073.1580358893</v>
      </c>
      <c r="AB39" s="91" cm="1">
        <f t="array" ref="AB39">TREND('Total Pop'!$N43:$O43,'Total Pop'!$N$5:$O$5,'state calcs'!AB$1)</f>
        <v>2157682.698935844</v>
      </c>
      <c r="AC39" s="91" cm="1">
        <f t="array" ref="AC39">TREND('Total Pop'!$N43:$O43,'Total Pop'!$N$5:$O$5,'state calcs'!AC$1)</f>
        <v>2168292.2398357987</v>
      </c>
      <c r="AD39" s="91" cm="1">
        <f t="array" ref="AD39">TREND('Total Pop'!$N43:$O43,'Total Pop'!$N$5:$O$5,'state calcs'!AD$1)</f>
        <v>2178901.7807357535</v>
      </c>
      <c r="AE39" s="91" cm="1">
        <f t="array" ref="AE39">TREND('Total Pop'!$N43:$O43,'Total Pop'!$N$5:$O$5,'state calcs'!AE$1)</f>
        <v>2189511.3216357082</v>
      </c>
    </row>
    <row r="40" spans="1:31" x14ac:dyDescent="0.25">
      <c r="A40" s="91" t="s">
        <v>401</v>
      </c>
      <c r="B40" s="91" cm="1">
        <f t="array" ref="B40">TREND('Total Pop'!$I44:$J44,'Total Pop'!$I$5:$J$5,'state calcs'!B$1)</f>
        <v>5757766.3699582946</v>
      </c>
      <c r="C40" s="91" cm="1">
        <f t="array" ref="C40">TREND('Total Pop'!$I44:$J44,'Total Pop'!$I$5:$J$5,'state calcs'!C$1)</f>
        <v>5767879.7399165872</v>
      </c>
      <c r="D40" s="91" cm="1">
        <f t="array" ref="D40">TREND('Total Pop'!$I44:$J44,'Total Pop'!$I$5:$J$5,'state calcs'!D$1)</f>
        <v>5777993.1098748799</v>
      </c>
      <c r="E40" s="91" cm="1">
        <f t="array" ref="E40">TREND('Total Pop'!$I44:$J44,'Total Pop'!$I$5:$J$5,'state calcs'!E$1)</f>
        <v>5788106.4798331726</v>
      </c>
      <c r="F40" s="91" cm="1">
        <f t="array" ref="F40">TREND('Total Pop'!$J44:$K44,'Total Pop'!$J$5:$K$5,'state calcs'!F$1)</f>
        <v>5798219.8497914672</v>
      </c>
      <c r="G40" s="91" cm="1">
        <f t="array" ref="G40">TREND('Total Pop'!$J44:$K44,'Total Pop'!$J$5:$K$5,'state calcs'!G$1)</f>
        <v>5808333.2197497599</v>
      </c>
      <c r="H40" s="91" cm="1">
        <f t="array" ref="H40">TREND('Total Pop'!$J44:$K44,'Total Pop'!$J$5:$K$5,'state calcs'!H$1)</f>
        <v>5818446.5897080526</v>
      </c>
      <c r="I40" s="91" cm="1">
        <f t="array" ref="I40">TREND('Total Pop'!$J44:$K44,'Total Pop'!$J$5:$K$5,'state calcs'!I$1)</f>
        <v>5828559.9596663453</v>
      </c>
      <c r="J40" s="91" cm="1">
        <f t="array" ref="J40">TREND('Total Pop'!$J44:$K44,'Total Pop'!$J$5:$K$5,'state calcs'!J$1)</f>
        <v>5838673.329624638</v>
      </c>
      <c r="K40" s="91" cm="1">
        <f t="array" ref="K40">TREND('Total Pop'!$K44:$L44,'Total Pop'!$K$5:$L$5,'state calcs'!K$1)</f>
        <v>5848786.6995829269</v>
      </c>
      <c r="L40" s="91" cm="1">
        <f t="array" ref="L40">TREND('Total Pop'!$K44:$L44,'Total Pop'!$K$5:$L$5,'state calcs'!L$1)</f>
        <v>5839534.0062587932</v>
      </c>
      <c r="M40" s="91" cm="1">
        <f t="array" ref="M40">TREND('Total Pop'!$K44:$L44,'Total Pop'!$K$5:$L$5,'state calcs'!M$1)</f>
        <v>5830281.3129346631</v>
      </c>
      <c r="N40" s="91" cm="1">
        <f t="array" ref="N40">TREND('Total Pop'!$K44:$L44,'Total Pop'!$K$5:$L$5,'state calcs'!N$1)</f>
        <v>5821028.6196105294</v>
      </c>
      <c r="O40" s="91" cm="1">
        <f t="array" ref="O40">TREND('Total Pop'!$K44:$L44,'Total Pop'!$K$5:$L$5,'state calcs'!O$1)</f>
        <v>5811775.9262863956</v>
      </c>
      <c r="P40" s="91" cm="1">
        <f t="array" ref="P40">TREND('Total Pop'!$L44:$M44,'Total Pop'!$L$5:$M$5,'state calcs'!P$1)</f>
        <v>5802523.2329622693</v>
      </c>
      <c r="Q40" s="91" cm="1">
        <f t="array" ref="Q40">TREND('Total Pop'!$L44:$M44,'Total Pop'!$L$5:$M$5,'state calcs'!Q$1)</f>
        <v>5793270.5396381393</v>
      </c>
      <c r="R40" s="91" cm="1">
        <f t="array" ref="R40">TREND('Total Pop'!$L44:$M44,'Total Pop'!$L$5:$M$5,'state calcs'!R$1)</f>
        <v>5784017.8463140056</v>
      </c>
      <c r="S40" s="91" cm="1">
        <f t="array" ref="S40">TREND('Total Pop'!$L44:$M44,'Total Pop'!$L$5:$M$5,'state calcs'!S$1)</f>
        <v>5774765.1529898718</v>
      </c>
      <c r="T40" s="91" cm="1">
        <f t="array" ref="T40">TREND('Total Pop'!$L44:$M44,'Total Pop'!$L$5:$M$5,'state calcs'!T$1)</f>
        <v>5765512.4596657418</v>
      </c>
      <c r="U40" s="91" cm="1">
        <f t="array" ref="U40">TREND('Total Pop'!$M44:$N44,'Total Pop'!$M$5:$N$5,'state calcs'!U$1)</f>
        <v>5756259.766341608</v>
      </c>
      <c r="V40" s="91" cm="1">
        <f t="array" ref="V40">TREND('Total Pop'!$M44:$N44,'Total Pop'!$M$5:$N$5,'state calcs'!V$1)</f>
        <v>5740515.0301376544</v>
      </c>
      <c r="W40" s="91" cm="1">
        <f t="array" ref="W40">TREND('Total Pop'!$M44:$N44,'Total Pop'!$M$5:$N$5,'state calcs'!W$1)</f>
        <v>5724770.2939337008</v>
      </c>
      <c r="X40" s="91" cm="1">
        <f t="array" ref="X40">TREND('Total Pop'!$M44:$N44,'Total Pop'!$M$5:$N$5,'state calcs'!X$1)</f>
        <v>5709025.5577297471</v>
      </c>
      <c r="Y40" s="91" cm="1">
        <f t="array" ref="Y40">TREND('Total Pop'!$M44:$N44,'Total Pop'!$M$5:$N$5,'state calcs'!Y$1)</f>
        <v>5693280.8215257935</v>
      </c>
      <c r="Z40" s="91" cm="1">
        <f t="array" ref="Z40">TREND('Total Pop'!$N44:$O44,'Total Pop'!$N$5:$O$5,'state calcs'!Z$1)</f>
        <v>5677536.0853218362</v>
      </c>
      <c r="AA40" s="91" cm="1">
        <f t="array" ref="AA40">TREND('Total Pop'!$N44:$O44,'Total Pop'!$N$5:$O$5,'state calcs'!AA$1)</f>
        <v>5661791.3491178825</v>
      </c>
      <c r="AB40" s="91" cm="1">
        <f t="array" ref="AB40">TREND('Total Pop'!$N44:$O44,'Total Pop'!$N$5:$O$5,'state calcs'!AB$1)</f>
        <v>5646046.6129139289</v>
      </c>
      <c r="AC40" s="91" cm="1">
        <f t="array" ref="AC40">TREND('Total Pop'!$N44:$O44,'Total Pop'!$N$5:$O$5,'state calcs'!AC$1)</f>
        <v>5630301.8767099753</v>
      </c>
      <c r="AD40" s="91" cm="1">
        <f t="array" ref="AD40">TREND('Total Pop'!$N44:$O44,'Total Pop'!$N$5:$O$5,'state calcs'!AD$1)</f>
        <v>5614557.1405060217</v>
      </c>
      <c r="AE40" s="91" cm="1">
        <f t="array" ref="AE40">TREND('Total Pop'!$N44:$O44,'Total Pop'!$N$5:$O$5,'state calcs'!AE$1)</f>
        <v>5598812.4043020681</v>
      </c>
    </row>
    <row r="41" spans="1:31" x14ac:dyDescent="0.25">
      <c r="A41" s="91" t="s">
        <v>403</v>
      </c>
      <c r="B41" s="91" cm="1">
        <f t="array" ref="B41">TREND('Total Pop'!$I45:$J45,'Total Pop'!$I$5:$J$5,'state calcs'!B$1)</f>
        <v>485267.5941216941</v>
      </c>
      <c r="C41" s="91" cm="1">
        <f t="array" ref="C41">TREND('Total Pop'!$I45:$J45,'Total Pop'!$I$5:$J$5,'state calcs'!C$1)</f>
        <v>486791.18824338866</v>
      </c>
      <c r="D41" s="91" cm="1">
        <f t="array" ref="D41">TREND('Total Pop'!$I45:$J45,'Total Pop'!$I$5:$J$5,'state calcs'!D$1)</f>
        <v>488314.78236508276</v>
      </c>
      <c r="E41" s="91" cm="1">
        <f t="array" ref="E41">TREND('Total Pop'!$I45:$J45,'Total Pop'!$I$5:$J$5,'state calcs'!E$1)</f>
        <v>489838.37648677686</v>
      </c>
      <c r="F41" s="91" cm="1">
        <f t="array" ref="F41">TREND('Total Pop'!$J45:$K45,'Total Pop'!$J$5:$K$5,'state calcs'!F$1)</f>
        <v>491361.97060847143</v>
      </c>
      <c r="G41" s="91" cm="1">
        <f t="array" ref="G41">TREND('Total Pop'!$J45:$K45,'Total Pop'!$J$5:$K$5,'state calcs'!G$1)</f>
        <v>492885.56473016599</v>
      </c>
      <c r="H41" s="91" cm="1">
        <f t="array" ref="H41">TREND('Total Pop'!$J45:$K45,'Total Pop'!$J$5:$K$5,'state calcs'!H$1)</f>
        <v>494409.15885186009</v>
      </c>
      <c r="I41" s="91" cm="1">
        <f t="array" ref="I41">TREND('Total Pop'!$J45:$K45,'Total Pop'!$J$5:$K$5,'state calcs'!I$1)</f>
        <v>495932.75297355466</v>
      </c>
      <c r="J41" s="91" cm="1">
        <f t="array" ref="J41">TREND('Total Pop'!$J45:$K45,'Total Pop'!$J$5:$K$5,'state calcs'!J$1)</f>
        <v>497456.34709524876</v>
      </c>
      <c r="K41" s="91" cm="1">
        <f t="array" ref="K41">TREND('Total Pop'!$K45:$L45,'Total Pop'!$K$5:$L$5,'state calcs'!K$1)</f>
        <v>498979.94121694274</v>
      </c>
      <c r="L41" s="91" cm="1">
        <f t="array" ref="L41">TREND('Total Pop'!$K45:$L45,'Total Pop'!$K$5:$L$5,'state calcs'!L$1)</f>
        <v>499098.77070712461</v>
      </c>
      <c r="M41" s="91" cm="1">
        <f t="array" ref="M41">TREND('Total Pop'!$K45:$L45,'Total Pop'!$K$5:$L$5,'state calcs'!M$1)</f>
        <v>499217.60019730643</v>
      </c>
      <c r="N41" s="91" cm="1">
        <f t="array" ref="N41">TREND('Total Pop'!$K45:$L45,'Total Pop'!$K$5:$L$5,'state calcs'!N$1)</f>
        <v>499336.42968748824</v>
      </c>
      <c r="O41" s="91" cm="1">
        <f t="array" ref="O41">TREND('Total Pop'!$K45:$L45,'Total Pop'!$K$5:$L$5,'state calcs'!O$1)</f>
        <v>499455.25917767012</v>
      </c>
      <c r="P41" s="91" cm="1">
        <f t="array" ref="P41">TREND('Total Pop'!$L45:$M45,'Total Pop'!$L$5:$M$5,'state calcs'!P$1)</f>
        <v>499574.08866785199</v>
      </c>
      <c r="Q41" s="91" cm="1">
        <f t="array" ref="Q41">TREND('Total Pop'!$L45:$M45,'Total Pop'!$L$5:$M$5,'state calcs'!Q$1)</f>
        <v>499692.9181580338</v>
      </c>
      <c r="R41" s="91" cm="1">
        <f t="array" ref="R41">TREND('Total Pop'!$L45:$M45,'Total Pop'!$L$5:$M$5,'state calcs'!R$1)</f>
        <v>499811.74764821562</v>
      </c>
      <c r="S41" s="91" cm="1">
        <f t="array" ref="S41">TREND('Total Pop'!$L45:$M45,'Total Pop'!$L$5:$M$5,'state calcs'!S$1)</f>
        <v>499930.57713839749</v>
      </c>
      <c r="T41" s="91" cm="1">
        <f t="array" ref="T41">TREND('Total Pop'!$L45:$M45,'Total Pop'!$L$5:$M$5,'state calcs'!T$1)</f>
        <v>500049.40662857925</v>
      </c>
      <c r="U41" s="91" cm="1">
        <f t="array" ref="U41">TREND('Total Pop'!$M45:$N45,'Total Pop'!$M$5:$N$5,'state calcs'!U$1)</f>
        <v>500168.23611876101</v>
      </c>
      <c r="V41" s="91" cm="1">
        <f t="array" ref="V41">TREND('Total Pop'!$M45:$N45,'Total Pop'!$M$5:$N$5,'state calcs'!V$1)</f>
        <v>499699.86085224501</v>
      </c>
      <c r="W41" s="91" cm="1">
        <f t="array" ref="W41">TREND('Total Pop'!$M45:$N45,'Total Pop'!$M$5:$N$5,'state calcs'!W$1)</f>
        <v>499231.48558572889</v>
      </c>
      <c r="X41" s="91" cm="1">
        <f t="array" ref="X41">TREND('Total Pop'!$M45:$N45,'Total Pop'!$M$5:$N$5,'state calcs'!X$1)</f>
        <v>498763.11031921278</v>
      </c>
      <c r="Y41" s="91" cm="1">
        <f t="array" ref="Y41">TREND('Total Pop'!$M45:$N45,'Total Pop'!$M$5:$N$5,'state calcs'!Y$1)</f>
        <v>498294.73505269666</v>
      </c>
      <c r="Z41" s="91" cm="1">
        <f t="array" ref="Z41">TREND('Total Pop'!$N45:$O45,'Total Pop'!$N$5:$O$5,'state calcs'!Z$1)</f>
        <v>497826.35978618055</v>
      </c>
      <c r="AA41" s="91" cm="1">
        <f t="array" ref="AA41">TREND('Total Pop'!$N45:$O45,'Total Pop'!$N$5:$O$5,'state calcs'!AA$1)</f>
        <v>497357.98451966455</v>
      </c>
      <c r="AB41" s="91" cm="1">
        <f t="array" ref="AB41">TREND('Total Pop'!$N45:$O45,'Total Pop'!$N$5:$O$5,'state calcs'!AB$1)</f>
        <v>496889.60925314843</v>
      </c>
      <c r="AC41" s="91" cm="1">
        <f t="array" ref="AC41">TREND('Total Pop'!$N45:$O45,'Total Pop'!$N$5:$O$5,'state calcs'!AC$1)</f>
        <v>496421.23398663232</v>
      </c>
      <c r="AD41" s="91" cm="1">
        <f t="array" ref="AD41">TREND('Total Pop'!$N45:$O45,'Total Pop'!$N$5:$O$5,'state calcs'!AD$1)</f>
        <v>495952.8587201162</v>
      </c>
      <c r="AE41" s="91" cm="1">
        <f t="array" ref="AE41">TREND('Total Pop'!$N45:$O45,'Total Pop'!$N$5:$O$5,'state calcs'!AE$1)</f>
        <v>495484.48345360009</v>
      </c>
    </row>
    <row r="42" spans="1:31" x14ac:dyDescent="0.25">
      <c r="A42" s="91" t="s">
        <v>405</v>
      </c>
      <c r="B42" s="91" cm="1">
        <f t="array" ref="B42">TREND('Total Pop'!$I46:$J46,'Total Pop'!$I$5:$J$5,'state calcs'!B$1)</f>
        <v>2371788.524046585</v>
      </c>
      <c r="C42" s="91" cm="1">
        <f t="array" ref="C42">TREND('Total Pop'!$I46:$J46,'Total Pop'!$I$5:$J$5,'state calcs'!C$1)</f>
        <v>2390001.0480931625</v>
      </c>
      <c r="D42" s="91" cm="1">
        <f t="array" ref="D42">TREND('Total Pop'!$I46:$J46,'Total Pop'!$I$5:$J$5,'state calcs'!D$1)</f>
        <v>2408213.5721397474</v>
      </c>
      <c r="E42" s="91" cm="1">
        <f t="array" ref="E42">TREND('Total Pop'!$I46:$J46,'Total Pop'!$I$5:$J$5,'state calcs'!E$1)</f>
        <v>2426426.0961863324</v>
      </c>
      <c r="F42" s="91" cm="1">
        <f t="array" ref="F42">TREND('Total Pop'!$J46:$K46,'Total Pop'!$J$5:$K$5,'state calcs'!F$1)</f>
        <v>2444638.6202329099</v>
      </c>
      <c r="G42" s="91" cm="1">
        <f t="array" ref="G42">TREND('Total Pop'!$J46:$K46,'Total Pop'!$J$5:$K$5,'state calcs'!G$1)</f>
        <v>2462851.1442794949</v>
      </c>
      <c r="H42" s="91" cm="1">
        <f t="array" ref="H42">TREND('Total Pop'!$J46:$K46,'Total Pop'!$J$5:$K$5,'state calcs'!H$1)</f>
        <v>2481063.6683260798</v>
      </c>
      <c r="I42" s="91" cm="1">
        <f t="array" ref="I42">TREND('Total Pop'!$J46:$K46,'Total Pop'!$J$5:$K$5,'state calcs'!I$1)</f>
        <v>2499276.1923726648</v>
      </c>
      <c r="J42" s="91" cm="1">
        <f t="array" ref="J42">TREND('Total Pop'!$J46:$K46,'Total Pop'!$J$5:$K$5,'state calcs'!J$1)</f>
        <v>2517488.7164192423</v>
      </c>
      <c r="K42" s="91" cm="1">
        <f t="array" ref="K42">TREND('Total Pop'!$K46:$L46,'Total Pop'!$K$5:$L$5,'state calcs'!K$1)</f>
        <v>2535701.2404658236</v>
      </c>
      <c r="L42" s="91" cm="1">
        <f t="array" ref="L42">TREND('Total Pop'!$K46:$L46,'Total Pop'!$K$5:$L$5,'state calcs'!L$1)</f>
        <v>2551914.1515784673</v>
      </c>
      <c r="M42" s="91" cm="1">
        <f t="array" ref="M42">TREND('Total Pop'!$K46:$L46,'Total Pop'!$K$5:$L$5,'state calcs'!M$1)</f>
        <v>2568127.0626911111</v>
      </c>
      <c r="N42" s="91" cm="1">
        <f t="array" ref="N42">TREND('Total Pop'!$K46:$L46,'Total Pop'!$K$5:$L$5,'state calcs'!N$1)</f>
        <v>2584339.9738037549</v>
      </c>
      <c r="O42" s="91" cm="1">
        <f t="array" ref="O42">TREND('Total Pop'!$K46:$L46,'Total Pop'!$K$5:$L$5,'state calcs'!O$1)</f>
        <v>2600552.8849163987</v>
      </c>
      <c r="P42" s="91" cm="1">
        <f t="array" ref="P42">TREND('Total Pop'!$L46:$M46,'Total Pop'!$L$5:$M$5,'state calcs'!P$1)</f>
        <v>2616765.7960290425</v>
      </c>
      <c r="Q42" s="91" cm="1">
        <f t="array" ref="Q42">TREND('Total Pop'!$L46:$M46,'Total Pop'!$L$5:$M$5,'state calcs'!Q$1)</f>
        <v>2632978.7071416862</v>
      </c>
      <c r="R42" s="91" cm="1">
        <f t="array" ref="R42">TREND('Total Pop'!$L46:$M46,'Total Pop'!$L$5:$M$5,'state calcs'!R$1)</f>
        <v>2649191.6182543263</v>
      </c>
      <c r="S42" s="91" cm="1">
        <f t="array" ref="S42">TREND('Total Pop'!$L46:$M46,'Total Pop'!$L$5:$M$5,'state calcs'!S$1)</f>
        <v>2665404.5293669701</v>
      </c>
      <c r="T42" s="91" cm="1">
        <f t="array" ref="T42">TREND('Total Pop'!$L46:$M46,'Total Pop'!$L$5:$M$5,'state calcs'!T$1)</f>
        <v>2681617.4404796138</v>
      </c>
      <c r="U42" s="91" cm="1">
        <f t="array" ref="U42">TREND('Total Pop'!$M46:$N46,'Total Pop'!$M$5:$N$5,'state calcs'!U$1)</f>
        <v>2697830.3515922539</v>
      </c>
      <c r="V42" s="91" cm="1">
        <f t="array" ref="V42">TREND('Total Pop'!$M46:$N46,'Total Pop'!$M$5:$N$5,'state calcs'!V$1)</f>
        <v>2711716.4748423882</v>
      </c>
      <c r="W42" s="91" cm="1">
        <f t="array" ref="W42">TREND('Total Pop'!$M46:$N46,'Total Pop'!$M$5:$N$5,'state calcs'!W$1)</f>
        <v>2725602.5980925187</v>
      </c>
      <c r="X42" s="91" cm="1">
        <f t="array" ref="X42">TREND('Total Pop'!$M46:$N46,'Total Pop'!$M$5:$N$5,'state calcs'!X$1)</f>
        <v>2739488.7213426493</v>
      </c>
      <c r="Y42" s="91" cm="1">
        <f t="array" ref="Y42">TREND('Total Pop'!$M46:$N46,'Total Pop'!$M$5:$N$5,'state calcs'!Y$1)</f>
        <v>2753374.8445927836</v>
      </c>
      <c r="Z42" s="91" cm="1">
        <f t="array" ref="Z42">TREND('Total Pop'!$N46:$O46,'Total Pop'!$N$5:$O$5,'state calcs'!Z$1)</f>
        <v>2767260.9678429179</v>
      </c>
      <c r="AA42" s="91" cm="1">
        <f t="array" ref="AA42">TREND('Total Pop'!$N46:$O46,'Total Pop'!$N$5:$O$5,'state calcs'!AA$1)</f>
        <v>2781147.0910930485</v>
      </c>
      <c r="AB42" s="91" cm="1">
        <f t="array" ref="AB42">TREND('Total Pop'!$N46:$O46,'Total Pop'!$N$5:$O$5,'state calcs'!AB$1)</f>
        <v>2795033.2143431827</v>
      </c>
      <c r="AC42" s="91" cm="1">
        <f t="array" ref="AC42">TREND('Total Pop'!$N46:$O46,'Total Pop'!$N$5:$O$5,'state calcs'!AC$1)</f>
        <v>2808919.3375933133</v>
      </c>
      <c r="AD42" s="91" cm="1">
        <f t="array" ref="AD42">TREND('Total Pop'!$N46:$O46,'Total Pop'!$N$5:$O$5,'state calcs'!AD$1)</f>
        <v>2822805.4608434439</v>
      </c>
      <c r="AE42" s="91" cm="1">
        <f t="array" ref="AE42">TREND('Total Pop'!$N46:$O46,'Total Pop'!$N$5:$O$5,'state calcs'!AE$1)</f>
        <v>2836691.5840935782</v>
      </c>
    </row>
    <row r="43" spans="1:31" x14ac:dyDescent="0.25">
      <c r="A43" s="91" t="s">
        <v>407</v>
      </c>
      <c r="B43" s="91" cm="1">
        <f t="array" ref="B43">TREND('Total Pop'!$I47:$J47,'Total Pop'!$I$5:$J$5,'state calcs'!B$1)</f>
        <v>396908.4177173553</v>
      </c>
      <c r="C43" s="91" cm="1">
        <f t="array" ref="C43">TREND('Total Pop'!$I47:$J47,'Total Pop'!$I$5:$J$5,'state calcs'!C$1)</f>
        <v>399469.83543471154</v>
      </c>
      <c r="D43" s="91" cm="1">
        <f t="array" ref="D43">TREND('Total Pop'!$I47:$J47,'Total Pop'!$I$5:$J$5,'state calcs'!D$1)</f>
        <v>402031.25315206684</v>
      </c>
      <c r="E43" s="91" cm="1">
        <f t="array" ref="E43">TREND('Total Pop'!$I47:$J47,'Total Pop'!$I$5:$J$5,'state calcs'!E$1)</f>
        <v>404592.67086942215</v>
      </c>
      <c r="F43" s="91" cm="1">
        <f t="array" ref="F43">TREND('Total Pop'!$J47:$K47,'Total Pop'!$J$5:$K$5,'state calcs'!F$1)</f>
        <v>407154.08858677838</v>
      </c>
      <c r="G43" s="91" cm="1">
        <f t="array" ref="G43">TREND('Total Pop'!$J47:$K47,'Total Pop'!$J$5:$K$5,'state calcs'!G$1)</f>
        <v>409715.50630413368</v>
      </c>
      <c r="H43" s="91" cm="1">
        <f t="array" ref="H43">TREND('Total Pop'!$J47:$K47,'Total Pop'!$J$5:$K$5,'state calcs'!H$1)</f>
        <v>412276.92402148899</v>
      </c>
      <c r="I43" s="91" cm="1">
        <f t="array" ref="I43">TREND('Total Pop'!$J47:$K47,'Total Pop'!$J$5:$K$5,'state calcs'!I$1)</f>
        <v>414838.34173884522</v>
      </c>
      <c r="J43" s="91" cm="1">
        <f t="array" ref="J43">TREND('Total Pop'!$J47:$K47,'Total Pop'!$J$5:$K$5,'state calcs'!J$1)</f>
        <v>417399.75945620053</v>
      </c>
      <c r="K43" s="91" cm="1">
        <f t="array" ref="K43">TREND('Total Pop'!$K47:$L47,'Total Pop'!$K$5:$L$5,'state calcs'!K$1)</f>
        <v>419961.17717355676</v>
      </c>
      <c r="L43" s="91" cm="1">
        <f t="array" ref="L43">TREND('Total Pop'!$K47:$L47,'Total Pop'!$K$5:$L$5,'state calcs'!L$1)</f>
        <v>421936.97496552253</v>
      </c>
      <c r="M43" s="91" cm="1">
        <f t="array" ref="M43">TREND('Total Pop'!$K47:$L47,'Total Pop'!$K$5:$L$5,'state calcs'!M$1)</f>
        <v>423912.77275748877</v>
      </c>
      <c r="N43" s="91" cm="1">
        <f t="array" ref="N43">TREND('Total Pop'!$K47:$L47,'Total Pop'!$K$5:$L$5,'state calcs'!N$1)</f>
        <v>425888.57054945454</v>
      </c>
      <c r="O43" s="91" cm="1">
        <f t="array" ref="O43">TREND('Total Pop'!$K47:$L47,'Total Pop'!$K$5:$L$5,'state calcs'!O$1)</f>
        <v>427864.36834142031</v>
      </c>
      <c r="P43" s="91" cm="1">
        <f t="array" ref="P43">TREND('Total Pop'!$L47:$M47,'Total Pop'!$L$5:$M$5,'state calcs'!P$1)</f>
        <v>429840.16613338608</v>
      </c>
      <c r="Q43" s="91" cm="1">
        <f t="array" ref="Q43">TREND('Total Pop'!$L47:$M47,'Total Pop'!$L$5:$M$5,'state calcs'!Q$1)</f>
        <v>431815.96392535232</v>
      </c>
      <c r="R43" s="91" cm="1">
        <f t="array" ref="R43">TREND('Total Pop'!$L47:$M47,'Total Pop'!$L$5:$M$5,'state calcs'!R$1)</f>
        <v>433791.76171731809</v>
      </c>
      <c r="S43" s="91" cm="1">
        <f t="array" ref="S43">TREND('Total Pop'!$L47:$M47,'Total Pop'!$L$5:$M$5,'state calcs'!S$1)</f>
        <v>435767.55950928386</v>
      </c>
      <c r="T43" s="91" cm="1">
        <f t="array" ref="T43">TREND('Total Pop'!$L47:$M47,'Total Pop'!$L$5:$M$5,'state calcs'!T$1)</f>
        <v>437743.3573012501</v>
      </c>
      <c r="U43" s="91" cm="1">
        <f t="array" ref="U43">TREND('Total Pop'!$M47:$N47,'Total Pop'!$M$5:$N$5,'state calcs'!U$1)</f>
        <v>439719.15509321587</v>
      </c>
      <c r="V43" s="91" cm="1">
        <f t="array" ref="V43">TREND('Total Pop'!$M47:$N47,'Total Pop'!$M$5:$N$5,'state calcs'!V$1)</f>
        <v>441248.40872299345</v>
      </c>
      <c r="W43" s="91" cm="1">
        <f t="array" ref="W43">TREND('Total Pop'!$M47:$N47,'Total Pop'!$M$5:$N$5,'state calcs'!W$1)</f>
        <v>442777.66235277057</v>
      </c>
      <c r="X43" s="91" cm="1">
        <f t="array" ref="X43">TREND('Total Pop'!$M47:$N47,'Total Pop'!$M$5:$N$5,'state calcs'!X$1)</f>
        <v>444306.91598254815</v>
      </c>
      <c r="Y43" s="91" cm="1">
        <f t="array" ref="Y43">TREND('Total Pop'!$M47:$N47,'Total Pop'!$M$5:$N$5,'state calcs'!Y$1)</f>
        <v>445836.16961232573</v>
      </c>
      <c r="Z43" s="91" cm="1">
        <f t="array" ref="Z43">TREND('Total Pop'!$N47:$O47,'Total Pop'!$N$5:$O$5,'state calcs'!Z$1)</f>
        <v>447365.42324210284</v>
      </c>
      <c r="AA43" s="91" cm="1">
        <f t="array" ref="AA43">TREND('Total Pop'!$N47:$O47,'Total Pop'!$N$5:$O$5,'state calcs'!AA$1)</f>
        <v>448894.67687188042</v>
      </c>
      <c r="AB43" s="91" cm="1">
        <f t="array" ref="AB43">TREND('Total Pop'!$N47:$O47,'Total Pop'!$N$5:$O$5,'state calcs'!AB$1)</f>
        <v>450423.93050165754</v>
      </c>
      <c r="AC43" s="91" cm="1">
        <f t="array" ref="AC43">TREND('Total Pop'!$N47:$O47,'Total Pop'!$N$5:$O$5,'state calcs'!AC$1)</f>
        <v>451953.18413143512</v>
      </c>
      <c r="AD43" s="91" cm="1">
        <f t="array" ref="AD43">TREND('Total Pop'!$N47:$O47,'Total Pop'!$N$5:$O$5,'state calcs'!AD$1)</f>
        <v>453482.4377612127</v>
      </c>
      <c r="AE43" s="91" cm="1">
        <f t="array" ref="AE43">TREND('Total Pop'!$N47:$O47,'Total Pop'!$N$5:$O$5,'state calcs'!AE$1)</f>
        <v>455011.69139098981</v>
      </c>
    </row>
    <row r="44" spans="1:31" x14ac:dyDescent="0.25">
      <c r="A44" s="91" t="s">
        <v>411</v>
      </c>
      <c r="B44" s="91" cm="1">
        <f t="array" ref="B44">TREND('Total Pop'!$I48:$J48,'Total Pop'!$I$5:$J$5,'state calcs'!B$1)</f>
        <v>3060765.5110067651</v>
      </c>
      <c r="C44" s="91" cm="1">
        <f t="array" ref="C44">TREND('Total Pop'!$I48:$J48,'Total Pop'!$I$5:$J$5,'state calcs'!C$1)</f>
        <v>3080509.0220135301</v>
      </c>
      <c r="D44" s="91" cm="1">
        <f t="array" ref="D44">TREND('Total Pop'!$I48:$J48,'Total Pop'!$I$5:$J$5,'state calcs'!D$1)</f>
        <v>3100252.5330202952</v>
      </c>
      <c r="E44" s="91" cm="1">
        <f t="array" ref="E44">TREND('Total Pop'!$I48:$J48,'Total Pop'!$I$5:$J$5,'state calcs'!E$1)</f>
        <v>3119996.0440270528</v>
      </c>
      <c r="F44" s="91" cm="1">
        <f t="array" ref="F44">TREND('Total Pop'!$J48:$K48,'Total Pop'!$J$5:$K$5,'state calcs'!F$1)</f>
        <v>3139739.5550338253</v>
      </c>
      <c r="G44" s="91" cm="1">
        <f t="array" ref="G44">TREND('Total Pop'!$J48:$K48,'Total Pop'!$J$5:$K$5,'state calcs'!G$1)</f>
        <v>3159483.0660405904</v>
      </c>
      <c r="H44" s="91" cm="1">
        <f t="array" ref="H44">TREND('Total Pop'!$J48:$K48,'Total Pop'!$J$5:$K$5,'state calcs'!H$1)</f>
        <v>3179226.5770473555</v>
      </c>
      <c r="I44" s="91" cm="1">
        <f t="array" ref="I44">TREND('Total Pop'!$J48:$K48,'Total Pop'!$J$5:$K$5,'state calcs'!I$1)</f>
        <v>3198970.0880541205</v>
      </c>
      <c r="J44" s="91" cm="1">
        <f t="array" ref="J44">TREND('Total Pop'!$J48:$K48,'Total Pop'!$J$5:$K$5,'state calcs'!J$1)</f>
        <v>3218713.5990608856</v>
      </c>
      <c r="K44" s="91" cm="1">
        <f t="array" ref="K44">TREND('Total Pop'!$K48:$L48,'Total Pop'!$K$5:$L$5,'state calcs'!K$1)</f>
        <v>3238457.1100676432</v>
      </c>
      <c r="L44" s="91" cm="1">
        <f t="array" ref="L44">TREND('Total Pop'!$K48:$L48,'Total Pop'!$K$5:$L$5,'state calcs'!L$1)</f>
        <v>3253680.2227512263</v>
      </c>
      <c r="M44" s="91" cm="1">
        <f t="array" ref="M44">TREND('Total Pop'!$K48:$L48,'Total Pop'!$K$5:$L$5,'state calcs'!M$1)</f>
        <v>3268903.3354348093</v>
      </c>
      <c r="N44" s="91" cm="1">
        <f t="array" ref="N44">TREND('Total Pop'!$K48:$L48,'Total Pop'!$K$5:$L$5,'state calcs'!N$1)</f>
        <v>3284126.4481183924</v>
      </c>
      <c r="O44" s="91" cm="1">
        <f t="array" ref="O44">TREND('Total Pop'!$K48:$L48,'Total Pop'!$K$5:$L$5,'state calcs'!O$1)</f>
        <v>3299349.5608019754</v>
      </c>
      <c r="P44" s="91" cm="1">
        <f t="array" ref="P44">TREND('Total Pop'!$L48:$M48,'Total Pop'!$L$5:$M$5,'state calcs'!P$1)</f>
        <v>3314572.6734855585</v>
      </c>
      <c r="Q44" s="91" cm="1">
        <f t="array" ref="Q44">TREND('Total Pop'!$L48:$M48,'Total Pop'!$L$5:$M$5,'state calcs'!Q$1)</f>
        <v>3329795.7861691415</v>
      </c>
      <c r="R44" s="91" cm="1">
        <f t="array" ref="R44">TREND('Total Pop'!$L48:$M48,'Total Pop'!$L$5:$M$5,'state calcs'!R$1)</f>
        <v>3345018.8988527246</v>
      </c>
      <c r="S44" s="91" cm="1">
        <f t="array" ref="S44">TREND('Total Pop'!$L48:$M48,'Total Pop'!$L$5:$M$5,'state calcs'!S$1)</f>
        <v>3360242.0115363076</v>
      </c>
      <c r="T44" s="91" cm="1">
        <f t="array" ref="T44">TREND('Total Pop'!$L48:$M48,'Total Pop'!$L$5:$M$5,'state calcs'!T$1)</f>
        <v>3375465.1242198907</v>
      </c>
      <c r="U44" s="91" cm="1">
        <f t="array" ref="U44">TREND('Total Pop'!$M48:$N48,'Total Pop'!$M$5:$N$5,'state calcs'!U$1)</f>
        <v>3390688.2369034737</v>
      </c>
      <c r="V44" s="91" cm="1">
        <f t="array" ref="V44">TREND('Total Pop'!$M48:$N48,'Total Pop'!$M$5:$N$5,'state calcs'!V$1)</f>
        <v>3402467.0052496642</v>
      </c>
      <c r="W44" s="91" cm="1">
        <f t="array" ref="W44">TREND('Total Pop'!$M48:$N48,'Total Pop'!$M$5:$N$5,'state calcs'!W$1)</f>
        <v>3414245.7735958546</v>
      </c>
      <c r="X44" s="91" cm="1">
        <f t="array" ref="X44">TREND('Total Pop'!$M48:$N48,'Total Pop'!$M$5:$N$5,'state calcs'!X$1)</f>
        <v>3426024.5419420451</v>
      </c>
      <c r="Y44" s="91" cm="1">
        <f t="array" ref="Y44">TREND('Total Pop'!$M48:$N48,'Total Pop'!$M$5:$N$5,'state calcs'!Y$1)</f>
        <v>3437803.3102882355</v>
      </c>
      <c r="Z44" s="91" cm="1">
        <f t="array" ref="Z44">TREND('Total Pop'!$N48:$O48,'Total Pop'!$N$5:$O$5,'state calcs'!Z$1)</f>
        <v>3449582.0786344223</v>
      </c>
      <c r="AA44" s="91" cm="1">
        <f t="array" ref="AA44">TREND('Total Pop'!$N48:$O48,'Total Pop'!$N$5:$O$5,'state calcs'!AA$1)</f>
        <v>3461360.8469806127</v>
      </c>
      <c r="AB44" s="91" cm="1">
        <f t="array" ref="AB44">TREND('Total Pop'!$N48:$O48,'Total Pop'!$N$5:$O$5,'state calcs'!AB$1)</f>
        <v>3473139.6153268032</v>
      </c>
      <c r="AC44" s="91" cm="1">
        <f t="array" ref="AC44">TREND('Total Pop'!$N48:$O48,'Total Pop'!$N$5:$O$5,'state calcs'!AC$1)</f>
        <v>3484918.3836729936</v>
      </c>
      <c r="AD44" s="91" cm="1">
        <f t="array" ref="AD44">TREND('Total Pop'!$N48:$O48,'Total Pop'!$N$5:$O$5,'state calcs'!AD$1)</f>
        <v>3496697.1520191841</v>
      </c>
      <c r="AE44" s="91" cm="1">
        <f t="array" ref="AE44">TREND('Total Pop'!$N48:$O48,'Total Pop'!$N$5:$O$5,'state calcs'!AE$1)</f>
        <v>3508475.9203653745</v>
      </c>
    </row>
    <row r="45" spans="1:31" x14ac:dyDescent="0.25">
      <c r="A45" s="91" t="s">
        <v>413</v>
      </c>
      <c r="B45" s="91" cm="1">
        <f t="array" ref="B45">TREND('Total Pop'!$I49:$J49,'Total Pop'!$I$5:$J$5,'state calcs'!B$1)</f>
        <v>11772541.930143178</v>
      </c>
      <c r="C45" s="91" cm="1">
        <f t="array" ref="C45">TREND('Total Pop'!$I49:$J49,'Total Pop'!$I$5:$J$5,'state calcs'!C$1)</f>
        <v>11905058.860286355</v>
      </c>
      <c r="D45" s="91" cm="1">
        <f t="array" ref="D45">TREND('Total Pop'!$I49:$J49,'Total Pop'!$I$5:$J$5,'state calcs'!D$1)</f>
        <v>12037575.790429533</v>
      </c>
      <c r="E45" s="91" cm="1">
        <f t="array" ref="E45">TREND('Total Pop'!$I49:$J49,'Total Pop'!$I$5:$J$5,'state calcs'!E$1)</f>
        <v>12170092.72057271</v>
      </c>
      <c r="F45" s="91" cm="1">
        <f t="array" ref="F45">TREND('Total Pop'!$J49:$K49,'Total Pop'!$J$5:$K$5,'state calcs'!F$1)</f>
        <v>12302609.650715888</v>
      </c>
      <c r="G45" s="91" cm="1">
        <f t="array" ref="G45">TREND('Total Pop'!$J49:$K49,'Total Pop'!$J$5:$K$5,'state calcs'!G$1)</f>
        <v>12435126.580859095</v>
      </c>
      <c r="H45" s="91" cm="1">
        <f t="array" ref="H45">TREND('Total Pop'!$J49:$K49,'Total Pop'!$J$5:$K$5,'state calcs'!H$1)</f>
        <v>12567643.511002272</v>
      </c>
      <c r="I45" s="91" cm="1">
        <f t="array" ref="I45">TREND('Total Pop'!$J49:$K49,'Total Pop'!$J$5:$K$5,'state calcs'!I$1)</f>
        <v>12700160.44114545</v>
      </c>
      <c r="J45" s="91" cm="1">
        <f t="array" ref="J45">TREND('Total Pop'!$J49:$K49,'Total Pop'!$J$5:$K$5,'state calcs'!J$1)</f>
        <v>12832677.371288627</v>
      </c>
      <c r="K45" s="91" cm="1">
        <f t="array" ref="K45">TREND('Total Pop'!$K49:$L49,'Total Pop'!$K$5:$L$5,'state calcs'!K$1)</f>
        <v>12965194.301431775</v>
      </c>
      <c r="L45" s="91" cm="1">
        <f t="array" ref="L45">TREND('Total Pop'!$K49:$L49,'Total Pop'!$K$5:$L$5,'state calcs'!L$1)</f>
        <v>13113500.412135959</v>
      </c>
      <c r="M45" s="91" cm="1">
        <f t="array" ref="M45">TREND('Total Pop'!$K49:$L49,'Total Pop'!$K$5:$L$5,'state calcs'!M$1)</f>
        <v>13261806.522840142</v>
      </c>
      <c r="N45" s="91" cm="1">
        <f t="array" ref="N45">TREND('Total Pop'!$K49:$L49,'Total Pop'!$K$5:$L$5,'state calcs'!N$1)</f>
        <v>13410112.633544326</v>
      </c>
      <c r="O45" s="91" cm="1">
        <f t="array" ref="O45">TREND('Total Pop'!$K49:$L49,'Total Pop'!$K$5:$L$5,'state calcs'!O$1)</f>
        <v>13558418.74424845</v>
      </c>
      <c r="P45" s="91" cm="1">
        <f t="array" ref="P45">TREND('Total Pop'!$L49:$M49,'Total Pop'!$L$5:$M$5,'state calcs'!P$1)</f>
        <v>13706724.854952633</v>
      </c>
      <c r="Q45" s="91" cm="1">
        <f t="array" ref="Q45">TREND('Total Pop'!$L49:$M49,'Total Pop'!$L$5:$M$5,'state calcs'!Q$1)</f>
        <v>13855030.965656817</v>
      </c>
      <c r="R45" s="91" cm="1">
        <f t="array" ref="R45">TREND('Total Pop'!$L49:$M49,'Total Pop'!$L$5:$M$5,'state calcs'!R$1)</f>
        <v>14003337.076361001</v>
      </c>
      <c r="S45" s="91" cm="1">
        <f t="array" ref="S45">TREND('Total Pop'!$L49:$M49,'Total Pop'!$L$5:$M$5,'state calcs'!S$1)</f>
        <v>14151643.187065184</v>
      </c>
      <c r="T45" s="91" cm="1">
        <f t="array" ref="T45">TREND('Total Pop'!$L49:$M49,'Total Pop'!$L$5:$M$5,'state calcs'!T$1)</f>
        <v>14299949.297769308</v>
      </c>
      <c r="U45" s="91" cm="1">
        <f t="array" ref="U45">TREND('Total Pop'!$M49:$N49,'Total Pop'!$M$5:$N$5,'state calcs'!U$1)</f>
        <v>14448255.408473551</v>
      </c>
      <c r="V45" s="91" cm="1">
        <f t="array" ref="V45">TREND('Total Pop'!$M49:$N49,'Total Pop'!$M$5:$N$5,'state calcs'!V$1)</f>
        <v>14594659.000766873</v>
      </c>
      <c r="W45" s="91" cm="1">
        <f t="array" ref="W45">TREND('Total Pop'!$M49:$N49,'Total Pop'!$M$5:$N$5,'state calcs'!W$1)</f>
        <v>14741062.593060195</v>
      </c>
      <c r="X45" s="91" cm="1">
        <f t="array" ref="X45">TREND('Total Pop'!$M49:$N49,'Total Pop'!$M$5:$N$5,'state calcs'!X$1)</f>
        <v>14887466.185353518</v>
      </c>
      <c r="Y45" s="91" cm="1">
        <f t="array" ref="Y45">TREND('Total Pop'!$M49:$N49,'Total Pop'!$M$5:$N$5,'state calcs'!Y$1)</f>
        <v>15033869.77764684</v>
      </c>
      <c r="Z45" s="91" cm="1">
        <f t="array" ref="Z45">TREND('Total Pop'!$N49:$O49,'Total Pop'!$N$5:$O$5,'state calcs'!Z$1)</f>
        <v>15180273.369940042</v>
      </c>
      <c r="AA45" s="91" cm="1">
        <f t="array" ref="AA45">TREND('Total Pop'!$N49:$O49,'Total Pop'!$N$5:$O$5,'state calcs'!AA$1)</f>
        <v>15326676.962233365</v>
      </c>
      <c r="AB45" s="91" cm="1">
        <f t="array" ref="AB45">TREND('Total Pop'!$N49:$O49,'Total Pop'!$N$5:$O$5,'state calcs'!AB$1)</f>
        <v>15473080.554526687</v>
      </c>
      <c r="AC45" s="91" cm="1">
        <f t="array" ref="AC45">TREND('Total Pop'!$N49:$O49,'Total Pop'!$N$5:$O$5,'state calcs'!AC$1)</f>
        <v>15619484.146820009</v>
      </c>
      <c r="AD45" s="91" cm="1">
        <f t="array" ref="AD45">TREND('Total Pop'!$N49:$O49,'Total Pop'!$N$5:$O$5,'state calcs'!AD$1)</f>
        <v>15765887.739113331</v>
      </c>
      <c r="AE45" s="91" cm="1">
        <f t="array" ref="AE45">TREND('Total Pop'!$N49:$O49,'Total Pop'!$N$5:$O$5,'state calcs'!AE$1)</f>
        <v>15912291.331406653</v>
      </c>
    </row>
    <row r="46" spans="1:31" x14ac:dyDescent="0.25">
      <c r="A46" s="91" t="s">
        <v>415</v>
      </c>
      <c r="B46" s="91" cm="1">
        <f t="array" ref="B46">TREND('Total Pop'!$I50:$J50,'Total Pop'!$I$5:$J$5,'state calcs'!B$1)</f>
        <v>1173488.8089766614</v>
      </c>
      <c r="C46" s="91" cm="1">
        <f t="array" ref="C46">TREND('Total Pop'!$I50:$J50,'Total Pop'!$I$5:$J$5,'state calcs'!C$1)</f>
        <v>1188622.6179533228</v>
      </c>
      <c r="D46" s="91" cm="1">
        <f t="array" ref="D46">TREND('Total Pop'!$I50:$J50,'Total Pop'!$I$5:$J$5,'state calcs'!D$1)</f>
        <v>1203756.4269299842</v>
      </c>
      <c r="E46" s="91" cm="1">
        <f t="array" ref="E46">TREND('Total Pop'!$I50:$J50,'Total Pop'!$I$5:$J$5,'state calcs'!E$1)</f>
        <v>1218890.2359066457</v>
      </c>
      <c r="F46" s="91" cm="1">
        <f t="array" ref="F46">TREND('Total Pop'!$J50:$K50,'Total Pop'!$J$5:$K$5,'state calcs'!F$1)</f>
        <v>1234024.0448832996</v>
      </c>
      <c r="G46" s="91" cm="1">
        <f t="array" ref="G46">TREND('Total Pop'!$J50:$K50,'Total Pop'!$J$5:$K$5,'state calcs'!G$1)</f>
        <v>1249157.853859961</v>
      </c>
      <c r="H46" s="91" cm="1">
        <f t="array" ref="H46">TREND('Total Pop'!$J50:$K50,'Total Pop'!$J$5:$K$5,'state calcs'!H$1)</f>
        <v>1264291.6628366224</v>
      </c>
      <c r="I46" s="91" cm="1">
        <f t="array" ref="I46">TREND('Total Pop'!$J50:$K50,'Total Pop'!$J$5:$K$5,'state calcs'!I$1)</f>
        <v>1279425.4718132801</v>
      </c>
      <c r="J46" s="91" cm="1">
        <f t="array" ref="J46">TREND('Total Pop'!$J50:$K50,'Total Pop'!$J$5:$K$5,'state calcs'!J$1)</f>
        <v>1294559.2807899415</v>
      </c>
      <c r="K46" s="91" cm="1">
        <f t="array" ref="K46">TREND('Total Pop'!$K50:$L50,'Total Pop'!$K$5:$L$5,'state calcs'!K$1)</f>
        <v>1309693.0897666067</v>
      </c>
      <c r="L46" s="91" cm="1">
        <f t="array" ref="L46">TREND('Total Pop'!$K50:$L50,'Total Pop'!$K$5:$L$5,'state calcs'!L$1)</f>
        <v>1327775.8521589786</v>
      </c>
      <c r="M46" s="91" cm="1">
        <f t="array" ref="M46">TREND('Total Pop'!$K50:$L50,'Total Pop'!$K$5:$L$5,'state calcs'!M$1)</f>
        <v>1345858.6145513505</v>
      </c>
      <c r="N46" s="91" cm="1">
        <f t="array" ref="N46">TREND('Total Pop'!$K50:$L50,'Total Pop'!$K$5:$L$5,'state calcs'!N$1)</f>
        <v>1363941.3769437224</v>
      </c>
      <c r="O46" s="91" cm="1">
        <f t="array" ref="O46">TREND('Total Pop'!$K50:$L50,'Total Pop'!$K$5:$L$5,'state calcs'!O$1)</f>
        <v>1382024.1393361017</v>
      </c>
      <c r="P46" s="91" cm="1">
        <f t="array" ref="P46">TREND('Total Pop'!$L50:$M50,'Total Pop'!$L$5:$M$5,'state calcs'!P$1)</f>
        <v>1400106.9017284736</v>
      </c>
      <c r="Q46" s="91" cm="1">
        <f t="array" ref="Q46">TREND('Total Pop'!$L50:$M50,'Total Pop'!$L$5:$M$5,'state calcs'!Q$1)</f>
        <v>1418189.6641208455</v>
      </c>
      <c r="R46" s="91" cm="1">
        <f t="array" ref="R46">TREND('Total Pop'!$L50:$M50,'Total Pop'!$L$5:$M$5,'state calcs'!R$1)</f>
        <v>1436272.4265132174</v>
      </c>
      <c r="S46" s="91" cm="1">
        <f t="array" ref="S46">TREND('Total Pop'!$L50:$M50,'Total Pop'!$L$5:$M$5,'state calcs'!S$1)</f>
        <v>1454355.1889055893</v>
      </c>
      <c r="T46" s="91" cm="1">
        <f t="array" ref="T46">TREND('Total Pop'!$L50:$M50,'Total Pop'!$L$5:$M$5,'state calcs'!T$1)</f>
        <v>1472437.9512979686</v>
      </c>
      <c r="U46" s="91" cm="1">
        <f t="array" ref="U46">TREND('Total Pop'!$M50:$N50,'Total Pop'!$M$5:$N$5,'state calcs'!U$1)</f>
        <v>1490520.7136903405</v>
      </c>
      <c r="V46" s="91" cm="1">
        <f t="array" ref="V46">TREND('Total Pop'!$M50:$N50,'Total Pop'!$M$5:$N$5,'state calcs'!V$1)</f>
        <v>1509112.4151612222</v>
      </c>
      <c r="W46" s="91" cm="1">
        <f t="array" ref="W46">TREND('Total Pop'!$M50:$N50,'Total Pop'!$M$5:$N$5,'state calcs'!W$1)</f>
        <v>1527704.1166321039</v>
      </c>
      <c r="X46" s="91" cm="1">
        <f t="array" ref="X46">TREND('Total Pop'!$M50:$N50,'Total Pop'!$M$5:$N$5,'state calcs'!X$1)</f>
        <v>1546295.8181029782</v>
      </c>
      <c r="Y46" s="91" cm="1">
        <f t="array" ref="Y46">TREND('Total Pop'!$M50:$N50,'Total Pop'!$M$5:$N$5,'state calcs'!Y$1)</f>
        <v>1564887.5195738599</v>
      </c>
      <c r="Z46" s="91" cm="1">
        <f t="array" ref="Z46">TREND('Total Pop'!$N50:$O50,'Total Pop'!$N$5:$O$5,'state calcs'!Z$1)</f>
        <v>1583479.2210447341</v>
      </c>
      <c r="AA46" s="91" cm="1">
        <f t="array" ref="AA46">TREND('Total Pop'!$N50:$O50,'Total Pop'!$N$5:$O$5,'state calcs'!AA$1)</f>
        <v>1602070.9225156158</v>
      </c>
      <c r="AB46" s="91" cm="1">
        <f t="array" ref="AB46">TREND('Total Pop'!$N50:$O50,'Total Pop'!$N$5:$O$5,'state calcs'!AB$1)</f>
        <v>1620662.6239864901</v>
      </c>
      <c r="AC46" s="91" cm="1">
        <f t="array" ref="AC46">TREND('Total Pop'!$N50:$O50,'Total Pop'!$N$5:$O$5,'state calcs'!AC$1)</f>
        <v>1639254.3254573718</v>
      </c>
      <c r="AD46" s="91" cm="1">
        <f t="array" ref="AD46">TREND('Total Pop'!$N50:$O50,'Total Pop'!$N$5:$O$5,'state calcs'!AD$1)</f>
        <v>1657846.0269282535</v>
      </c>
      <c r="AE46" s="91" cm="1">
        <f t="array" ref="AE46">TREND('Total Pop'!$N50:$O50,'Total Pop'!$N$5:$O$5,'state calcs'!AE$1)</f>
        <v>1676437.7283991277</v>
      </c>
    </row>
    <row r="47" spans="1:31" x14ac:dyDescent="0.25">
      <c r="A47" s="91" t="s">
        <v>417</v>
      </c>
      <c r="B47" s="91" cm="1">
        <f t="array" ref="B47">TREND('Total Pop'!$I51:$J51,'Total Pop'!$I$5:$J$5,'state calcs'!B$1)</f>
        <v>335434.30186609877</v>
      </c>
      <c r="C47" s="91" cm="1">
        <f t="array" ref="C47">TREND('Total Pop'!$I51:$J51,'Total Pop'!$I$5:$J$5,'state calcs'!C$1)</f>
        <v>336123.60373219755</v>
      </c>
      <c r="D47" s="91" cm="1">
        <f t="array" ref="D47">TREND('Total Pop'!$I51:$J51,'Total Pop'!$I$5:$J$5,'state calcs'!D$1)</f>
        <v>336812.90559829655</v>
      </c>
      <c r="E47" s="91" cm="1">
        <f t="array" ref="E47">TREND('Total Pop'!$I51:$J51,'Total Pop'!$I$5:$J$5,'state calcs'!E$1)</f>
        <v>337502.20746439532</v>
      </c>
      <c r="F47" s="91" cm="1">
        <f t="array" ref="F47">TREND('Total Pop'!$J51:$K51,'Total Pop'!$J$5:$K$5,'state calcs'!F$1)</f>
        <v>338191.5093304941</v>
      </c>
      <c r="G47" s="91" cm="1">
        <f t="array" ref="G47">TREND('Total Pop'!$J51:$K51,'Total Pop'!$J$5:$K$5,'state calcs'!G$1)</f>
        <v>338880.81119659287</v>
      </c>
      <c r="H47" s="91" cm="1">
        <f t="array" ref="H47">TREND('Total Pop'!$J51:$K51,'Total Pop'!$J$5:$K$5,'state calcs'!H$1)</f>
        <v>339570.11306269164</v>
      </c>
      <c r="I47" s="91" cm="1">
        <f t="array" ref="I47">TREND('Total Pop'!$J51:$K51,'Total Pop'!$J$5:$K$5,'state calcs'!I$1)</f>
        <v>340259.41492879041</v>
      </c>
      <c r="J47" s="91" cm="1">
        <f t="array" ref="J47">TREND('Total Pop'!$J51:$K51,'Total Pop'!$J$5:$K$5,'state calcs'!J$1)</f>
        <v>340948.71679488919</v>
      </c>
      <c r="K47" s="91" cm="1">
        <f t="array" ref="K47">TREND('Total Pop'!$K51:$L51,'Total Pop'!$K$5:$L$5,'state calcs'!K$1)</f>
        <v>341638.01866098796</v>
      </c>
      <c r="L47" s="91" cm="1">
        <f t="array" ref="L47">TREND('Total Pop'!$K51:$L51,'Total Pop'!$K$5:$L$5,'state calcs'!L$1)</f>
        <v>341230.97126053309</v>
      </c>
      <c r="M47" s="91" cm="1">
        <f t="array" ref="M47">TREND('Total Pop'!$K51:$L51,'Total Pop'!$K$5:$L$5,'state calcs'!M$1)</f>
        <v>340823.9238600781</v>
      </c>
      <c r="N47" s="91" cm="1">
        <f t="array" ref="N47">TREND('Total Pop'!$K51:$L51,'Total Pop'!$K$5:$L$5,'state calcs'!N$1)</f>
        <v>340416.87645962322</v>
      </c>
      <c r="O47" s="91" cm="1">
        <f t="array" ref="O47">TREND('Total Pop'!$K51:$L51,'Total Pop'!$K$5:$L$5,'state calcs'!O$1)</f>
        <v>340009.82905916835</v>
      </c>
      <c r="P47" s="91" cm="1">
        <f t="array" ref="P47">TREND('Total Pop'!$L51:$M51,'Total Pop'!$L$5:$M$5,'state calcs'!P$1)</f>
        <v>339602.78165871336</v>
      </c>
      <c r="Q47" s="91" cm="1">
        <f t="array" ref="Q47">TREND('Total Pop'!$L51:$M51,'Total Pop'!$L$5:$M$5,'state calcs'!Q$1)</f>
        <v>339195.73425825848</v>
      </c>
      <c r="R47" s="91" cm="1">
        <f t="array" ref="R47">TREND('Total Pop'!$L51:$M51,'Total Pop'!$L$5:$M$5,'state calcs'!R$1)</f>
        <v>338788.68685780349</v>
      </c>
      <c r="S47" s="91" cm="1">
        <f t="array" ref="S47">TREND('Total Pop'!$L51:$M51,'Total Pop'!$L$5:$M$5,'state calcs'!S$1)</f>
        <v>338381.63945734862</v>
      </c>
      <c r="T47" s="91" cm="1">
        <f t="array" ref="T47">TREND('Total Pop'!$L51:$M51,'Total Pop'!$L$5:$M$5,'state calcs'!T$1)</f>
        <v>337974.59205689374</v>
      </c>
      <c r="U47" s="91" cm="1">
        <f t="array" ref="U47">TREND('Total Pop'!$M51:$N51,'Total Pop'!$M$5:$N$5,'state calcs'!U$1)</f>
        <v>337567.54465643899</v>
      </c>
      <c r="V47" s="91" cm="1">
        <f t="array" ref="V47">TREND('Total Pop'!$M51:$N51,'Total Pop'!$M$5:$N$5,'state calcs'!V$1)</f>
        <v>336774.50178832328</v>
      </c>
      <c r="W47" s="91" cm="1">
        <f t="array" ref="W47">TREND('Total Pop'!$M51:$N51,'Total Pop'!$M$5:$N$5,'state calcs'!W$1)</f>
        <v>335981.45892020757</v>
      </c>
      <c r="X47" s="91" cm="1">
        <f t="array" ref="X47">TREND('Total Pop'!$M51:$N51,'Total Pop'!$M$5:$N$5,'state calcs'!X$1)</f>
        <v>335188.41605209163</v>
      </c>
      <c r="Y47" s="91" cm="1">
        <f t="array" ref="Y47">TREND('Total Pop'!$M51:$N51,'Total Pop'!$M$5:$N$5,'state calcs'!Y$1)</f>
        <v>334395.37318397593</v>
      </c>
      <c r="Z47" s="91" cm="1">
        <f t="array" ref="Z47">TREND('Total Pop'!$N51:$O51,'Total Pop'!$N$5:$O$5,'state calcs'!Z$1)</f>
        <v>333602.33031585999</v>
      </c>
      <c r="AA47" s="91" cm="1">
        <f t="array" ref="AA47">TREND('Total Pop'!$N51:$O51,'Total Pop'!$N$5:$O$5,'state calcs'!AA$1)</f>
        <v>332809.28744774428</v>
      </c>
      <c r="AB47" s="91" cm="1">
        <f t="array" ref="AB47">TREND('Total Pop'!$N51:$O51,'Total Pop'!$N$5:$O$5,'state calcs'!AB$1)</f>
        <v>332016.24457962858</v>
      </c>
      <c r="AC47" s="91" cm="1">
        <f t="array" ref="AC47">TREND('Total Pop'!$N51:$O51,'Total Pop'!$N$5:$O$5,'state calcs'!AC$1)</f>
        <v>331223.20171151287</v>
      </c>
      <c r="AD47" s="91" cm="1">
        <f t="array" ref="AD47">TREND('Total Pop'!$N51:$O51,'Total Pop'!$N$5:$O$5,'state calcs'!AD$1)</f>
        <v>330430.15884339716</v>
      </c>
      <c r="AE47" s="91" cm="1">
        <f t="array" ref="AE47">TREND('Total Pop'!$N51:$O51,'Total Pop'!$N$5:$O$5,'state calcs'!AE$1)</f>
        <v>329637.11597528146</v>
      </c>
    </row>
    <row r="48" spans="1:31" x14ac:dyDescent="0.25">
      <c r="A48" s="91" t="s">
        <v>419</v>
      </c>
      <c r="B48" s="91" cm="1">
        <f t="array" ref="B48">TREND('Total Pop'!$I52:$J52,'Total Pop'!$I$5:$J$5,'state calcs'!B$1)</f>
        <v>3645388.583528623</v>
      </c>
      <c r="C48" s="91" cm="1">
        <f t="array" ref="C48">TREND('Total Pop'!$I52:$J52,'Total Pop'!$I$5:$J$5,'state calcs'!C$1)</f>
        <v>3666284.167057246</v>
      </c>
      <c r="D48" s="91" cm="1">
        <f t="array" ref="D48">TREND('Total Pop'!$I52:$J52,'Total Pop'!$I$5:$J$5,'state calcs'!D$1)</f>
        <v>3687179.750585869</v>
      </c>
      <c r="E48" s="91" cm="1">
        <f t="array" ref="E48">TREND('Total Pop'!$I52:$J52,'Total Pop'!$I$5:$J$5,'state calcs'!E$1)</f>
        <v>3708075.3341144919</v>
      </c>
      <c r="F48" s="91" cm="1">
        <f t="array" ref="F48">TREND('Total Pop'!$J52:$K52,'Total Pop'!$J$5:$K$5,'state calcs'!F$1)</f>
        <v>3728970.9176431149</v>
      </c>
      <c r="G48" s="91" cm="1">
        <f t="array" ref="G48">TREND('Total Pop'!$J52:$K52,'Total Pop'!$J$5:$K$5,'state calcs'!G$1)</f>
        <v>3749866.5011717379</v>
      </c>
      <c r="H48" s="91" cm="1">
        <f t="array" ref="H48">TREND('Total Pop'!$J52:$K52,'Total Pop'!$J$5:$K$5,'state calcs'!H$1)</f>
        <v>3770762.0847003609</v>
      </c>
      <c r="I48" s="91" cm="1">
        <f t="array" ref="I48">TREND('Total Pop'!$J52:$K52,'Total Pop'!$J$5:$K$5,'state calcs'!I$1)</f>
        <v>3791657.6682289839</v>
      </c>
      <c r="J48" s="91" cm="1">
        <f t="array" ref="J48">TREND('Total Pop'!$J52:$K52,'Total Pop'!$J$5:$K$5,'state calcs'!J$1)</f>
        <v>3812553.2517576069</v>
      </c>
      <c r="K48" s="91" cm="1">
        <f t="array" ref="K48">TREND('Total Pop'!$K52:$L52,'Total Pop'!$K$5:$L$5,'state calcs'!K$1)</f>
        <v>3833448.8352862336</v>
      </c>
      <c r="L48" s="91" cm="1">
        <f t="array" ref="L48">TREND('Total Pop'!$K52:$L52,'Total Pop'!$K$5:$L$5,'state calcs'!L$1)</f>
        <v>3847708.2899635956</v>
      </c>
      <c r="M48" s="91" cm="1">
        <f t="array" ref="M48">TREND('Total Pop'!$K52:$L52,'Total Pop'!$K$5:$L$5,'state calcs'!M$1)</f>
        <v>3861967.7446409538</v>
      </c>
      <c r="N48" s="91" cm="1">
        <f t="array" ref="N48">TREND('Total Pop'!$K52:$L52,'Total Pop'!$K$5:$L$5,'state calcs'!N$1)</f>
        <v>3876227.1993183121</v>
      </c>
      <c r="O48" s="91" cm="1">
        <f t="array" ref="O48">TREND('Total Pop'!$K52:$L52,'Total Pop'!$K$5:$L$5,'state calcs'!O$1)</f>
        <v>3890486.6539956741</v>
      </c>
      <c r="P48" s="91" cm="1">
        <f t="array" ref="P48">TREND('Total Pop'!$L52:$M52,'Total Pop'!$L$5:$M$5,'state calcs'!P$1)</f>
        <v>3904746.1086730324</v>
      </c>
      <c r="Q48" s="91" cm="1">
        <f t="array" ref="Q48">TREND('Total Pop'!$L52:$M52,'Total Pop'!$L$5:$M$5,'state calcs'!Q$1)</f>
        <v>3919005.5633503944</v>
      </c>
      <c r="R48" s="91" cm="1">
        <f t="array" ref="R48">TREND('Total Pop'!$L52:$M52,'Total Pop'!$L$5:$M$5,'state calcs'!R$1)</f>
        <v>3933265.0180277526</v>
      </c>
      <c r="S48" s="91" cm="1">
        <f t="array" ref="S48">TREND('Total Pop'!$L52:$M52,'Total Pop'!$L$5:$M$5,'state calcs'!S$1)</f>
        <v>3947524.4727051109</v>
      </c>
      <c r="T48" s="91" cm="1">
        <f t="array" ref="T48">TREND('Total Pop'!$L52:$M52,'Total Pop'!$L$5:$M$5,'state calcs'!T$1)</f>
        <v>3961783.9273824729</v>
      </c>
      <c r="U48" s="91" cm="1">
        <f t="array" ref="U48">TREND('Total Pop'!$M52:$N52,'Total Pop'!$M$5:$N$5,'state calcs'!U$1)</f>
        <v>3976043.3820598312</v>
      </c>
      <c r="V48" s="91" cm="1">
        <f t="array" ref="V48">TREND('Total Pop'!$M52:$N52,'Total Pop'!$M$5:$N$5,'state calcs'!V$1)</f>
        <v>3986000.8592624851</v>
      </c>
      <c r="W48" s="91" cm="1">
        <f t="array" ref="W48">TREND('Total Pop'!$M52:$N52,'Total Pop'!$M$5:$N$5,'state calcs'!W$1)</f>
        <v>3995958.3364651352</v>
      </c>
      <c r="X48" s="91" cm="1">
        <f t="array" ref="X48">TREND('Total Pop'!$M52:$N52,'Total Pop'!$M$5:$N$5,'state calcs'!X$1)</f>
        <v>4005915.8136677891</v>
      </c>
      <c r="Y48" s="91" cm="1">
        <f t="array" ref="Y48">TREND('Total Pop'!$M52:$N52,'Total Pop'!$M$5:$N$5,'state calcs'!Y$1)</f>
        <v>4015873.290870443</v>
      </c>
      <c r="Z48" s="91" cm="1">
        <f t="array" ref="Z48">TREND('Total Pop'!$N52:$O52,'Total Pop'!$N$5:$O$5,'state calcs'!Z$1)</f>
        <v>4025830.7680730931</v>
      </c>
      <c r="AA48" s="91" cm="1">
        <f t="array" ref="AA48">TREND('Total Pop'!$N52:$O52,'Total Pop'!$N$5:$O$5,'state calcs'!AA$1)</f>
        <v>4035788.245275747</v>
      </c>
      <c r="AB48" s="91" cm="1">
        <f t="array" ref="AB48">TREND('Total Pop'!$N52:$O52,'Total Pop'!$N$5:$O$5,'state calcs'!AB$1)</f>
        <v>4045745.7224783972</v>
      </c>
      <c r="AC48" s="91" cm="1">
        <f t="array" ref="AC48">TREND('Total Pop'!$N52:$O52,'Total Pop'!$N$5:$O$5,'state calcs'!AC$1)</f>
        <v>4055703.1996810511</v>
      </c>
      <c r="AD48" s="91" cm="1">
        <f t="array" ref="AD48">TREND('Total Pop'!$N52:$O52,'Total Pop'!$N$5:$O$5,'state calcs'!AD$1)</f>
        <v>4065660.676883705</v>
      </c>
      <c r="AE48" s="91" cm="1">
        <f t="array" ref="AE48">TREND('Total Pop'!$N52:$O52,'Total Pop'!$N$5:$O$5,'state calcs'!AE$1)</f>
        <v>4075618.1540863551</v>
      </c>
    </row>
    <row r="49" spans="1:31" x14ac:dyDescent="0.25">
      <c r="A49" s="91" t="s">
        <v>421</v>
      </c>
      <c r="B49" s="91" cm="1">
        <f t="array" ref="B49">TREND('Total Pop'!$I53:$J53,'Total Pop'!$I$5:$J$5,'state calcs'!B$1)</f>
        <v>3247551.211295411</v>
      </c>
      <c r="C49" s="91" cm="1">
        <f t="array" ref="C49">TREND('Total Pop'!$I53:$J53,'Total Pop'!$I$5:$J$5,'state calcs'!C$1)</f>
        <v>3281214.422590822</v>
      </c>
      <c r="D49" s="91" cm="1">
        <f t="array" ref="D49">TREND('Total Pop'!$I53:$J53,'Total Pop'!$I$5:$J$5,'state calcs'!D$1)</f>
        <v>3314877.633886233</v>
      </c>
      <c r="E49" s="91" cm="1">
        <f t="array" ref="E49">TREND('Total Pop'!$I53:$J53,'Total Pop'!$I$5:$J$5,'state calcs'!E$1)</f>
        <v>3348540.8451816589</v>
      </c>
      <c r="F49" s="91" cm="1">
        <f t="array" ref="F49">TREND('Total Pop'!$J53:$K53,'Total Pop'!$J$5:$K$5,'state calcs'!F$1)</f>
        <v>3382204.0564770699</v>
      </c>
      <c r="G49" s="91" cm="1">
        <f t="array" ref="G49">TREND('Total Pop'!$J53:$K53,'Total Pop'!$J$5:$K$5,'state calcs'!G$1)</f>
        <v>3415867.2677724808</v>
      </c>
      <c r="H49" s="91" cm="1">
        <f t="array" ref="H49">TREND('Total Pop'!$J53:$K53,'Total Pop'!$J$5:$K$5,'state calcs'!H$1)</f>
        <v>3449530.4790678918</v>
      </c>
      <c r="I49" s="91" cm="1">
        <f t="array" ref="I49">TREND('Total Pop'!$J53:$K53,'Total Pop'!$J$5:$K$5,'state calcs'!I$1)</f>
        <v>3483193.6903633177</v>
      </c>
      <c r="J49" s="91" cm="1">
        <f t="array" ref="J49">TREND('Total Pop'!$J53:$K53,'Total Pop'!$J$5:$K$5,'state calcs'!J$1)</f>
        <v>3516856.9016587287</v>
      </c>
      <c r="K49" s="91" cm="1">
        <f t="array" ref="K49">TREND('Total Pop'!$K53:$L53,'Total Pop'!$K$5:$L$5,'state calcs'!K$1)</f>
        <v>3550520.1129541546</v>
      </c>
      <c r="L49" s="91" cm="1">
        <f t="array" ref="L49">TREND('Total Pop'!$K53:$L53,'Total Pop'!$K$5:$L$5,'state calcs'!L$1)</f>
        <v>3586618.7031870484</v>
      </c>
      <c r="M49" s="91" cm="1">
        <f t="array" ref="M49">TREND('Total Pop'!$K53:$L53,'Total Pop'!$K$5:$L$5,'state calcs'!M$1)</f>
        <v>3622717.2934199423</v>
      </c>
      <c r="N49" s="91" cm="1">
        <f t="array" ref="N49">TREND('Total Pop'!$K53:$L53,'Total Pop'!$K$5:$L$5,'state calcs'!N$1)</f>
        <v>3658815.8836528361</v>
      </c>
      <c r="O49" s="91" cm="1">
        <f t="array" ref="O49">TREND('Total Pop'!$K53:$L53,'Total Pop'!$K$5:$L$5,'state calcs'!O$1)</f>
        <v>3694914.4738857299</v>
      </c>
      <c r="P49" s="91" cm="1">
        <f t="array" ref="P49">TREND('Total Pop'!$L53:$M53,'Total Pop'!$L$5:$M$5,'state calcs'!P$1)</f>
        <v>3731013.0641186088</v>
      </c>
      <c r="Q49" s="91" cm="1">
        <f t="array" ref="Q49">TREND('Total Pop'!$L53:$M53,'Total Pop'!$L$5:$M$5,'state calcs'!Q$1)</f>
        <v>3767111.6543515027</v>
      </c>
      <c r="R49" s="91" cm="1">
        <f t="array" ref="R49">TREND('Total Pop'!$L53:$M53,'Total Pop'!$L$5:$M$5,'state calcs'!R$1)</f>
        <v>3803210.2445843816</v>
      </c>
      <c r="S49" s="91" cm="1">
        <f t="array" ref="S49">TREND('Total Pop'!$L53:$M53,'Total Pop'!$L$5:$M$5,'state calcs'!S$1)</f>
        <v>3839308.8348172754</v>
      </c>
      <c r="T49" s="91" cm="1">
        <f t="array" ref="T49">TREND('Total Pop'!$L53:$M53,'Total Pop'!$L$5:$M$5,'state calcs'!T$1)</f>
        <v>3875407.4250501692</v>
      </c>
      <c r="U49" s="91" cm="1">
        <f t="array" ref="U49">TREND('Total Pop'!$M53:$N53,'Total Pop'!$M$5:$N$5,'state calcs'!U$1)</f>
        <v>3911506.015283078</v>
      </c>
      <c r="V49" s="91" cm="1">
        <f t="array" ref="V49">TREND('Total Pop'!$M53:$N53,'Total Pop'!$M$5:$N$5,'state calcs'!V$1)</f>
        <v>3946225.3261706829</v>
      </c>
      <c r="W49" s="91" cm="1">
        <f t="array" ref="W49">TREND('Total Pop'!$M53:$N53,'Total Pop'!$M$5:$N$5,'state calcs'!W$1)</f>
        <v>3980944.6370582879</v>
      </c>
      <c r="X49" s="91" cm="1">
        <f t="array" ref="X49">TREND('Total Pop'!$M53:$N53,'Total Pop'!$M$5:$N$5,'state calcs'!X$1)</f>
        <v>4015663.9479458928</v>
      </c>
      <c r="Y49" s="91" cm="1">
        <f t="array" ref="Y49">TREND('Total Pop'!$M53:$N53,'Total Pop'!$M$5:$N$5,'state calcs'!Y$1)</f>
        <v>4050383.2588334978</v>
      </c>
      <c r="Z49" s="91" cm="1">
        <f t="array" ref="Z49">TREND('Total Pop'!$N53:$O53,'Total Pop'!$N$5:$O$5,'state calcs'!Z$1)</f>
        <v>4085102.5697211027</v>
      </c>
      <c r="AA49" s="91" cm="1">
        <f t="array" ref="AA49">TREND('Total Pop'!$N53:$O53,'Total Pop'!$N$5:$O$5,'state calcs'!AA$1)</f>
        <v>4119821.8806087077</v>
      </c>
      <c r="AB49" s="91" cm="1">
        <f t="array" ref="AB49">TREND('Total Pop'!$N53:$O53,'Total Pop'!$N$5:$O$5,'state calcs'!AB$1)</f>
        <v>4154541.1914963126</v>
      </c>
      <c r="AC49" s="91" cm="1">
        <f t="array" ref="AC49">TREND('Total Pop'!$N53:$O53,'Total Pop'!$N$5:$O$5,'state calcs'!AC$1)</f>
        <v>4189260.5023839176</v>
      </c>
      <c r="AD49" s="91" cm="1">
        <f t="array" ref="AD49">TREND('Total Pop'!$N53:$O53,'Total Pop'!$N$5:$O$5,'state calcs'!AD$1)</f>
        <v>4223979.8132715225</v>
      </c>
      <c r="AE49" s="91" cm="1">
        <f t="array" ref="AE49">TREND('Total Pop'!$N53:$O53,'Total Pop'!$N$5:$O$5,'state calcs'!AE$1)</f>
        <v>4258699.1241591275</v>
      </c>
    </row>
    <row r="50" spans="1:31" x14ac:dyDescent="0.25">
      <c r="A50" s="91" t="s">
        <v>423</v>
      </c>
      <c r="B50" s="91" cm="1">
        <f t="array" ref="B50">TREND('Total Pop'!$I54:$J54,'Total Pop'!$I$5:$J$5,'state calcs'!B$1)</f>
        <v>854015.36962550879</v>
      </c>
      <c r="C50" s="91" cm="1">
        <f t="array" ref="C50">TREND('Total Pop'!$I54:$J54,'Total Pop'!$I$5:$J$5,'state calcs'!C$1)</f>
        <v>851938.73925101757</v>
      </c>
      <c r="D50" s="91" cm="1">
        <f t="array" ref="D50">TREND('Total Pop'!$I54:$J54,'Total Pop'!$I$5:$J$5,'state calcs'!D$1)</f>
        <v>849862.10887652636</v>
      </c>
      <c r="E50" s="91" cm="1">
        <f t="array" ref="E50">TREND('Total Pop'!$I54:$J54,'Total Pop'!$I$5:$J$5,'state calcs'!E$1)</f>
        <v>847785.47850203514</v>
      </c>
      <c r="F50" s="91" cm="1">
        <f t="array" ref="F50">TREND('Total Pop'!$J54:$K54,'Total Pop'!$J$5:$K$5,'state calcs'!F$1)</f>
        <v>845708.84812754393</v>
      </c>
      <c r="G50" s="91" cm="1">
        <f t="array" ref="G50">TREND('Total Pop'!$J54:$K54,'Total Pop'!$J$5:$K$5,'state calcs'!G$1)</f>
        <v>843632.21775305271</v>
      </c>
      <c r="H50" s="91" cm="1">
        <f t="array" ref="H50">TREND('Total Pop'!$J54:$K54,'Total Pop'!$J$5:$K$5,'state calcs'!H$1)</f>
        <v>841555.5873785615</v>
      </c>
      <c r="I50" s="91" cm="1">
        <f t="array" ref="I50">TREND('Total Pop'!$J54:$K54,'Total Pop'!$J$5:$K$5,'state calcs'!I$1)</f>
        <v>839478.95700407028</v>
      </c>
      <c r="J50" s="91" cm="1">
        <f t="array" ref="J50">TREND('Total Pop'!$J54:$K54,'Total Pop'!$J$5:$K$5,'state calcs'!J$1)</f>
        <v>837402.32662957907</v>
      </c>
      <c r="K50" s="91" cm="1">
        <f t="array" ref="K50">TREND('Total Pop'!$K54:$L54,'Total Pop'!$K$5:$L$5,'state calcs'!K$1)</f>
        <v>835325.69625508972</v>
      </c>
      <c r="L50" s="91" cm="1">
        <f t="array" ref="L50">TREND('Total Pop'!$K54:$L54,'Total Pop'!$K$5:$L$5,'state calcs'!L$1)</f>
        <v>829536.18749889173</v>
      </c>
      <c r="M50" s="91" cm="1">
        <f t="array" ref="M50">TREND('Total Pop'!$K54:$L54,'Total Pop'!$K$5:$L$5,'state calcs'!M$1)</f>
        <v>823746.67874269187</v>
      </c>
      <c r="N50" s="91" cm="1">
        <f t="array" ref="N50">TREND('Total Pop'!$K54:$L54,'Total Pop'!$K$5:$L$5,'state calcs'!N$1)</f>
        <v>817957.16998649389</v>
      </c>
      <c r="O50" s="91" cm="1">
        <f t="array" ref="O50">TREND('Total Pop'!$K54:$L54,'Total Pop'!$K$5:$L$5,'state calcs'!O$1)</f>
        <v>812167.6612302959</v>
      </c>
      <c r="P50" s="91" cm="1">
        <f t="array" ref="P50">TREND('Total Pop'!$L54:$M54,'Total Pop'!$L$5:$M$5,'state calcs'!P$1)</f>
        <v>806378.15247409604</v>
      </c>
      <c r="Q50" s="91" cm="1">
        <f t="array" ref="Q50">TREND('Total Pop'!$L54:$M54,'Total Pop'!$L$5:$M$5,'state calcs'!Q$1)</f>
        <v>800588.64371789806</v>
      </c>
      <c r="R50" s="91" cm="1">
        <f t="array" ref="R50">TREND('Total Pop'!$L54:$M54,'Total Pop'!$L$5:$M$5,'state calcs'!R$1)</f>
        <v>794799.13496170007</v>
      </c>
      <c r="S50" s="91" cm="1">
        <f t="array" ref="S50">TREND('Total Pop'!$L54:$M54,'Total Pop'!$L$5:$M$5,'state calcs'!S$1)</f>
        <v>789009.62620550208</v>
      </c>
      <c r="T50" s="91" cm="1">
        <f t="array" ref="T50">TREND('Total Pop'!$L54:$M54,'Total Pop'!$L$5:$M$5,'state calcs'!T$1)</f>
        <v>783220.11744930223</v>
      </c>
      <c r="U50" s="91" cm="1">
        <f t="array" ref="U50">TREND('Total Pop'!$M54:$N54,'Total Pop'!$M$5:$N$5,'state calcs'!U$1)</f>
        <v>777430.60869310237</v>
      </c>
      <c r="V50" s="91" cm="1">
        <f t="array" ref="V50">TREND('Total Pop'!$M54:$N54,'Total Pop'!$M$5:$N$5,'state calcs'!V$1)</f>
        <v>771194.51526029408</v>
      </c>
      <c r="W50" s="91" cm="1">
        <f t="array" ref="W50">TREND('Total Pop'!$M54:$N54,'Total Pop'!$M$5:$N$5,'state calcs'!W$1)</f>
        <v>764958.42182748392</v>
      </c>
      <c r="X50" s="91" cm="1">
        <f t="array" ref="X50">TREND('Total Pop'!$M54:$N54,'Total Pop'!$M$5:$N$5,'state calcs'!X$1)</f>
        <v>758722.32839467563</v>
      </c>
      <c r="Y50" s="91" cm="1">
        <f t="array" ref="Y50">TREND('Total Pop'!$M54:$N54,'Total Pop'!$M$5:$N$5,'state calcs'!Y$1)</f>
        <v>752486.23496186547</v>
      </c>
      <c r="Z50" s="91" cm="1">
        <f t="array" ref="Z50">TREND('Total Pop'!$N54:$O54,'Total Pop'!$N$5:$O$5,'state calcs'!Z$1)</f>
        <v>746250.14152905904</v>
      </c>
      <c r="AA50" s="91" cm="1">
        <f t="array" ref="AA50">TREND('Total Pop'!$N54:$O54,'Total Pop'!$N$5:$O$5,'state calcs'!AA$1)</f>
        <v>740014.04809624888</v>
      </c>
      <c r="AB50" s="91" cm="1">
        <f t="array" ref="AB50">TREND('Total Pop'!$N54:$O54,'Total Pop'!$N$5:$O$5,'state calcs'!AB$1)</f>
        <v>733777.95466344059</v>
      </c>
      <c r="AC50" s="91" cm="1">
        <f t="array" ref="AC50">TREND('Total Pop'!$N54:$O54,'Total Pop'!$N$5:$O$5,'state calcs'!AC$1)</f>
        <v>727541.86123063043</v>
      </c>
      <c r="AD50" s="91" cm="1">
        <f t="array" ref="AD50">TREND('Total Pop'!$N54:$O54,'Total Pop'!$N$5:$O$5,'state calcs'!AD$1)</f>
        <v>721305.76779782027</v>
      </c>
      <c r="AE50" s="91" cm="1">
        <f t="array" ref="AE50">TREND('Total Pop'!$N54:$O54,'Total Pop'!$N$5:$O$5,'state calcs'!AE$1)</f>
        <v>715069.67436501198</v>
      </c>
    </row>
    <row r="51" spans="1:31" x14ac:dyDescent="0.25">
      <c r="A51" s="91" t="s">
        <v>425</v>
      </c>
      <c r="B51" s="91" cm="1">
        <f t="array" ref="B51">TREND('Total Pop'!$I55:$J55,'Total Pop'!$I$5:$J$5,'state calcs'!B$1)</f>
        <v>2740092.3524518237</v>
      </c>
      <c r="C51" s="91" cm="1">
        <f t="array" ref="C51">TREND('Total Pop'!$I55:$J55,'Total Pop'!$I$5:$J$5,'state calcs'!C$1)</f>
        <v>2747455.7049036473</v>
      </c>
      <c r="D51" s="91" cm="1">
        <f t="array" ref="D51">TREND('Total Pop'!$I55:$J55,'Total Pop'!$I$5:$J$5,'state calcs'!D$1)</f>
        <v>2754819.057355471</v>
      </c>
      <c r="E51" s="91" cm="1">
        <f t="array" ref="E51">TREND('Total Pop'!$I55:$J55,'Total Pop'!$I$5:$J$5,'state calcs'!E$1)</f>
        <v>2762182.4098072946</v>
      </c>
      <c r="F51" s="91" cm="1">
        <f t="array" ref="F51">TREND('Total Pop'!$J55:$K55,'Total Pop'!$J$5:$K$5,'state calcs'!F$1)</f>
        <v>2769545.7622591183</v>
      </c>
      <c r="G51" s="91" cm="1">
        <f t="array" ref="G51">TREND('Total Pop'!$J55:$K55,'Total Pop'!$J$5:$K$5,'state calcs'!G$1)</f>
        <v>2776909.11471094</v>
      </c>
      <c r="H51" s="91" cm="1">
        <f t="array" ref="H51">TREND('Total Pop'!$J55:$K55,'Total Pop'!$J$5:$K$5,'state calcs'!H$1)</f>
        <v>2784272.4671627637</v>
      </c>
      <c r="I51" s="91" cm="1">
        <f t="array" ref="I51">TREND('Total Pop'!$J55:$K55,'Total Pop'!$J$5:$K$5,'state calcs'!I$1)</f>
        <v>2791635.8196145874</v>
      </c>
      <c r="J51" s="91" cm="1">
        <f t="array" ref="J51">TREND('Total Pop'!$J55:$K55,'Total Pop'!$J$5:$K$5,'state calcs'!J$1)</f>
        <v>2798999.172066411</v>
      </c>
      <c r="K51" s="91" cm="1">
        <f t="array" ref="K51">TREND('Total Pop'!$K55:$L55,'Total Pop'!$K$5:$L$5,'state calcs'!K$1)</f>
        <v>2806362.5245182328</v>
      </c>
      <c r="L51" s="91" cm="1">
        <f t="array" ref="L51">TREND('Total Pop'!$K55:$L55,'Total Pop'!$K$5:$L$5,'state calcs'!L$1)</f>
        <v>2805351.9759712089</v>
      </c>
      <c r="M51" s="91" cm="1">
        <f t="array" ref="M51">TREND('Total Pop'!$K55:$L55,'Total Pop'!$K$5:$L$5,'state calcs'!M$1)</f>
        <v>2804341.4274241845</v>
      </c>
      <c r="N51" s="91" cm="1">
        <f t="array" ref="N51">TREND('Total Pop'!$K55:$L55,'Total Pop'!$K$5:$L$5,'state calcs'!N$1)</f>
        <v>2803330.8788771601</v>
      </c>
      <c r="O51" s="91" cm="1">
        <f t="array" ref="O51">TREND('Total Pop'!$K55:$L55,'Total Pop'!$K$5:$L$5,'state calcs'!O$1)</f>
        <v>2802320.3303301358</v>
      </c>
      <c r="P51" s="91" cm="1">
        <f t="array" ref="P51">TREND('Total Pop'!$L55:$M55,'Total Pop'!$L$5:$M$5,'state calcs'!P$1)</f>
        <v>2801309.7817831119</v>
      </c>
      <c r="Q51" s="91" cm="1">
        <f t="array" ref="Q51">TREND('Total Pop'!$L55:$M55,'Total Pop'!$L$5:$M$5,'state calcs'!Q$1)</f>
        <v>2800299.2332360875</v>
      </c>
      <c r="R51" s="91" cm="1">
        <f t="array" ref="R51">TREND('Total Pop'!$L55:$M55,'Total Pop'!$L$5:$M$5,'state calcs'!R$1)</f>
        <v>2799288.6846890631</v>
      </c>
      <c r="S51" s="91" cm="1">
        <f t="array" ref="S51">TREND('Total Pop'!$L55:$M55,'Total Pop'!$L$5:$M$5,'state calcs'!S$1)</f>
        <v>2798278.1361420387</v>
      </c>
      <c r="T51" s="91" cm="1">
        <f t="array" ref="T51">TREND('Total Pop'!$L55:$M55,'Total Pop'!$L$5:$M$5,'state calcs'!T$1)</f>
        <v>2797267.5875950144</v>
      </c>
      <c r="U51" s="91" cm="1">
        <f t="array" ref="U51">TREND('Total Pop'!$M55:$N55,'Total Pop'!$M$5:$N$5,'state calcs'!U$1)</f>
        <v>2796257.03904799</v>
      </c>
      <c r="V51" s="91" cm="1">
        <f t="array" ref="V51">TREND('Total Pop'!$M55:$N55,'Total Pop'!$M$5:$N$5,'state calcs'!V$1)</f>
        <v>2791985.3030276038</v>
      </c>
      <c r="W51" s="91" cm="1">
        <f t="array" ref="W51">TREND('Total Pop'!$M55:$N55,'Total Pop'!$M$5:$N$5,'state calcs'!W$1)</f>
        <v>2787713.5670072194</v>
      </c>
      <c r="X51" s="91" cm="1">
        <f t="array" ref="X51">TREND('Total Pop'!$M55:$N55,'Total Pop'!$M$5:$N$5,'state calcs'!X$1)</f>
        <v>2783441.8309868351</v>
      </c>
      <c r="Y51" s="91" cm="1">
        <f t="array" ref="Y51">TREND('Total Pop'!$M55:$N55,'Total Pop'!$M$5:$N$5,'state calcs'!Y$1)</f>
        <v>2779170.0949664507</v>
      </c>
      <c r="Z51" s="91" cm="1">
        <f t="array" ref="Z51">TREND('Total Pop'!$N55:$O55,'Total Pop'!$N$5:$O$5,'state calcs'!Z$1)</f>
        <v>2774898.3589460663</v>
      </c>
      <c r="AA51" s="91" cm="1">
        <f t="array" ref="AA51">TREND('Total Pop'!$N55:$O55,'Total Pop'!$N$5:$O$5,'state calcs'!AA$1)</f>
        <v>2770626.6229256801</v>
      </c>
      <c r="AB51" s="91" cm="1">
        <f t="array" ref="AB51">TREND('Total Pop'!$N55:$O55,'Total Pop'!$N$5:$O$5,'state calcs'!AB$1)</f>
        <v>2766354.8869052958</v>
      </c>
      <c r="AC51" s="91" cm="1">
        <f t="array" ref="AC51">TREND('Total Pop'!$N55:$O55,'Total Pop'!$N$5:$O$5,'state calcs'!AC$1)</f>
        <v>2762083.1508849114</v>
      </c>
      <c r="AD51" s="91" cm="1">
        <f t="array" ref="AD51">TREND('Total Pop'!$N55:$O55,'Total Pop'!$N$5:$O$5,'state calcs'!AD$1)</f>
        <v>2757811.4148645271</v>
      </c>
      <c r="AE51" s="91" cm="1">
        <f t="array" ref="AE51">TREND('Total Pop'!$N55:$O55,'Total Pop'!$N$5:$O$5,'state calcs'!AE$1)</f>
        <v>2753539.6788441427</v>
      </c>
    </row>
    <row r="52" spans="1:31" x14ac:dyDescent="0.25">
      <c r="A52" s="91" t="s">
        <v>427</v>
      </c>
      <c r="B52" s="91" cm="1">
        <f t="array" ref="B52">TREND('Total Pop'!$I56:$J56,'Total Pop'!$I$5:$J$5,'state calcs'!B$1)</f>
        <v>272755.49944406212</v>
      </c>
      <c r="C52" s="91" cm="1">
        <f t="array" ref="C52">TREND('Total Pop'!$I56:$J56,'Total Pop'!$I$5:$J$5,'state calcs'!C$1)</f>
        <v>273230.99888812413</v>
      </c>
      <c r="D52" s="91" cm="1">
        <f t="array" ref="D52">TREND('Total Pop'!$I56:$J56,'Total Pop'!$I$5:$J$5,'state calcs'!D$1)</f>
        <v>273706.49833218625</v>
      </c>
      <c r="E52" s="91" cm="1">
        <f t="array" ref="E52">TREND('Total Pop'!$I56:$J56,'Total Pop'!$I$5:$J$5,'state calcs'!E$1)</f>
        <v>274181.99777624826</v>
      </c>
      <c r="F52" s="91" cm="1">
        <f t="array" ref="F52">TREND('Total Pop'!$J56:$K56,'Total Pop'!$J$5:$K$5,'state calcs'!F$1)</f>
        <v>274657.49722031038</v>
      </c>
      <c r="G52" s="91" cm="1">
        <f t="array" ref="G52">TREND('Total Pop'!$J56:$K56,'Total Pop'!$J$5:$K$5,'state calcs'!G$1)</f>
        <v>275132.99666437239</v>
      </c>
      <c r="H52" s="91" cm="1">
        <f t="array" ref="H52">TREND('Total Pop'!$J56:$K56,'Total Pop'!$J$5:$K$5,'state calcs'!H$1)</f>
        <v>275608.49610843451</v>
      </c>
      <c r="I52" s="91" cm="1">
        <f t="array" ref="I52">TREND('Total Pop'!$J56:$K56,'Total Pop'!$J$5:$K$5,'state calcs'!I$1)</f>
        <v>276083.99555249652</v>
      </c>
      <c r="J52" s="91" cm="1">
        <f t="array" ref="J52">TREND('Total Pop'!$J56:$K56,'Total Pop'!$J$5:$K$5,'state calcs'!J$1)</f>
        <v>276559.49499655864</v>
      </c>
      <c r="K52" s="91" cm="1">
        <f t="array" ref="K52">TREND('Total Pop'!$K56:$L56,'Total Pop'!$K$5:$L$5,'state calcs'!K$1)</f>
        <v>277034.99444062077</v>
      </c>
      <c r="L52" s="91" cm="1">
        <f t="array" ref="L52">TREND('Total Pop'!$K56:$L56,'Total Pop'!$K$5:$L$5,'state calcs'!L$1)</f>
        <v>276591.9680404946</v>
      </c>
      <c r="M52" s="91" cm="1">
        <f t="array" ref="M52">TREND('Total Pop'!$K56:$L56,'Total Pop'!$K$5:$L$5,'state calcs'!M$1)</f>
        <v>276148.94164036843</v>
      </c>
      <c r="N52" s="91" cm="1">
        <f t="array" ref="N52">TREND('Total Pop'!$K56:$L56,'Total Pop'!$K$5:$L$5,'state calcs'!N$1)</f>
        <v>275705.91524024215</v>
      </c>
      <c r="O52" s="91" cm="1">
        <f t="array" ref="O52">TREND('Total Pop'!$K56:$L56,'Total Pop'!$K$5:$L$5,'state calcs'!O$1)</f>
        <v>275262.88884011598</v>
      </c>
      <c r="P52" s="91" cm="1">
        <f t="array" ref="P52">TREND('Total Pop'!$L56:$M56,'Total Pop'!$L$5:$M$5,'state calcs'!P$1)</f>
        <v>274819.86243998981</v>
      </c>
      <c r="Q52" s="91" cm="1">
        <f t="array" ref="Q52">TREND('Total Pop'!$L56:$M56,'Total Pop'!$L$5:$M$5,'state calcs'!Q$1)</f>
        <v>274376.83603986364</v>
      </c>
      <c r="R52" s="91" cm="1">
        <f t="array" ref="R52">TREND('Total Pop'!$L56:$M56,'Total Pop'!$L$5:$M$5,'state calcs'!R$1)</f>
        <v>273933.80963973748</v>
      </c>
      <c r="S52" s="91" cm="1">
        <f t="array" ref="S52">TREND('Total Pop'!$L56:$M56,'Total Pop'!$L$5:$M$5,'state calcs'!S$1)</f>
        <v>273490.78323961131</v>
      </c>
      <c r="T52" s="91" cm="1">
        <f t="array" ref="T52">TREND('Total Pop'!$L56:$M56,'Total Pop'!$L$5:$M$5,'state calcs'!T$1)</f>
        <v>273047.75683948514</v>
      </c>
      <c r="U52" s="91" cm="1">
        <f t="array" ref="U52">TREND('Total Pop'!$M56:$N56,'Total Pop'!$M$5:$N$5,'state calcs'!U$1)</f>
        <v>272604.73043935862</v>
      </c>
      <c r="V52" s="91" cm="1">
        <f t="array" ref="V52">TREND('Total Pop'!$M56:$N56,'Total Pop'!$M$5:$N$5,'state calcs'!V$1)</f>
        <v>271854.46168990107</v>
      </c>
      <c r="W52" s="91" cm="1">
        <f t="array" ref="W52">TREND('Total Pop'!$M56:$N56,'Total Pop'!$M$5:$N$5,'state calcs'!W$1)</f>
        <v>271104.19294044329</v>
      </c>
      <c r="X52" s="91" cm="1">
        <f t="array" ref="X52">TREND('Total Pop'!$M56:$N56,'Total Pop'!$M$5:$N$5,'state calcs'!X$1)</f>
        <v>270353.9241909855</v>
      </c>
      <c r="Y52" s="91" cm="1">
        <f t="array" ref="Y52">TREND('Total Pop'!$M56:$N56,'Total Pop'!$M$5:$N$5,'state calcs'!Y$1)</f>
        <v>269603.65544152772</v>
      </c>
      <c r="Z52" s="91" cm="1">
        <f t="array" ref="Z52">TREND('Total Pop'!$N56:$O56,'Total Pop'!$N$5:$O$5,'state calcs'!Z$1)</f>
        <v>268853.38669206994</v>
      </c>
      <c r="AA52" s="91" cm="1">
        <f t="array" ref="AA52">TREND('Total Pop'!$N56:$O56,'Total Pop'!$N$5:$O$5,'state calcs'!AA$1)</f>
        <v>268103.11794261215</v>
      </c>
      <c r="AB52" s="91" cm="1">
        <f t="array" ref="AB52">TREND('Total Pop'!$N56:$O56,'Total Pop'!$N$5:$O$5,'state calcs'!AB$1)</f>
        <v>267352.8491931546</v>
      </c>
      <c r="AC52" s="91" cm="1">
        <f t="array" ref="AC52">TREND('Total Pop'!$N56:$O56,'Total Pop'!$N$5:$O$5,'state calcs'!AC$1)</f>
        <v>266602.58044369682</v>
      </c>
      <c r="AD52" s="91" cm="1">
        <f t="array" ref="AD52">TREND('Total Pop'!$N56:$O56,'Total Pop'!$N$5:$O$5,'state calcs'!AD$1)</f>
        <v>265852.31169423903</v>
      </c>
      <c r="AE52" s="91" cm="1">
        <f t="array" ref="AE52">TREND('Total Pop'!$N56:$O56,'Total Pop'!$N$5:$O$5,'state calcs'!AE$1)</f>
        <v>265102.04294478148</v>
      </c>
    </row>
    <row r="54" spans="1:31" x14ac:dyDescent="0.25">
      <c r="A54" s="91" t="s">
        <v>446</v>
      </c>
      <c r="B54" s="91">
        <f>SUM(B2:B52)</f>
        <v>141580267.29076704</v>
      </c>
      <c r="C54" s="91">
        <f t="shared" ref="C54:AE54" si="0">SUM(C2:C52)</f>
        <v>142349094.58153397</v>
      </c>
      <c r="D54" s="91">
        <f t="shared" si="0"/>
        <v>143117921.87230095</v>
      </c>
      <c r="E54" s="91">
        <f t="shared" si="0"/>
        <v>143886749.16306806</v>
      </c>
      <c r="F54" s="91">
        <f>SUM(F2:F52)</f>
        <v>144655576.4538351</v>
      </c>
      <c r="G54" s="91">
        <f t="shared" si="0"/>
        <v>145424403.74460217</v>
      </c>
      <c r="H54" s="91">
        <f t="shared" si="0"/>
        <v>146193231.03536913</v>
      </c>
      <c r="I54" s="91">
        <f t="shared" si="0"/>
        <v>146962058.32613626</v>
      </c>
      <c r="J54" s="91">
        <f t="shared" si="0"/>
        <v>147730885.61690322</v>
      </c>
      <c r="K54" s="91">
        <f t="shared" si="0"/>
        <v>148499712.90767017</v>
      </c>
      <c r="L54" s="91">
        <f t="shared" si="0"/>
        <v>149025868.22873676</v>
      </c>
      <c r="M54" s="91">
        <f t="shared" si="0"/>
        <v>149552023.5498032</v>
      </c>
      <c r="N54" s="91">
        <f t="shared" si="0"/>
        <v>150078178.87086961</v>
      </c>
      <c r="O54" s="91">
        <f t="shared" si="0"/>
        <v>150604334.19193602</v>
      </c>
      <c r="P54" s="91">
        <f t="shared" si="0"/>
        <v>151130489.51300257</v>
      </c>
      <c r="Q54" s="91">
        <f t="shared" si="0"/>
        <v>151656644.83406907</v>
      </c>
      <c r="R54" s="91">
        <f t="shared" si="0"/>
        <v>152182800.15513548</v>
      </c>
      <c r="S54" s="91">
        <f t="shared" si="0"/>
        <v>152708955.47620192</v>
      </c>
      <c r="T54" s="91">
        <f t="shared" si="0"/>
        <v>153235110.79726839</v>
      </c>
      <c r="U54" s="91">
        <f t="shared" si="0"/>
        <v>153761266.11833492</v>
      </c>
      <c r="V54" s="91">
        <f t="shared" si="0"/>
        <v>154154475.54050037</v>
      </c>
      <c r="W54" s="91">
        <f t="shared" si="0"/>
        <v>154547684.96266583</v>
      </c>
      <c r="X54" s="91">
        <f t="shared" si="0"/>
        <v>154940894.38483131</v>
      </c>
      <c r="Y54" s="91">
        <f t="shared" si="0"/>
        <v>155334103.8069967</v>
      </c>
      <c r="Z54" s="91">
        <f t="shared" si="0"/>
        <v>155727313.22916204</v>
      </c>
      <c r="AA54" s="91">
        <f t="shared" si="0"/>
        <v>156120522.65132746</v>
      </c>
      <c r="AB54" s="91">
        <f t="shared" si="0"/>
        <v>156513732.07349291</v>
      </c>
      <c r="AC54" s="91">
        <f t="shared" si="0"/>
        <v>156906941.49565837</v>
      </c>
      <c r="AD54" s="91">
        <f t="shared" si="0"/>
        <v>157300150.91782388</v>
      </c>
      <c r="AE54" s="91">
        <f t="shared" si="0"/>
        <v>157693360.3399893</v>
      </c>
    </row>
    <row r="56" spans="1:31" x14ac:dyDescent="0.25">
      <c r="A56" s="91" t="s">
        <v>433</v>
      </c>
      <c r="B56" s="91">
        <f>'AEO 2022 Table 4'!D20</f>
        <v>124.46993999999999</v>
      </c>
      <c r="C56" s="91">
        <f>'AEO 2023 Table 4'!C20</f>
        <v>126.41477999999999</v>
      </c>
      <c r="D56" s="91">
        <f>'AEO 2023 Table 4'!D20</f>
        <v>127.612274</v>
      </c>
      <c r="E56" s="91">
        <f>'AEO 2023 Table 4'!E20</f>
        <v>128.81189000000001</v>
      </c>
      <c r="F56" s="91">
        <f>'AEO 2023 Table 4'!F20</f>
        <v>130.03840600000001</v>
      </c>
      <c r="G56" s="91">
        <f>'AEO 2023 Table 4'!G20</f>
        <v>131.26153600000001</v>
      </c>
      <c r="H56" s="91">
        <f>'AEO 2023 Table 4'!H20</f>
        <v>132.49066199999999</v>
      </c>
      <c r="I56" s="91">
        <f>'AEO 2023 Table 4'!I20</f>
        <v>133.72822600000001</v>
      </c>
      <c r="J56" s="91">
        <f>'AEO 2023 Table 4'!J20</f>
        <v>134.95640599999999</v>
      </c>
      <c r="K56" s="91">
        <f>'AEO 2023 Table 4'!K20</f>
        <v>136.153549</v>
      </c>
      <c r="L56" s="91">
        <f>'AEO 2023 Table 4'!L20</f>
        <v>137.32772800000001</v>
      </c>
      <c r="M56" s="91">
        <f>'AEO 2023 Table 4'!M20</f>
        <v>138.49336199999999</v>
      </c>
      <c r="N56" s="91">
        <f>'AEO 2023 Table 4'!N20</f>
        <v>139.63391100000001</v>
      </c>
      <c r="O56" s="91">
        <f>'AEO 2023 Table 4'!O20</f>
        <v>140.73915099999999</v>
      </c>
      <c r="P56" s="91">
        <f>'AEO 2023 Table 4'!P20</f>
        <v>141.82939099999999</v>
      </c>
      <c r="Q56" s="91">
        <f>'AEO 2023 Table 4'!Q20</f>
        <v>142.92111199999999</v>
      </c>
      <c r="R56" s="91">
        <f>'AEO 2023 Table 4'!R20</f>
        <v>144.00582900000001</v>
      </c>
      <c r="S56" s="91">
        <f>'AEO 2023 Table 4'!S20</f>
        <v>145.085938</v>
      </c>
      <c r="T56" s="91">
        <f>'AEO 2023 Table 4'!T20</f>
        <v>146.15812700000001</v>
      </c>
      <c r="U56" s="91">
        <f>'AEO 2023 Table 4'!U20</f>
        <v>147.24231</v>
      </c>
      <c r="V56" s="91">
        <f>'AEO 2023 Table 4'!V20</f>
        <v>148.32730100000001</v>
      </c>
      <c r="W56" s="91">
        <f>'AEO 2023 Table 4'!W20</f>
        <v>149.39605700000001</v>
      </c>
      <c r="X56" s="91">
        <f>'AEO 2023 Table 4'!X20</f>
        <v>150.45663500000001</v>
      </c>
      <c r="Y56" s="91">
        <f>'AEO 2023 Table 4'!Y20</f>
        <v>151.50981100000001</v>
      </c>
      <c r="Z56" s="91">
        <f>'AEO 2023 Table 4'!Z20</f>
        <v>152.55667099999999</v>
      </c>
      <c r="AA56" s="91">
        <f>'AEO 2023 Table 4'!AA20</f>
        <v>153.59338399999999</v>
      </c>
      <c r="AB56" s="91">
        <f>'AEO 2023 Table 4'!AB20</f>
        <v>154.62643399999999</v>
      </c>
      <c r="AC56" s="91">
        <f>'AEO 2023 Table 4'!AC20</f>
        <v>155.64857499999999</v>
      </c>
      <c r="AD56" s="91">
        <f>'AEO 2023 Table 4'!AD20</f>
        <v>156.658737</v>
      </c>
      <c r="AE56" s="91">
        <f>'AEO 2023 Table 4'!AE20</f>
        <v>157.66000399999999</v>
      </c>
    </row>
    <row r="57" spans="1:31" x14ac:dyDescent="0.25">
      <c r="A57" s="91" t="s">
        <v>447</v>
      </c>
      <c r="B57" s="91">
        <f>B56*10^6</f>
        <v>124469940</v>
      </c>
      <c r="C57" s="91">
        <f t="shared" ref="C57:AE57" si="1">C56*10^6</f>
        <v>126414780</v>
      </c>
      <c r="D57" s="91">
        <f t="shared" si="1"/>
        <v>127612274</v>
      </c>
      <c r="E57" s="91">
        <f t="shared" si="1"/>
        <v>128811890</v>
      </c>
      <c r="F57" s="91">
        <f t="shared" si="1"/>
        <v>130038406.00000001</v>
      </c>
      <c r="G57" s="91">
        <f t="shared" si="1"/>
        <v>131261536</v>
      </c>
      <c r="H57" s="91">
        <f t="shared" si="1"/>
        <v>132490661.99999999</v>
      </c>
      <c r="I57" s="91">
        <f t="shared" si="1"/>
        <v>133728226</v>
      </c>
      <c r="J57" s="91">
        <f t="shared" si="1"/>
        <v>134956406</v>
      </c>
      <c r="K57" s="91">
        <f t="shared" si="1"/>
        <v>136153549</v>
      </c>
      <c r="L57" s="91">
        <f t="shared" si="1"/>
        <v>137327728</v>
      </c>
      <c r="M57" s="91">
        <f t="shared" si="1"/>
        <v>138493362</v>
      </c>
      <c r="N57" s="91">
        <f t="shared" si="1"/>
        <v>139633911</v>
      </c>
      <c r="O57" s="91">
        <f t="shared" si="1"/>
        <v>140739151</v>
      </c>
      <c r="P57" s="91">
        <f t="shared" si="1"/>
        <v>141829391</v>
      </c>
      <c r="Q57" s="91">
        <f t="shared" si="1"/>
        <v>142921112</v>
      </c>
      <c r="R57" s="91">
        <f t="shared" si="1"/>
        <v>144005829</v>
      </c>
      <c r="S57" s="91">
        <f t="shared" si="1"/>
        <v>145085938</v>
      </c>
      <c r="T57" s="91">
        <f t="shared" si="1"/>
        <v>146158127</v>
      </c>
      <c r="U57" s="91">
        <f t="shared" si="1"/>
        <v>147242310</v>
      </c>
      <c r="V57" s="91">
        <f t="shared" si="1"/>
        <v>148327301</v>
      </c>
      <c r="W57" s="91">
        <f t="shared" si="1"/>
        <v>149396057</v>
      </c>
      <c r="X57" s="91">
        <f t="shared" si="1"/>
        <v>150456635</v>
      </c>
      <c r="Y57" s="91">
        <f t="shared" si="1"/>
        <v>151509811</v>
      </c>
      <c r="Z57" s="91">
        <f t="shared" si="1"/>
        <v>152556671</v>
      </c>
      <c r="AA57" s="91">
        <f t="shared" si="1"/>
        <v>153593384</v>
      </c>
      <c r="AB57" s="91">
        <f t="shared" si="1"/>
        <v>154626434</v>
      </c>
      <c r="AC57" s="91">
        <f t="shared" si="1"/>
        <v>155648575</v>
      </c>
      <c r="AD57" s="91">
        <f t="shared" si="1"/>
        <v>156658737</v>
      </c>
      <c r="AE57" s="91">
        <f t="shared" si="1"/>
        <v>157660004</v>
      </c>
    </row>
    <row r="61" spans="1:31" s="128" customFormat="1" x14ac:dyDescent="0.25">
      <c r="B61" s="128">
        <v>2021</v>
      </c>
      <c r="C61" s="128">
        <v>2022</v>
      </c>
      <c r="D61" s="128">
        <v>2023</v>
      </c>
      <c r="E61" s="128">
        <v>2024</v>
      </c>
      <c r="F61" s="128">
        <v>2025</v>
      </c>
      <c r="G61" s="128">
        <v>2026</v>
      </c>
      <c r="H61" s="128">
        <v>2027</v>
      </c>
      <c r="I61" s="128">
        <v>2028</v>
      </c>
      <c r="J61" s="128">
        <v>2029</v>
      </c>
      <c r="K61" s="128">
        <v>2030</v>
      </c>
      <c r="L61" s="128">
        <v>2031</v>
      </c>
      <c r="M61" s="128">
        <v>2032</v>
      </c>
      <c r="N61" s="128">
        <v>2033</v>
      </c>
      <c r="O61" s="128">
        <v>2034</v>
      </c>
      <c r="P61" s="128">
        <v>2035</v>
      </c>
      <c r="Q61" s="128">
        <v>2036</v>
      </c>
      <c r="R61" s="128">
        <v>2037</v>
      </c>
      <c r="S61" s="128">
        <v>2038</v>
      </c>
      <c r="T61" s="128">
        <v>2039</v>
      </c>
      <c r="U61" s="128">
        <v>2040</v>
      </c>
      <c r="V61" s="128">
        <v>2041</v>
      </c>
      <c r="W61" s="128">
        <v>2042</v>
      </c>
      <c r="X61" s="128">
        <v>2043</v>
      </c>
      <c r="Y61" s="128">
        <v>2044</v>
      </c>
      <c r="Z61" s="128">
        <v>2045</v>
      </c>
      <c r="AA61" s="128">
        <v>2046</v>
      </c>
      <c r="AB61" s="128">
        <v>2047</v>
      </c>
      <c r="AC61" s="128">
        <v>2048</v>
      </c>
      <c r="AD61" s="128">
        <v>2049</v>
      </c>
      <c r="AE61" s="128">
        <v>2050</v>
      </c>
    </row>
    <row r="62" spans="1:31" x14ac:dyDescent="0.25">
      <c r="A62" s="91" t="s">
        <v>327</v>
      </c>
      <c r="B62" s="91">
        <f t="shared" ref="B62:AE62" si="2">B2*B$57/B$54</f>
        <v>2023225.0380715602</v>
      </c>
      <c r="C62" s="91">
        <f t="shared" si="2"/>
        <v>2051425.664719671</v>
      </c>
      <c r="D62" s="91">
        <f t="shared" si="2"/>
        <v>2067450.7472481416</v>
      </c>
      <c r="E62" s="91">
        <f t="shared" si="2"/>
        <v>2083482.9572945342</v>
      </c>
      <c r="F62" s="91">
        <f t="shared" si="2"/>
        <v>2099922.6891461951</v>
      </c>
      <c r="G62" s="91">
        <f t="shared" si="2"/>
        <v>2116279.9924287708</v>
      </c>
      <c r="H62" s="91">
        <f t="shared" si="2"/>
        <v>2132706.5886168517</v>
      </c>
      <c r="I62" s="91">
        <f t="shared" si="2"/>
        <v>2149241.6966563193</v>
      </c>
      <c r="J62" s="91">
        <f t="shared" si="2"/>
        <v>2165599.1218758356</v>
      </c>
      <c r="K62" s="91">
        <f t="shared" si="2"/>
        <v>2181433.0619625202</v>
      </c>
      <c r="L62" s="91">
        <f t="shared" si="2"/>
        <v>2194809.868956408</v>
      </c>
      <c r="M62" s="91">
        <f t="shared" si="2"/>
        <v>2207996.0652812063</v>
      </c>
      <c r="N62" s="91">
        <f t="shared" si="2"/>
        <v>2220730.17208149</v>
      </c>
      <c r="O62" s="91">
        <f t="shared" si="2"/>
        <v>2232853.457124678</v>
      </c>
      <c r="P62" s="91">
        <f t="shared" si="2"/>
        <v>2244691.950497021</v>
      </c>
      <c r="Q62" s="91">
        <f t="shared" si="2"/>
        <v>2256508.0753312986</v>
      </c>
      <c r="R62" s="91">
        <f t="shared" si="2"/>
        <v>2268168.494268788</v>
      </c>
      <c r="S62" s="91">
        <f t="shared" si="2"/>
        <v>2279712.1164334323</v>
      </c>
      <c r="T62" s="91">
        <f t="shared" si="2"/>
        <v>2291087.9996441612</v>
      </c>
      <c r="U62" s="91">
        <f t="shared" si="2"/>
        <v>2302608.8944024802</v>
      </c>
      <c r="V62" s="91">
        <f t="shared" si="2"/>
        <v>2313381.0624737074</v>
      </c>
      <c r="W62" s="91">
        <f t="shared" si="2"/>
        <v>2323841.818070068</v>
      </c>
      <c r="X62" s="91">
        <f t="shared" si="2"/>
        <v>2334118.615874269</v>
      </c>
      <c r="Y62" s="91">
        <f t="shared" si="2"/>
        <v>2344224.9052094677</v>
      </c>
      <c r="Z62" s="91">
        <f t="shared" si="2"/>
        <v>2354178.7775579351</v>
      </c>
      <c r="AA62" s="91">
        <f t="shared" si="2"/>
        <v>2363922.4576047226</v>
      </c>
      <c r="AB62" s="91">
        <f t="shared" si="2"/>
        <v>2373557.1169791939</v>
      </c>
      <c r="AC62" s="91">
        <f t="shared" si="2"/>
        <v>2382972.6596389469</v>
      </c>
      <c r="AD62" s="91">
        <f t="shared" si="2"/>
        <v>2392154.4502773262</v>
      </c>
      <c r="AE62" s="91">
        <f t="shared" si="2"/>
        <v>2401151.2725577652</v>
      </c>
    </row>
    <row r="63" spans="1:31" x14ac:dyDescent="0.25">
      <c r="A63" s="91" t="s">
        <v>329</v>
      </c>
      <c r="B63" s="91">
        <f t="shared" ref="B63:AE63" si="3">B3*B$57/B$54</f>
        <v>287818.24511200993</v>
      </c>
      <c r="C63" s="91">
        <f t="shared" si="3"/>
        <v>291438.46988586598</v>
      </c>
      <c r="D63" s="91">
        <f t="shared" si="3"/>
        <v>293323.46517294057</v>
      </c>
      <c r="E63" s="91">
        <f t="shared" si="3"/>
        <v>295206.33455263311</v>
      </c>
      <c r="F63" s="91">
        <f t="shared" si="3"/>
        <v>297143.76557759661</v>
      </c>
      <c r="G63" s="91">
        <f t="shared" si="3"/>
        <v>299066.32782713126</v>
      </c>
      <c r="H63" s="91">
        <f t="shared" si="3"/>
        <v>300995.51522614033</v>
      </c>
      <c r="I63" s="91">
        <f t="shared" si="3"/>
        <v>302936.85243766557</v>
      </c>
      <c r="J63" s="91">
        <f t="shared" si="3"/>
        <v>304850.02747571323</v>
      </c>
      <c r="K63" s="91">
        <f t="shared" si="3"/>
        <v>306686.55443204177</v>
      </c>
      <c r="L63" s="91">
        <f t="shared" si="3"/>
        <v>308017.35303513944</v>
      </c>
      <c r="M63" s="91">
        <f t="shared" si="3"/>
        <v>309315.92147362971</v>
      </c>
      <c r="N63" s="91">
        <f t="shared" si="3"/>
        <v>310545.85490156314</v>
      </c>
      <c r="O63" s="91">
        <f t="shared" si="3"/>
        <v>311685.35061374394</v>
      </c>
      <c r="P63" s="91">
        <f t="shared" si="3"/>
        <v>312780.30996675708</v>
      </c>
      <c r="Q63" s="91">
        <f t="shared" si="3"/>
        <v>313867.46169740433</v>
      </c>
      <c r="R63" s="91">
        <f t="shared" si="3"/>
        <v>314928.3237941321</v>
      </c>
      <c r="S63" s="91">
        <f t="shared" si="3"/>
        <v>315968.41914593382</v>
      </c>
      <c r="T63" s="91">
        <f t="shared" si="3"/>
        <v>316980.80048647575</v>
      </c>
      <c r="U63" s="91">
        <f t="shared" si="3"/>
        <v>318008.79909286211</v>
      </c>
      <c r="V63" s="91">
        <f t="shared" si="3"/>
        <v>318933.21194353991</v>
      </c>
      <c r="W63" s="91">
        <f t="shared" si="3"/>
        <v>319809.38555773493</v>
      </c>
      <c r="X63" s="91">
        <f t="shared" si="3"/>
        <v>320655.0549760788</v>
      </c>
      <c r="Y63" s="91">
        <f t="shared" si="3"/>
        <v>321472.19714198069</v>
      </c>
      <c r="Z63" s="91">
        <f t="shared" si="3"/>
        <v>322263.41141534236</v>
      </c>
      <c r="AA63" s="91">
        <f t="shared" si="3"/>
        <v>323020.91266678099</v>
      </c>
      <c r="AB63" s="91">
        <f t="shared" si="3"/>
        <v>323758.65290345793</v>
      </c>
      <c r="AC63" s="91">
        <f t="shared" si="3"/>
        <v>324461.71963204566</v>
      </c>
      <c r="AD63" s="91">
        <f t="shared" si="3"/>
        <v>325128.28232800565</v>
      </c>
      <c r="AE63" s="91">
        <f t="shared" si="3"/>
        <v>325765.12890543265</v>
      </c>
    </row>
    <row r="64" spans="1:31" x14ac:dyDescent="0.25">
      <c r="A64" s="91" t="s">
        <v>331</v>
      </c>
      <c r="B64" s="91">
        <f t="shared" ref="B64:AE64" si="4">B4*B$57/B$54</f>
        <v>2742512.4516949798</v>
      </c>
      <c r="C64" s="91">
        <f t="shared" si="4"/>
        <v>2793930.7637715102</v>
      </c>
      <c r="D64" s="91">
        <f t="shared" si="4"/>
        <v>2828951.7908550692</v>
      </c>
      <c r="E64" s="91">
        <f t="shared" si="4"/>
        <v>2864088.2749021989</v>
      </c>
      <c r="F64" s="91">
        <f t="shared" si="4"/>
        <v>2899892.1011988353</v>
      </c>
      <c r="G64" s="91">
        <f t="shared" si="4"/>
        <v>2935690.086638337</v>
      </c>
      <c r="H64" s="91">
        <f t="shared" si="4"/>
        <v>2971690.9090330447</v>
      </c>
      <c r="I64" s="91">
        <f t="shared" si="4"/>
        <v>3007949.5670418479</v>
      </c>
      <c r="J64" s="91">
        <f t="shared" si="4"/>
        <v>3044064.5993493097</v>
      </c>
      <c r="K64" s="91">
        <f t="shared" si="4"/>
        <v>3079543.4454594823</v>
      </c>
      <c r="L64" s="91">
        <f t="shared" si="4"/>
        <v>3118560.5230309255</v>
      </c>
      <c r="M64" s="91">
        <f t="shared" si="4"/>
        <v>3157507.4238270144</v>
      </c>
      <c r="N64" s="91">
        <f t="shared" si="4"/>
        <v>3196001.9689554763</v>
      </c>
      <c r="O64" s="91">
        <f t="shared" si="4"/>
        <v>3233801.2772162165</v>
      </c>
      <c r="P64" s="91">
        <f t="shared" si="4"/>
        <v>3271363.2290712963</v>
      </c>
      <c r="Q64" s="91">
        <f t="shared" si="4"/>
        <v>3309064.3378368691</v>
      </c>
      <c r="R64" s="91">
        <f t="shared" si="4"/>
        <v>3346706.7102700723</v>
      </c>
      <c r="S64" s="91">
        <f t="shared" si="4"/>
        <v>3384343.345880135</v>
      </c>
      <c r="T64" s="91">
        <f t="shared" si="4"/>
        <v>3421894.4689366813</v>
      </c>
      <c r="U64" s="91">
        <f t="shared" si="4"/>
        <v>3459824.9581012614</v>
      </c>
      <c r="V64" s="91">
        <f t="shared" si="4"/>
        <v>3498359.0489880182</v>
      </c>
      <c r="W64" s="91">
        <f t="shared" si="4"/>
        <v>3536632.7378404965</v>
      </c>
      <c r="X64" s="91">
        <f t="shared" si="4"/>
        <v>3574832.2762712734</v>
      </c>
      <c r="Y64" s="91">
        <f t="shared" si="4"/>
        <v>3612973.1325194896</v>
      </c>
      <c r="Z64" s="91">
        <f t="shared" si="4"/>
        <v>3651078.4919844074</v>
      </c>
      <c r="AA64" s="91">
        <f t="shared" si="4"/>
        <v>3689053.8426010096</v>
      </c>
      <c r="AB64" s="91">
        <f t="shared" si="4"/>
        <v>3727052.0191443465</v>
      </c>
      <c r="AC64" s="91">
        <f t="shared" si="4"/>
        <v>3764895.9843964847</v>
      </c>
      <c r="AD64" s="91">
        <f t="shared" si="4"/>
        <v>3802556.1810403494</v>
      </c>
      <c r="AE64" s="91">
        <f t="shared" si="4"/>
        <v>3840103.9064108245</v>
      </c>
    </row>
    <row r="65" spans="1:31" x14ac:dyDescent="0.25">
      <c r="A65" s="91" t="s">
        <v>333</v>
      </c>
      <c r="B65" s="91">
        <f t="shared" ref="B65:AE65" si="5">B5*B$57/B$54</f>
        <v>1205788.5582315554</v>
      </c>
      <c r="C65" s="91">
        <f t="shared" si="5"/>
        <v>1220971.0540015076</v>
      </c>
      <c r="D65" s="91">
        <f t="shared" si="5"/>
        <v>1228884.0911772309</v>
      </c>
      <c r="E65" s="91">
        <f t="shared" si="5"/>
        <v>1236788.3494959734</v>
      </c>
      <c r="F65" s="91">
        <f t="shared" si="5"/>
        <v>1244921.3273583429</v>
      </c>
      <c r="G65" s="91">
        <f t="shared" si="5"/>
        <v>1252992.1413849075</v>
      </c>
      <c r="H65" s="91">
        <f t="shared" si="5"/>
        <v>1261090.8420682054</v>
      </c>
      <c r="I65" s="91">
        <f t="shared" si="5"/>
        <v>1269240.5766979358</v>
      </c>
      <c r="J65" s="91">
        <f t="shared" si="5"/>
        <v>1277272.4455613806</v>
      </c>
      <c r="K65" s="91">
        <f t="shared" si="5"/>
        <v>1284983.2926289767</v>
      </c>
      <c r="L65" s="91">
        <f t="shared" si="5"/>
        <v>1290581.3592244459</v>
      </c>
      <c r="M65" s="91">
        <f t="shared" si="5"/>
        <v>1296044.6039254586</v>
      </c>
      <c r="N65" s="91">
        <f t="shared" si="5"/>
        <v>1301220.480024152</v>
      </c>
      <c r="O65" s="91">
        <f t="shared" si="5"/>
        <v>1306017.6158627083</v>
      </c>
      <c r="P65" s="91">
        <f t="shared" si="5"/>
        <v>1310628.3305122675</v>
      </c>
      <c r="Q65" s="91">
        <f t="shared" si="5"/>
        <v>1315206.5200430325</v>
      </c>
      <c r="R65" s="91">
        <f t="shared" si="5"/>
        <v>1319674.7362024796</v>
      </c>
      <c r="S65" s="91">
        <f t="shared" si="5"/>
        <v>1324056.1171710936</v>
      </c>
      <c r="T65" s="91">
        <f t="shared" si="5"/>
        <v>1328321.5460050961</v>
      </c>
      <c r="U65" s="91">
        <f t="shared" si="5"/>
        <v>1332652.6017661404</v>
      </c>
      <c r="V65" s="91">
        <f t="shared" si="5"/>
        <v>1336549.1727805606</v>
      </c>
      <c r="W65" s="91">
        <f t="shared" si="5"/>
        <v>1340243.8025992636</v>
      </c>
      <c r="X65" s="91">
        <f t="shared" si="5"/>
        <v>1343810.8066150965</v>
      </c>
      <c r="Y65" s="91">
        <f t="shared" si="5"/>
        <v>1347258.4646202615</v>
      </c>
      <c r="Z65" s="91">
        <f t="shared" si="5"/>
        <v>1350597.6654692499</v>
      </c>
      <c r="AA65" s="91">
        <f t="shared" si="5"/>
        <v>1353795.7768520252</v>
      </c>
      <c r="AB65" s="91">
        <f t="shared" si="5"/>
        <v>1356911.2670969218</v>
      </c>
      <c r="AC65" s="91">
        <f t="shared" si="5"/>
        <v>1359881.6318786836</v>
      </c>
      <c r="AD65" s="91">
        <f t="shared" si="5"/>
        <v>1362699.1924827783</v>
      </c>
      <c r="AE65" s="91">
        <f t="shared" si="5"/>
        <v>1365392.3924111687</v>
      </c>
    </row>
    <row r="66" spans="1:31" x14ac:dyDescent="0.25">
      <c r="A66" s="91" t="s">
        <v>335</v>
      </c>
      <c r="B66" s="91">
        <f t="shared" ref="B66:AE66" si="6">B6*B$57/B$54</f>
        <v>12732270.570338221</v>
      </c>
      <c r="C66" s="91">
        <f t="shared" si="6"/>
        <v>12919116.759187281</v>
      </c>
      <c r="D66" s="91">
        <f t="shared" si="6"/>
        <v>13029417.513961164</v>
      </c>
      <c r="E66" s="91">
        <f t="shared" si="6"/>
        <v>13139838.331773408</v>
      </c>
      <c r="F66" s="91">
        <f t="shared" si="6"/>
        <v>13252905.417614127</v>
      </c>
      <c r="G66" s="91">
        <f t="shared" si="6"/>
        <v>13365529.053760417</v>
      </c>
      <c r="H66" s="91">
        <f t="shared" si="6"/>
        <v>13478666.176892037</v>
      </c>
      <c r="I66" s="91">
        <f t="shared" si="6"/>
        <v>13592564.899823368</v>
      </c>
      <c r="J66" s="91">
        <f t="shared" si="6"/>
        <v>13705414.571858484</v>
      </c>
      <c r="K66" s="91">
        <f t="shared" si="6"/>
        <v>13815022.105747784</v>
      </c>
      <c r="L66" s="91">
        <f t="shared" si="6"/>
        <v>13913292.255353482</v>
      </c>
      <c r="M66" s="91">
        <f t="shared" si="6"/>
        <v>14010489.185668891</v>
      </c>
      <c r="N66" s="91">
        <f t="shared" si="6"/>
        <v>14104948.16593085</v>
      </c>
      <c r="O66" s="91">
        <f t="shared" si="6"/>
        <v>14195651.288513295</v>
      </c>
      <c r="P66" s="91">
        <f t="shared" si="6"/>
        <v>14284661.701662293</v>
      </c>
      <c r="Q66" s="91">
        <f t="shared" si="6"/>
        <v>14373645.404334366</v>
      </c>
      <c r="R66" s="91">
        <f t="shared" si="6"/>
        <v>14461751.466898402</v>
      </c>
      <c r="S66" s="91">
        <f t="shared" si="6"/>
        <v>14549225.002389584</v>
      </c>
      <c r="T66" s="91">
        <f t="shared" si="6"/>
        <v>14635738.101754222</v>
      </c>
      <c r="U66" s="91">
        <f t="shared" si="6"/>
        <v>14723287.146821743</v>
      </c>
      <c r="V66" s="91">
        <f t="shared" si="6"/>
        <v>14806439.214106943</v>
      </c>
      <c r="W66" s="91">
        <f t="shared" si="6"/>
        <v>14887732.587751316</v>
      </c>
      <c r="X66" s="91">
        <f t="shared" si="6"/>
        <v>14967978.877614008</v>
      </c>
      <c r="Y66" s="91">
        <f t="shared" si="6"/>
        <v>15047261.05360657</v>
      </c>
      <c r="Z66" s="91">
        <f t="shared" si="6"/>
        <v>15125692.242313223</v>
      </c>
      <c r="AA66" s="91">
        <f t="shared" si="6"/>
        <v>15202898.100004872</v>
      </c>
      <c r="AB66" s="91">
        <f t="shared" si="6"/>
        <v>15279526.058074668</v>
      </c>
      <c r="AC66" s="91">
        <f t="shared" si="6"/>
        <v>15354864.727841634</v>
      </c>
      <c r="AD66" s="91">
        <f t="shared" si="6"/>
        <v>15428815.695961637</v>
      </c>
      <c r="AE66" s="91">
        <f t="shared" si="6"/>
        <v>15501689.614279656</v>
      </c>
    </row>
    <row r="67" spans="1:31" x14ac:dyDescent="0.25">
      <c r="A67" s="91" t="s">
        <v>337</v>
      </c>
      <c r="B67" s="91">
        <f t="shared" ref="B67:AE67" si="7">B7*B$57/B$54</f>
        <v>2221890.8183834921</v>
      </c>
      <c r="C67" s="91">
        <f t="shared" si="7"/>
        <v>2268017.6609642482</v>
      </c>
      <c r="D67" s="91">
        <f t="shared" si="7"/>
        <v>2300896.1793735009</v>
      </c>
      <c r="E67" s="91">
        <f t="shared" si="7"/>
        <v>2333904.0809383434</v>
      </c>
      <c r="F67" s="91">
        <f t="shared" si="7"/>
        <v>2367491.582704396</v>
      </c>
      <c r="G67" s="91">
        <f t="shared" si="7"/>
        <v>2401110.2290389054</v>
      </c>
      <c r="H67" s="91">
        <f t="shared" si="7"/>
        <v>2434930.1058270708</v>
      </c>
      <c r="I67" s="91">
        <f t="shared" si="7"/>
        <v>2468996.3934278898</v>
      </c>
      <c r="J67" s="91">
        <f t="shared" si="7"/>
        <v>2502979.2608254827</v>
      </c>
      <c r="K67" s="91">
        <f t="shared" si="7"/>
        <v>2536471.5818212763</v>
      </c>
      <c r="L67" s="91">
        <f t="shared" si="7"/>
        <v>2575770.3415138787</v>
      </c>
      <c r="M67" s="91">
        <f t="shared" si="7"/>
        <v>2615082.0618099272</v>
      </c>
      <c r="N67" s="91">
        <f t="shared" si="7"/>
        <v>2654087.3187466296</v>
      </c>
      <c r="O67" s="91">
        <f t="shared" si="7"/>
        <v>2692579.3754644622</v>
      </c>
      <c r="P67" s="91">
        <f t="shared" si="7"/>
        <v>2730934.5199427907</v>
      </c>
      <c r="Q67" s="91">
        <f t="shared" si="7"/>
        <v>2769465.0199322887</v>
      </c>
      <c r="R67" s="91">
        <f t="shared" si="7"/>
        <v>2808004.4437640901</v>
      </c>
      <c r="S67" s="91">
        <f t="shared" si="7"/>
        <v>2846595.7584275543</v>
      </c>
      <c r="T67" s="91">
        <f t="shared" si="7"/>
        <v>2885170.4601984816</v>
      </c>
      <c r="U67" s="91">
        <f t="shared" si="7"/>
        <v>2924119.7599154757</v>
      </c>
      <c r="V67" s="91">
        <f t="shared" si="7"/>
        <v>2964845.3757340419</v>
      </c>
      <c r="W67" s="91">
        <f t="shared" si="7"/>
        <v>3005426.6608710289</v>
      </c>
      <c r="X67" s="91">
        <f t="shared" si="7"/>
        <v>3046019.1092505208</v>
      </c>
      <c r="Y67" s="91">
        <f t="shared" si="7"/>
        <v>3086634.0636813859</v>
      </c>
      <c r="Z67" s="91">
        <f t="shared" si="7"/>
        <v>3127289.6601001001</v>
      </c>
      <c r="AA67" s="91">
        <f t="shared" si="7"/>
        <v>3167903.2092161812</v>
      </c>
      <c r="AB67" s="91">
        <f t="shared" si="7"/>
        <v>3208604.1799432002</v>
      </c>
      <c r="AC67" s="91">
        <f t="shared" si="7"/>
        <v>3249238.7084851861</v>
      </c>
      <c r="AD67" s="91">
        <f t="shared" si="7"/>
        <v>3289779.0518791131</v>
      </c>
      <c r="AE67" s="91">
        <f t="shared" si="7"/>
        <v>3330284.7367474656</v>
      </c>
    </row>
    <row r="68" spans="1:31" x14ac:dyDescent="0.25">
      <c r="A68" s="91" t="s">
        <v>339</v>
      </c>
      <c r="B68" s="91">
        <f t="shared" ref="B68:AE68" si="8">B8*B$57/B$54</f>
        <v>1347290.4471139887</v>
      </c>
      <c r="C68" s="91">
        <f t="shared" si="8"/>
        <v>1361857.6430103506</v>
      </c>
      <c r="D68" s="91">
        <f t="shared" si="8"/>
        <v>1368282.8786205917</v>
      </c>
      <c r="E68" s="91">
        <f t="shared" si="8"/>
        <v>1374679.0819164251</v>
      </c>
      <c r="F68" s="91">
        <f t="shared" si="8"/>
        <v>1381309.960637053</v>
      </c>
      <c r="G68" s="91">
        <f t="shared" si="8"/>
        <v>1387852.139628981</v>
      </c>
      <c r="H68" s="91">
        <f t="shared" si="8"/>
        <v>1394405.6888034008</v>
      </c>
      <c r="I68" s="91">
        <f t="shared" si="8"/>
        <v>1400996.1380883271</v>
      </c>
      <c r="J68" s="91">
        <f t="shared" si="8"/>
        <v>1407437.2236463991</v>
      </c>
      <c r="K68" s="91">
        <f t="shared" si="8"/>
        <v>1413506.2768201318</v>
      </c>
      <c r="L68" s="91">
        <f t="shared" si="8"/>
        <v>1416402.8961676289</v>
      </c>
      <c r="M68" s="91">
        <f t="shared" si="8"/>
        <v>1419118.9872410926</v>
      </c>
      <c r="N68" s="91">
        <f t="shared" si="8"/>
        <v>1421488.8593100873</v>
      </c>
      <c r="O68" s="91">
        <f t="shared" si="8"/>
        <v>1423415.0468862008</v>
      </c>
      <c r="P68" s="91">
        <f t="shared" si="8"/>
        <v>1425109.4899114228</v>
      </c>
      <c r="Q68" s="91">
        <f t="shared" si="8"/>
        <v>1426740.4971554447</v>
      </c>
      <c r="R68" s="91">
        <f t="shared" si="8"/>
        <v>1428224.4388919454</v>
      </c>
      <c r="S68" s="91">
        <f t="shared" si="8"/>
        <v>1429587.0800052346</v>
      </c>
      <c r="T68" s="91">
        <f t="shared" si="8"/>
        <v>1430797.6646008906</v>
      </c>
      <c r="U68" s="91">
        <f t="shared" si="8"/>
        <v>1432052.147927928</v>
      </c>
      <c r="V68" s="91">
        <f t="shared" si="8"/>
        <v>1432974.7777686927</v>
      </c>
      <c r="W68" s="91">
        <f t="shared" si="8"/>
        <v>1433650.090529331</v>
      </c>
      <c r="X68" s="91">
        <f t="shared" si="8"/>
        <v>1434158.7126443693</v>
      </c>
      <c r="Y68" s="91">
        <f t="shared" si="8"/>
        <v>1434510.2339268122</v>
      </c>
      <c r="Z68" s="91">
        <f t="shared" si="8"/>
        <v>1434716.9394656473</v>
      </c>
      <c r="AA68" s="91">
        <f t="shared" si="8"/>
        <v>1434744.8878925163</v>
      </c>
      <c r="AB68" s="91">
        <f t="shared" si="8"/>
        <v>1434656.7891247156</v>
      </c>
      <c r="AC68" s="91">
        <f t="shared" si="8"/>
        <v>1434387.1728188996</v>
      </c>
      <c r="AD68" s="91">
        <f t="shared" si="8"/>
        <v>1433928.8928630217</v>
      </c>
      <c r="AE68" s="91">
        <f t="shared" si="8"/>
        <v>1433312.8069489955</v>
      </c>
    </row>
    <row r="69" spans="1:31" x14ac:dyDescent="0.25">
      <c r="A69" s="91" t="s">
        <v>341</v>
      </c>
      <c r="B69" s="91">
        <f t="shared" ref="B69:AE69" si="9">B9*B$57/B$54</f>
        <v>398678.70425006707</v>
      </c>
      <c r="C69" s="91">
        <f t="shared" si="9"/>
        <v>405698.17972277256</v>
      </c>
      <c r="D69" s="91">
        <f t="shared" si="9"/>
        <v>410330.29687031609</v>
      </c>
      <c r="E69" s="91">
        <f t="shared" si="9"/>
        <v>414975.54742268519</v>
      </c>
      <c r="F69" s="91">
        <f t="shared" si="9"/>
        <v>419713.84333158715</v>
      </c>
      <c r="G69" s="91">
        <f t="shared" si="9"/>
        <v>424447.63625477644</v>
      </c>
      <c r="H69" s="91">
        <f t="shared" si="9"/>
        <v>429207.15755539632</v>
      </c>
      <c r="I69" s="91">
        <f t="shared" si="9"/>
        <v>434000.33900231519</v>
      </c>
      <c r="J69" s="91">
        <f t="shared" si="9"/>
        <v>438769.28673341684</v>
      </c>
      <c r="K69" s="91">
        <f t="shared" si="9"/>
        <v>443443.2192234518</v>
      </c>
      <c r="L69" s="91">
        <f t="shared" si="9"/>
        <v>448361.15643727838</v>
      </c>
      <c r="M69" s="91">
        <f t="shared" si="9"/>
        <v>453262.0688104438</v>
      </c>
      <c r="N69" s="91">
        <f t="shared" si="9"/>
        <v>458091.37784552405</v>
      </c>
      <c r="O69" s="91">
        <f t="shared" si="9"/>
        <v>462814.76345735998</v>
      </c>
      <c r="P69" s="91">
        <f t="shared" si="9"/>
        <v>467498.24152956175</v>
      </c>
      <c r="Q69" s="91">
        <f t="shared" si="9"/>
        <v>472195.81820381316</v>
      </c>
      <c r="R69" s="91">
        <f t="shared" si="9"/>
        <v>476879.3336135163</v>
      </c>
      <c r="S69" s="91">
        <f t="shared" si="9"/>
        <v>481556.48659539153</v>
      </c>
      <c r="T69" s="91">
        <f t="shared" si="9"/>
        <v>486216.06317373354</v>
      </c>
      <c r="U69" s="91">
        <f t="shared" si="9"/>
        <v>490924.19133186591</v>
      </c>
      <c r="V69" s="91">
        <f t="shared" si="9"/>
        <v>495625.8130811486</v>
      </c>
      <c r="W69" s="91">
        <f t="shared" si="9"/>
        <v>500283.37208123185</v>
      </c>
      <c r="X69" s="91">
        <f t="shared" si="9"/>
        <v>504923.4763214853</v>
      </c>
      <c r="Y69" s="91">
        <f t="shared" si="9"/>
        <v>509548.48312831722</v>
      </c>
      <c r="Z69" s="91">
        <f t="shared" si="9"/>
        <v>514161.81940184959</v>
      </c>
      <c r="AA69" s="91">
        <f t="shared" si="9"/>
        <v>518750.33854153741</v>
      </c>
      <c r="AB69" s="91">
        <f t="shared" si="9"/>
        <v>523335.69867232093</v>
      </c>
      <c r="AC69" s="91">
        <f t="shared" si="9"/>
        <v>527893.17749438714</v>
      </c>
      <c r="AD69" s="91">
        <f t="shared" si="9"/>
        <v>532418.84042435675</v>
      </c>
      <c r="AE69" s="91">
        <f t="shared" si="9"/>
        <v>536922.87271549471</v>
      </c>
    </row>
    <row r="70" spans="1:31" x14ac:dyDescent="0.25">
      <c r="A70" s="91" t="s">
        <v>432</v>
      </c>
      <c r="B70" s="91">
        <f t="shared" ref="B70:AE70" si="10">B10*B$57/B$54</f>
        <v>312196.30511607404</v>
      </c>
      <c r="C70" s="91">
        <f t="shared" si="10"/>
        <v>318633.05630028102</v>
      </c>
      <c r="D70" s="91">
        <f t="shared" si="10"/>
        <v>323207.9344107568</v>
      </c>
      <c r="E70" s="91">
        <f t="shared" si="10"/>
        <v>327800.63518922543</v>
      </c>
      <c r="F70" s="91">
        <f t="shared" si="10"/>
        <v>332474.38746709505</v>
      </c>
      <c r="G70" s="91">
        <f t="shared" si="10"/>
        <v>337152.15865205968</v>
      </c>
      <c r="H70" s="91">
        <f t="shared" si="10"/>
        <v>341857.8372143638</v>
      </c>
      <c r="I70" s="91">
        <f t="shared" si="10"/>
        <v>346597.76521846117</v>
      </c>
      <c r="J70" s="91">
        <f t="shared" si="10"/>
        <v>351325.64394758095</v>
      </c>
      <c r="K70" s="91">
        <f t="shared" si="10"/>
        <v>355984.34873774013</v>
      </c>
      <c r="L70" s="91">
        <f t="shared" si="10"/>
        <v>361427.9475485204</v>
      </c>
      <c r="M70" s="91">
        <f t="shared" si="10"/>
        <v>366872.65560743317</v>
      </c>
      <c r="N70" s="91">
        <f t="shared" si="10"/>
        <v>372273.68950417137</v>
      </c>
      <c r="O70" s="91">
        <f t="shared" si="10"/>
        <v>377602.10156191437</v>
      </c>
      <c r="P70" s="91">
        <f t="shared" si="10"/>
        <v>382910.71088463883</v>
      </c>
      <c r="Q70" s="91">
        <f t="shared" si="10"/>
        <v>388243.32150651043</v>
      </c>
      <c r="R70" s="91">
        <f t="shared" si="10"/>
        <v>393576.60982972663</v>
      </c>
      <c r="S70" s="91">
        <f t="shared" si="10"/>
        <v>398916.61299332266</v>
      </c>
      <c r="T70" s="91">
        <f t="shared" si="10"/>
        <v>404253.74480070471</v>
      </c>
      <c r="U70" s="91">
        <f t="shared" si="10"/>
        <v>409642.82686323964</v>
      </c>
      <c r="V70" s="91">
        <f t="shared" si="10"/>
        <v>415266.44480256492</v>
      </c>
      <c r="W70" s="91">
        <f t="shared" si="10"/>
        <v>420869.08492396097</v>
      </c>
      <c r="X70" s="91">
        <f t="shared" si="10"/>
        <v>426472.54973949795</v>
      </c>
      <c r="Y70" s="91">
        <f t="shared" si="10"/>
        <v>432078.44559832051</v>
      </c>
      <c r="Z70" s="91">
        <f t="shared" si="10"/>
        <v>437689.32779380376</v>
      </c>
      <c r="AA70" s="91">
        <f t="shared" si="10"/>
        <v>443293.64044479019</v>
      </c>
      <c r="AB70" s="91">
        <f t="shared" si="10"/>
        <v>448909.51799136738</v>
      </c>
      <c r="AC70" s="91">
        <f t="shared" si="10"/>
        <v>454515.44793411432</v>
      </c>
      <c r="AD70" s="91">
        <f t="shared" si="10"/>
        <v>460107.57138754328</v>
      </c>
      <c r="AE70" s="91">
        <f t="shared" si="10"/>
        <v>465694.23481668317</v>
      </c>
    </row>
    <row r="71" spans="1:31" x14ac:dyDescent="0.25">
      <c r="A71" s="91" t="s">
        <v>343</v>
      </c>
      <c r="B71" s="91">
        <f t="shared" ref="B71:AE71" si="11">B11*B$57/B$54</f>
        <v>8794898.9195931423</v>
      </c>
      <c r="C71" s="91">
        <f t="shared" si="11"/>
        <v>8975999.2238869276</v>
      </c>
      <c r="D71" s="91">
        <f t="shared" si="11"/>
        <v>9104646.7405873612</v>
      </c>
      <c r="E71" s="91">
        <f t="shared" si="11"/>
        <v>9233794.498019265</v>
      </c>
      <c r="F71" s="91">
        <f t="shared" si="11"/>
        <v>9365223.5597257204</v>
      </c>
      <c r="G71" s="91">
        <f t="shared" si="11"/>
        <v>9496763.9939858764</v>
      </c>
      <c r="H71" s="91">
        <f t="shared" si="11"/>
        <v>9629088.7116343193</v>
      </c>
      <c r="I71" s="91">
        <f t="shared" si="11"/>
        <v>9762376.3433196116</v>
      </c>
      <c r="J71" s="91">
        <f t="shared" si="11"/>
        <v>9895322.840873817</v>
      </c>
      <c r="K71" s="91">
        <f t="shared" si="11"/>
        <v>10026319.357181102</v>
      </c>
      <c r="L71" s="91">
        <f t="shared" si="11"/>
        <v>10179268.078807157</v>
      </c>
      <c r="M71" s="91">
        <f t="shared" si="11"/>
        <v>10332244.381535005</v>
      </c>
      <c r="N71" s="91">
        <f t="shared" si="11"/>
        <v>10483987.178214181</v>
      </c>
      <c r="O71" s="91">
        <f t="shared" si="11"/>
        <v>10633681.501861481</v>
      </c>
      <c r="P71" s="91">
        <f t="shared" si="11"/>
        <v>10782815.049307715</v>
      </c>
      <c r="Q71" s="91">
        <f t="shared" si="11"/>
        <v>10932621.452328404</v>
      </c>
      <c r="R71" s="91">
        <f t="shared" si="11"/>
        <v>11082443.978262423</v>
      </c>
      <c r="S71" s="91">
        <f t="shared" si="11"/>
        <v>11232452.698971674</v>
      </c>
      <c r="T71" s="91">
        <f t="shared" si="11"/>
        <v>11382377.763355112</v>
      </c>
      <c r="U71" s="91">
        <f t="shared" si="11"/>
        <v>11533762.795138916</v>
      </c>
      <c r="V71" s="91">
        <f t="shared" si="11"/>
        <v>11691678.297826082</v>
      </c>
      <c r="W71" s="91">
        <f t="shared" si="11"/>
        <v>11848999.245614385</v>
      </c>
      <c r="X71" s="91">
        <f t="shared" si="11"/>
        <v>12006339.601628929</v>
      </c>
      <c r="Y71" s="91">
        <f t="shared" si="11"/>
        <v>12163744.683015684</v>
      </c>
      <c r="Z71" s="91">
        <f t="shared" si="11"/>
        <v>12321286.511085309</v>
      </c>
      <c r="AA71" s="91">
        <f t="shared" si="11"/>
        <v>12478639.867536787</v>
      </c>
      <c r="AB71" s="91">
        <f t="shared" si="11"/>
        <v>12636315.324031882</v>
      </c>
      <c r="AC71" s="91">
        <f t="shared" si="11"/>
        <v>12793707.400823271</v>
      </c>
      <c r="AD71" s="91">
        <f t="shared" si="11"/>
        <v>12950707.591052663</v>
      </c>
      <c r="AE71" s="91">
        <f t="shared" si="11"/>
        <v>13107550.932678273</v>
      </c>
    </row>
    <row r="72" spans="1:31" x14ac:dyDescent="0.25">
      <c r="A72" s="91" t="s">
        <v>345</v>
      </c>
      <c r="B72" s="91">
        <f t="shared" ref="B72:AE72" si="12">B12*B$57/B$54</f>
        <v>3918379.1303975591</v>
      </c>
      <c r="C72" s="91">
        <f t="shared" si="12"/>
        <v>3988264.2171617737</v>
      </c>
      <c r="D72" s="91">
        <f t="shared" si="12"/>
        <v>4034692.6067798003</v>
      </c>
      <c r="E72" s="91">
        <f t="shared" si="12"/>
        <v>4081257.2528069383</v>
      </c>
      <c r="F72" s="91">
        <f t="shared" si="12"/>
        <v>4128744.1832081457</v>
      </c>
      <c r="G72" s="91">
        <f t="shared" si="12"/>
        <v>4176194.0388482157</v>
      </c>
      <c r="H72" s="91">
        <f t="shared" si="12"/>
        <v>4223904.1507014846</v>
      </c>
      <c r="I72" s="91">
        <f t="shared" si="12"/>
        <v>4271952.600056272</v>
      </c>
      <c r="J72" s="91">
        <f t="shared" si="12"/>
        <v>4319769.4650643617</v>
      </c>
      <c r="K72" s="91">
        <f t="shared" si="12"/>
        <v>4366657.4599622106</v>
      </c>
      <c r="L72" s="91">
        <f t="shared" si="12"/>
        <v>4416458.6024407111</v>
      </c>
      <c r="M72" s="91">
        <f t="shared" si="12"/>
        <v>4466105.667617186</v>
      </c>
      <c r="N72" s="91">
        <f t="shared" si="12"/>
        <v>4515060.3220930947</v>
      </c>
      <c r="O72" s="91">
        <f t="shared" si="12"/>
        <v>4562983.3280722117</v>
      </c>
      <c r="P72" s="91">
        <f t="shared" si="12"/>
        <v>4610524.5924457246</v>
      </c>
      <c r="Q72" s="91">
        <f t="shared" si="12"/>
        <v>4658216.33510534</v>
      </c>
      <c r="R72" s="91">
        <f t="shared" si="12"/>
        <v>4705780.6022874173</v>
      </c>
      <c r="S72" s="91">
        <f t="shared" si="12"/>
        <v>4753293.0741139371</v>
      </c>
      <c r="T72" s="91">
        <f t="shared" si="12"/>
        <v>4800642.7885337863</v>
      </c>
      <c r="U72" s="91">
        <f t="shared" si="12"/>
        <v>4848482.5125616277</v>
      </c>
      <c r="V72" s="91">
        <f t="shared" si="12"/>
        <v>4896423.5280732661</v>
      </c>
      <c r="W72" s="91">
        <f t="shared" si="12"/>
        <v>4943943.3601022596</v>
      </c>
      <c r="X72" s="91">
        <f t="shared" si="12"/>
        <v>4991304.4409301654</v>
      </c>
      <c r="Y72" s="91">
        <f t="shared" si="12"/>
        <v>5038529.7324803676</v>
      </c>
      <c r="Z72" s="91">
        <f t="shared" si="12"/>
        <v>5085652.8100625155</v>
      </c>
      <c r="AA72" s="91">
        <f t="shared" si="12"/>
        <v>5132543.3155856542</v>
      </c>
      <c r="AB72" s="91">
        <f t="shared" si="12"/>
        <v>5179415.2048949897</v>
      </c>
      <c r="AC72" s="91">
        <f t="shared" si="12"/>
        <v>5226023.5319861863</v>
      </c>
      <c r="AD72" s="91">
        <f t="shared" si="12"/>
        <v>5272328.927844299</v>
      </c>
      <c r="AE72" s="91">
        <f t="shared" si="12"/>
        <v>5318431.8493526923</v>
      </c>
    </row>
    <row r="73" spans="1:31" x14ac:dyDescent="0.25">
      <c r="A73" s="91" t="s">
        <v>347</v>
      </c>
      <c r="B73" s="91">
        <f t="shared" ref="B73:AE73" si="13">B13*B$57/B$54</f>
        <v>496612.59461521078</v>
      </c>
      <c r="C73" s="91">
        <f t="shared" si="13"/>
        <v>504204.51585135964</v>
      </c>
      <c r="D73" s="91">
        <f t="shared" si="13"/>
        <v>508813.30360503134</v>
      </c>
      <c r="E73" s="91">
        <f t="shared" si="13"/>
        <v>513429.21333638998</v>
      </c>
      <c r="F73" s="91">
        <f t="shared" si="13"/>
        <v>518150.98858476366</v>
      </c>
      <c r="G73" s="91">
        <f t="shared" si="13"/>
        <v>522857.90865457401</v>
      </c>
      <c r="H73" s="91">
        <f t="shared" si="13"/>
        <v>527587.3676928035</v>
      </c>
      <c r="I73" s="91">
        <f t="shared" si="13"/>
        <v>532349.08549742331</v>
      </c>
      <c r="J73" s="91">
        <f t="shared" si="13"/>
        <v>537072.12731435278</v>
      </c>
      <c r="K73" s="91">
        <f t="shared" si="13"/>
        <v>541670.40428188071</v>
      </c>
      <c r="L73" s="91">
        <f t="shared" si="13"/>
        <v>545968.33529043547</v>
      </c>
      <c r="M73" s="91">
        <f t="shared" si="13"/>
        <v>550228.58195389411</v>
      </c>
      <c r="N73" s="91">
        <f t="shared" si="13"/>
        <v>554385.5838717632</v>
      </c>
      <c r="O73" s="91">
        <f t="shared" si="13"/>
        <v>558399.01473486319</v>
      </c>
      <c r="P73" s="91">
        <f t="shared" si="13"/>
        <v>562349.71555048157</v>
      </c>
      <c r="Q73" s="91">
        <f t="shared" si="13"/>
        <v>566303.14179538935</v>
      </c>
      <c r="R73" s="91">
        <f t="shared" si="13"/>
        <v>570225.7160852399</v>
      </c>
      <c r="S73" s="91">
        <f t="shared" si="13"/>
        <v>574127.00638775108</v>
      </c>
      <c r="T73" s="91">
        <f t="shared" si="13"/>
        <v>577993.98209427553</v>
      </c>
      <c r="U73" s="91">
        <f t="shared" si="13"/>
        <v>581905.4352686163</v>
      </c>
      <c r="V73" s="91">
        <f t="shared" si="13"/>
        <v>585664.03494291869</v>
      </c>
      <c r="W73" s="91">
        <f t="shared" si="13"/>
        <v>589353.55848940753</v>
      </c>
      <c r="X73" s="91">
        <f t="shared" si="13"/>
        <v>593005.97190760111</v>
      </c>
      <c r="Y73" s="91">
        <f t="shared" si="13"/>
        <v>596624.45424227556</v>
      </c>
      <c r="Z73" s="91">
        <f t="shared" si="13"/>
        <v>600213.39209203748</v>
      </c>
      <c r="AA73" s="91">
        <f t="shared" si="13"/>
        <v>603757.82763660839</v>
      </c>
      <c r="AB73" s="91">
        <f t="shared" si="13"/>
        <v>607283.366448057</v>
      </c>
      <c r="AC73" s="91">
        <f t="shared" si="13"/>
        <v>610761.64713880047</v>
      </c>
      <c r="AD73" s="91">
        <f t="shared" si="13"/>
        <v>614188.6202590185</v>
      </c>
      <c r="AE73" s="91">
        <f t="shared" si="13"/>
        <v>617576.52130716795</v>
      </c>
    </row>
    <row r="74" spans="1:31" x14ac:dyDescent="0.25">
      <c r="A74" s="91" t="s">
        <v>349</v>
      </c>
      <c r="B74" s="91">
        <f t="shared" ref="B74:AE74" si="14">B14*B$57/B$54</f>
        <v>672995.22881993558</v>
      </c>
      <c r="C74" s="91">
        <f t="shared" si="14"/>
        <v>688113.51315264264</v>
      </c>
      <c r="D74" s="91">
        <f t="shared" si="14"/>
        <v>699228.2611683202</v>
      </c>
      <c r="E74" s="91">
        <f t="shared" si="14"/>
        <v>710391.39532958053</v>
      </c>
      <c r="F74" s="91">
        <f t="shared" si="14"/>
        <v>721740.07819614059</v>
      </c>
      <c r="G74" s="91">
        <f t="shared" si="14"/>
        <v>733107.39984251012</v>
      </c>
      <c r="H74" s="91">
        <f t="shared" si="14"/>
        <v>744545.14037015918</v>
      </c>
      <c r="I74" s="91">
        <f t="shared" si="14"/>
        <v>756067.14426732238</v>
      </c>
      <c r="J74" s="91">
        <f t="shared" si="14"/>
        <v>767572.33270976227</v>
      </c>
      <c r="K74" s="91">
        <f t="shared" si="14"/>
        <v>778935.31930442166</v>
      </c>
      <c r="L74" s="91">
        <f t="shared" si="14"/>
        <v>792898.48758180044</v>
      </c>
      <c r="M74" s="91">
        <f t="shared" si="14"/>
        <v>806884.35576914879</v>
      </c>
      <c r="N74" s="91">
        <f t="shared" si="14"/>
        <v>820793.60274571646</v>
      </c>
      <c r="O74" s="91">
        <f t="shared" si="14"/>
        <v>834560.97174789303</v>
      </c>
      <c r="P74" s="91">
        <f t="shared" si="14"/>
        <v>848301.79474105092</v>
      </c>
      <c r="Q74" s="91">
        <f t="shared" si="14"/>
        <v>862112.53656150366</v>
      </c>
      <c r="R74" s="91">
        <f t="shared" si="14"/>
        <v>875941.17791109905</v>
      </c>
      <c r="S74" s="91">
        <f t="shared" si="14"/>
        <v>889800.73217708827</v>
      </c>
      <c r="T74" s="91">
        <f t="shared" si="14"/>
        <v>903669.42252313998</v>
      </c>
      <c r="U74" s="91">
        <f t="shared" si="14"/>
        <v>917669.58655767655</v>
      </c>
      <c r="V74" s="91">
        <f t="shared" si="14"/>
        <v>932655.89759801293</v>
      </c>
      <c r="W74" s="91">
        <f t="shared" si="14"/>
        <v>947617.39294555341</v>
      </c>
      <c r="X74" s="91">
        <f t="shared" si="14"/>
        <v>962602.35202771076</v>
      </c>
      <c r="Y74" s="91">
        <f t="shared" si="14"/>
        <v>977613.866725264</v>
      </c>
      <c r="Z74" s="91">
        <f t="shared" si="14"/>
        <v>992657.2340166521</v>
      </c>
      <c r="AA74" s="91">
        <f t="shared" si="14"/>
        <v>1007705.743748051</v>
      </c>
      <c r="AB74" s="91">
        <f t="shared" si="14"/>
        <v>1022800.1075280277</v>
      </c>
      <c r="AC74" s="91">
        <f t="shared" si="14"/>
        <v>1037890.8928338396</v>
      </c>
      <c r="AD74" s="91">
        <f t="shared" si="14"/>
        <v>1052968.646409767</v>
      </c>
      <c r="AE74" s="91">
        <f t="shared" si="14"/>
        <v>1068051.8516437667</v>
      </c>
    </row>
    <row r="75" spans="1:31" x14ac:dyDescent="0.25">
      <c r="A75" s="91" t="s">
        <v>351</v>
      </c>
      <c r="B75" s="91">
        <f t="shared" ref="B75:AE75" si="15">B15*B$57/B$54</f>
        <v>4773544.5592588466</v>
      </c>
      <c r="C75" s="91">
        <f t="shared" si="15"/>
        <v>4821435.1942720953</v>
      </c>
      <c r="D75" s="91">
        <f t="shared" si="15"/>
        <v>4840448.1459898828</v>
      </c>
      <c r="E75" s="91">
        <f t="shared" si="15"/>
        <v>4859328.3851161227</v>
      </c>
      <c r="F75" s="91">
        <f t="shared" si="15"/>
        <v>4879007.6665862547</v>
      </c>
      <c r="G75" s="91">
        <f t="shared" si="15"/>
        <v>4898342.802312932</v>
      </c>
      <c r="H75" s="91">
        <f t="shared" si="15"/>
        <v>4917687.4957867395</v>
      </c>
      <c r="I75" s="91">
        <f t="shared" si="15"/>
        <v>4937131.6831060825</v>
      </c>
      <c r="J75" s="91">
        <f t="shared" si="15"/>
        <v>4956019.2329711169</v>
      </c>
      <c r="K75" s="91">
        <f t="shared" si="15"/>
        <v>4973567.935316572</v>
      </c>
      <c r="L75" s="91">
        <f t="shared" si="15"/>
        <v>4978798.6859605443</v>
      </c>
      <c r="M75" s="91">
        <f t="shared" si="15"/>
        <v>4983345.212513594</v>
      </c>
      <c r="N75" s="91">
        <f t="shared" si="15"/>
        <v>4986627.7302638032</v>
      </c>
      <c r="O75" s="91">
        <f t="shared" si="15"/>
        <v>4988307.9291175697</v>
      </c>
      <c r="P75" s="91">
        <f t="shared" si="15"/>
        <v>4989132.1277596178</v>
      </c>
      <c r="Q75" s="91">
        <f t="shared" si="15"/>
        <v>4989691.0473926384</v>
      </c>
      <c r="R75" s="91">
        <f t="shared" si="15"/>
        <v>4989692.8086694097</v>
      </c>
      <c r="S75" s="91">
        <f t="shared" si="15"/>
        <v>4989228.5432965429</v>
      </c>
      <c r="T75" s="91">
        <f t="shared" si="15"/>
        <v>4988191.9704754651</v>
      </c>
      <c r="U75" s="91">
        <f t="shared" si="15"/>
        <v>4987266.8208128633</v>
      </c>
      <c r="V75" s="91">
        <f t="shared" si="15"/>
        <v>4985564.5897060381</v>
      </c>
      <c r="W75" s="91">
        <f t="shared" si="15"/>
        <v>4982955.4095298927</v>
      </c>
      <c r="X75" s="91">
        <f t="shared" si="15"/>
        <v>4979721.2264114367</v>
      </c>
      <c r="Y75" s="91">
        <f t="shared" si="15"/>
        <v>4975896.4804491634</v>
      </c>
      <c r="Z75" s="91">
        <f t="shared" si="15"/>
        <v>4971524.835113192</v>
      </c>
      <c r="AA75" s="91">
        <f t="shared" si="15"/>
        <v>4966489.7798948586</v>
      </c>
      <c r="AB75" s="91">
        <f t="shared" si="15"/>
        <v>4961009.5286154803</v>
      </c>
      <c r="AC75" s="91">
        <f t="shared" si="15"/>
        <v>4954858.6278427402</v>
      </c>
      <c r="AD75" s="91">
        <f t="shared" si="15"/>
        <v>4948013.8547969768</v>
      </c>
      <c r="AE75" s="91">
        <f t="shared" si="15"/>
        <v>4940583.1151594352</v>
      </c>
    </row>
    <row r="76" spans="1:31" x14ac:dyDescent="0.25">
      <c r="A76" s="91" t="s">
        <v>353</v>
      </c>
      <c r="B76" s="91">
        <f t="shared" ref="B76:AE76" si="16">B16*B$57/B$54</f>
        <v>2582792.8919032095</v>
      </c>
      <c r="C76" s="91">
        <f t="shared" si="16"/>
        <v>2617921.3824594598</v>
      </c>
      <c r="D76" s="91">
        <f t="shared" si="16"/>
        <v>2637499.8514488684</v>
      </c>
      <c r="E76" s="91">
        <f t="shared" si="16"/>
        <v>2657080.4288775348</v>
      </c>
      <c r="F76" s="91">
        <f t="shared" si="16"/>
        <v>2677173.6427429859</v>
      </c>
      <c r="G76" s="91">
        <f t="shared" si="16"/>
        <v>2697154.6338367532</v>
      </c>
      <c r="H76" s="91">
        <f t="shared" si="16"/>
        <v>2717216.8862313279</v>
      </c>
      <c r="I76" s="91">
        <f t="shared" si="16"/>
        <v>2737410.3443801212</v>
      </c>
      <c r="J76" s="91">
        <f t="shared" si="16"/>
        <v>2757370.5534416689</v>
      </c>
      <c r="K76" s="91">
        <f t="shared" si="16"/>
        <v>2776657.645686341</v>
      </c>
      <c r="L76" s="91">
        <f t="shared" si="16"/>
        <v>2792442.9300540462</v>
      </c>
      <c r="M76" s="91">
        <f t="shared" si="16"/>
        <v>2807973.3279556632</v>
      </c>
      <c r="N76" s="91">
        <f t="shared" si="16"/>
        <v>2822916.8181440271</v>
      </c>
      <c r="O76" s="91">
        <f t="shared" si="16"/>
        <v>2837072.5159813054</v>
      </c>
      <c r="P76" s="91">
        <f t="shared" si="16"/>
        <v>2850855.5586006334</v>
      </c>
      <c r="Q76" s="91">
        <f t="shared" si="16"/>
        <v>2864599.6007555621</v>
      </c>
      <c r="R76" s="91">
        <f t="shared" si="16"/>
        <v>2878135.5184221403</v>
      </c>
      <c r="S76" s="91">
        <f t="shared" si="16"/>
        <v>2891512.9563837363</v>
      </c>
      <c r="T76" s="91">
        <f t="shared" si="16"/>
        <v>2904667.5571159571</v>
      </c>
      <c r="U76" s="91">
        <f t="shared" si="16"/>
        <v>2917995.9671215499</v>
      </c>
      <c r="V76" s="91">
        <f t="shared" si="16"/>
        <v>2930357.9868842056</v>
      </c>
      <c r="W76" s="91">
        <f t="shared" si="16"/>
        <v>2942313.3973079049</v>
      </c>
      <c r="X76" s="91">
        <f t="shared" si="16"/>
        <v>2954024.0194299109</v>
      </c>
      <c r="Y76" s="91">
        <f t="shared" si="16"/>
        <v>2965507.1704184967</v>
      </c>
      <c r="Z76" s="91">
        <f t="shared" si="16"/>
        <v>2976786.0074480348</v>
      </c>
      <c r="AA76" s="91">
        <f t="shared" si="16"/>
        <v>2987787.7585707363</v>
      </c>
      <c r="AB76" s="91">
        <f t="shared" si="16"/>
        <v>2998640.5870264214</v>
      </c>
      <c r="AC76" s="91">
        <f t="shared" si="16"/>
        <v>3009205.6426080475</v>
      </c>
      <c r="AD76" s="91">
        <f t="shared" si="16"/>
        <v>3019464.8150933012</v>
      </c>
      <c r="AE76" s="91">
        <f t="shared" si="16"/>
        <v>3029480.0414538817</v>
      </c>
    </row>
    <row r="77" spans="1:31" x14ac:dyDescent="0.25">
      <c r="A77" s="91" t="s">
        <v>355</v>
      </c>
      <c r="B77" s="91">
        <f t="shared" ref="B77:AE77" si="17">B17*B$57/B$54</f>
        <v>1248624.7475453434</v>
      </c>
      <c r="C77" s="91">
        <f t="shared" si="17"/>
        <v>1265674.640156918</v>
      </c>
      <c r="D77" s="91">
        <f t="shared" si="17"/>
        <v>1275207.5800361237</v>
      </c>
      <c r="E77" s="91">
        <f t="shared" si="17"/>
        <v>1284742.0796186193</v>
      </c>
      <c r="F77" s="91">
        <f t="shared" si="17"/>
        <v>1294524.9951423027</v>
      </c>
      <c r="G77" s="91">
        <f t="shared" si="17"/>
        <v>1304254.1986119198</v>
      </c>
      <c r="H77" s="91">
        <f t="shared" si="17"/>
        <v>1314023.2433298361</v>
      </c>
      <c r="I77" s="91">
        <f t="shared" si="17"/>
        <v>1323856.2838122849</v>
      </c>
      <c r="J77" s="91">
        <f t="shared" si="17"/>
        <v>1333577.0590421141</v>
      </c>
      <c r="K77" s="91">
        <f t="shared" si="17"/>
        <v>1342972.7978018075</v>
      </c>
      <c r="L77" s="91">
        <f t="shared" si="17"/>
        <v>1350703.4745864836</v>
      </c>
      <c r="M77" s="91">
        <f t="shared" si="17"/>
        <v>1358311.8189550149</v>
      </c>
      <c r="N77" s="91">
        <f t="shared" si="17"/>
        <v>1365637.1816311812</v>
      </c>
      <c r="O77" s="91">
        <f t="shared" si="17"/>
        <v>1372582.3121726168</v>
      </c>
      <c r="P77" s="91">
        <f t="shared" si="17"/>
        <v>1379347.9866551571</v>
      </c>
      <c r="Q77" s="91">
        <f t="shared" si="17"/>
        <v>1386095.6110942992</v>
      </c>
      <c r="R77" s="91">
        <f t="shared" si="17"/>
        <v>1392743.3400718183</v>
      </c>
      <c r="S77" s="91">
        <f t="shared" si="17"/>
        <v>1399315.1758582518</v>
      </c>
      <c r="T77" s="91">
        <f t="shared" si="17"/>
        <v>1405779.9535210223</v>
      </c>
      <c r="U77" s="91">
        <f t="shared" si="17"/>
        <v>1412329.6284718779</v>
      </c>
      <c r="V77" s="91">
        <f t="shared" si="17"/>
        <v>1418412.5564647103</v>
      </c>
      <c r="W77" s="91">
        <f t="shared" si="17"/>
        <v>1424299.6079094887</v>
      </c>
      <c r="X77" s="91">
        <f t="shared" si="17"/>
        <v>1430069.0818357447</v>
      </c>
      <c r="Y77" s="91">
        <f t="shared" si="17"/>
        <v>1435729.3387371332</v>
      </c>
      <c r="Z77" s="91">
        <f t="shared" si="17"/>
        <v>1441291.5690172755</v>
      </c>
      <c r="AA77" s="91">
        <f t="shared" si="17"/>
        <v>1446720.5162353744</v>
      </c>
      <c r="AB77" s="91">
        <f t="shared" si="17"/>
        <v>1452078.215904284</v>
      </c>
      <c r="AC77" s="91">
        <f t="shared" si="17"/>
        <v>1457297.4118328539</v>
      </c>
      <c r="AD77" s="91">
        <f t="shared" si="17"/>
        <v>1462369.3048194875</v>
      </c>
      <c r="AE77" s="91">
        <f t="shared" si="17"/>
        <v>1467323.8638429807</v>
      </c>
    </row>
    <row r="78" spans="1:31" x14ac:dyDescent="0.25">
      <c r="A78" s="91" t="s">
        <v>357</v>
      </c>
      <c r="B78" s="91">
        <f t="shared" ref="B78:AE78" si="18">B18*B$57/B$54</f>
        <v>1125413.9959952282</v>
      </c>
      <c r="C78" s="91">
        <f t="shared" si="18"/>
        <v>1139328.3536351034</v>
      </c>
      <c r="D78" s="91">
        <f t="shared" si="18"/>
        <v>1146455.7404183794</v>
      </c>
      <c r="E78" s="91">
        <f t="shared" si="18"/>
        <v>1153572.8795540838</v>
      </c>
      <c r="F78" s="91">
        <f t="shared" si="18"/>
        <v>1160901.2609101597</v>
      </c>
      <c r="G78" s="91">
        <f t="shared" si="18"/>
        <v>1168169.5662565094</v>
      </c>
      <c r="H78" s="91">
        <f t="shared" si="18"/>
        <v>1175461.7849923302</v>
      </c>
      <c r="I78" s="91">
        <f t="shared" si="18"/>
        <v>1182799.4858122901</v>
      </c>
      <c r="J78" s="91">
        <f t="shared" si="18"/>
        <v>1190025.2898809514</v>
      </c>
      <c r="K78" s="91">
        <f t="shared" si="18"/>
        <v>1196950.0454496276</v>
      </c>
      <c r="L78" s="91">
        <f t="shared" si="18"/>
        <v>1201808.4579489878</v>
      </c>
      <c r="M78" s="91">
        <f t="shared" si="18"/>
        <v>1206537.7665608299</v>
      </c>
      <c r="N78" s="91">
        <f t="shared" si="18"/>
        <v>1210996.106237056</v>
      </c>
      <c r="O78" s="91">
        <f t="shared" si="18"/>
        <v>1215098.697642101</v>
      </c>
      <c r="P78" s="91">
        <f t="shared" si="18"/>
        <v>1219024.7262821412</v>
      </c>
      <c r="Q78" s="91">
        <f t="shared" si="18"/>
        <v>1222917.4379234016</v>
      </c>
      <c r="R78" s="91">
        <f t="shared" si="18"/>
        <v>1226704.8611127918</v>
      </c>
      <c r="S78" s="91">
        <f t="shared" si="18"/>
        <v>1230408.5829693857</v>
      </c>
      <c r="T78" s="91">
        <f t="shared" si="18"/>
        <v>1234001.6203718181</v>
      </c>
      <c r="U78" s="91">
        <f t="shared" si="18"/>
        <v>1237652.6991983689</v>
      </c>
      <c r="V78" s="91">
        <f t="shared" si="18"/>
        <v>1240907.6633253552</v>
      </c>
      <c r="W78" s="91">
        <f t="shared" si="18"/>
        <v>1243971.7034801699</v>
      </c>
      <c r="X78" s="91">
        <f t="shared" si="18"/>
        <v>1246913.9229803667</v>
      </c>
      <c r="Y78" s="91">
        <f t="shared" si="18"/>
        <v>1249742.0885552168</v>
      </c>
      <c r="Z78" s="91">
        <f t="shared" si="18"/>
        <v>1252466.3779258002</v>
      </c>
      <c r="AA78" s="91">
        <f t="shared" si="18"/>
        <v>1255056.6103900166</v>
      </c>
      <c r="AB78" s="91">
        <f t="shared" si="18"/>
        <v>1257567.0729735638</v>
      </c>
      <c r="AC78" s="91">
        <f t="shared" si="18"/>
        <v>1259939.9060768152</v>
      </c>
      <c r="AD78" s="91">
        <f t="shared" si="18"/>
        <v>1262168.1015619007</v>
      </c>
      <c r="AE78" s="91">
        <f t="shared" si="18"/>
        <v>1264278.1079141395</v>
      </c>
    </row>
    <row r="79" spans="1:31" x14ac:dyDescent="0.25">
      <c r="A79" s="91" t="s">
        <v>359</v>
      </c>
      <c r="B79" s="91">
        <f t="shared" ref="B79:AE79" si="19">B19*B$57/B$54</f>
        <v>1760608.8236822386</v>
      </c>
      <c r="C79" s="91">
        <f t="shared" si="19"/>
        <v>1783500.30065351</v>
      </c>
      <c r="D79" s="91">
        <f t="shared" si="19"/>
        <v>1795783.2748754963</v>
      </c>
      <c r="E79" s="91">
        <f t="shared" si="19"/>
        <v>1808059.2294699177</v>
      </c>
      <c r="F79" s="91">
        <f t="shared" si="19"/>
        <v>1820675.4443508948</v>
      </c>
      <c r="G79" s="91">
        <f t="shared" si="19"/>
        <v>1833206.6958677121</v>
      </c>
      <c r="H79" s="91">
        <f t="shared" si="19"/>
        <v>1845784.6348676861</v>
      </c>
      <c r="I79" s="91">
        <f t="shared" si="19"/>
        <v>1858443.1600916358</v>
      </c>
      <c r="J79" s="91">
        <f t="shared" si="19"/>
        <v>1870934.9148586425</v>
      </c>
      <c r="K79" s="91">
        <f t="shared" si="19"/>
        <v>1882961.9592408095</v>
      </c>
      <c r="L79" s="91">
        <f t="shared" si="19"/>
        <v>1892179.5092188164</v>
      </c>
      <c r="M79" s="91">
        <f t="shared" si="19"/>
        <v>1901209.5185029525</v>
      </c>
      <c r="N79" s="91">
        <f t="shared" si="19"/>
        <v>1909827.7940075048</v>
      </c>
      <c r="O79" s="91">
        <f t="shared" si="19"/>
        <v>1917899.4963369756</v>
      </c>
      <c r="P79" s="91">
        <f t="shared" si="19"/>
        <v>1925706.3221614547</v>
      </c>
      <c r="Q79" s="91">
        <f t="shared" si="19"/>
        <v>1933474.0892508714</v>
      </c>
      <c r="R79" s="91">
        <f t="shared" si="19"/>
        <v>1941088.8213966812</v>
      </c>
      <c r="S79" s="91">
        <f t="shared" si="19"/>
        <v>1948584.3271642653</v>
      </c>
      <c r="T79" s="91">
        <f t="shared" si="19"/>
        <v>1955917.5437434274</v>
      </c>
      <c r="U79" s="91">
        <f t="shared" si="19"/>
        <v>1963355.7269653592</v>
      </c>
      <c r="V79" s="91">
        <f t="shared" si="19"/>
        <v>1970141.4372867923</v>
      </c>
      <c r="W79" s="91">
        <f t="shared" si="19"/>
        <v>1976639.3374800552</v>
      </c>
      <c r="X79" s="91">
        <f t="shared" si="19"/>
        <v>1982958.6682577054</v>
      </c>
      <c r="Y79" s="91">
        <f t="shared" si="19"/>
        <v>1989111.4063228574</v>
      </c>
      <c r="Z79" s="91">
        <f t="shared" si="19"/>
        <v>1995113.4069256186</v>
      </c>
      <c r="AA79" s="91">
        <f t="shared" si="19"/>
        <v>2000916.2338043228</v>
      </c>
      <c r="AB79" s="91">
        <f t="shared" si="19"/>
        <v>2006606.0647637071</v>
      </c>
      <c r="AC79" s="91">
        <f t="shared" si="19"/>
        <v>2012090.2712076195</v>
      </c>
      <c r="AD79" s="91">
        <f t="shared" si="19"/>
        <v>2017357.186497323</v>
      </c>
      <c r="AE79" s="91">
        <f t="shared" si="19"/>
        <v>2022448.6218813611</v>
      </c>
    </row>
    <row r="80" spans="1:31" x14ac:dyDescent="0.25">
      <c r="A80" s="91" t="s">
        <v>361</v>
      </c>
      <c r="B80" s="91">
        <f t="shared" ref="B80:AE80" si="20">B20*B$57/B$54</f>
        <v>1829314.4338441296</v>
      </c>
      <c r="C80" s="91">
        <f t="shared" si="20"/>
        <v>1851623.9828500883</v>
      </c>
      <c r="D80" s="91">
        <f t="shared" si="20"/>
        <v>1862899.0961913893</v>
      </c>
      <c r="E80" s="91">
        <f t="shared" si="20"/>
        <v>1874155.0849723427</v>
      </c>
      <c r="F80" s="91">
        <f t="shared" si="20"/>
        <v>1885751.7586382418</v>
      </c>
      <c r="G80" s="91">
        <f t="shared" si="20"/>
        <v>1897248.3115203467</v>
      </c>
      <c r="H80" s="91">
        <f t="shared" si="20"/>
        <v>1908781.1945876714</v>
      </c>
      <c r="I80" s="91">
        <f t="shared" si="20"/>
        <v>1920385.424032999</v>
      </c>
      <c r="J80" s="91">
        <f t="shared" si="20"/>
        <v>1931805.502317674</v>
      </c>
      <c r="K80" s="91">
        <f t="shared" si="20"/>
        <v>1942734.5265572856</v>
      </c>
      <c r="L80" s="91">
        <f t="shared" si="20"/>
        <v>1950193.7550905596</v>
      </c>
      <c r="M80" s="91">
        <f t="shared" si="20"/>
        <v>1957439.2269482317</v>
      </c>
      <c r="N80" s="91">
        <f t="shared" si="20"/>
        <v>1964240.9614120747</v>
      </c>
      <c r="O80" s="91">
        <f t="shared" si="20"/>
        <v>1970461.7536756976</v>
      </c>
      <c r="P80" s="91">
        <f t="shared" si="20"/>
        <v>1976392.4848429845</v>
      </c>
      <c r="Q80" s="91">
        <f t="shared" si="20"/>
        <v>1982265.5248321143</v>
      </c>
      <c r="R80" s="91">
        <f t="shared" si="20"/>
        <v>1987964.2634399277</v>
      </c>
      <c r="S80" s="91">
        <f t="shared" si="20"/>
        <v>1993523.7789282447</v>
      </c>
      <c r="T80" s="91">
        <f t="shared" si="20"/>
        <v>1998900.4422273058</v>
      </c>
      <c r="U80" s="91">
        <f t="shared" si="20"/>
        <v>2004367.6125696218</v>
      </c>
      <c r="V80" s="91">
        <f t="shared" si="20"/>
        <v>2009204.423017828</v>
      </c>
      <c r="W80" s="91">
        <f t="shared" si="20"/>
        <v>2013727.9984902726</v>
      </c>
      <c r="X80" s="91">
        <f t="shared" si="20"/>
        <v>2018050.3534374109</v>
      </c>
      <c r="Y80" s="91">
        <f t="shared" si="20"/>
        <v>2022184.1581864604</v>
      </c>
      <c r="Z80" s="91">
        <f t="shared" si="20"/>
        <v>2026145.9732158314</v>
      </c>
      <c r="AA80" s="91">
        <f t="shared" si="20"/>
        <v>2029887.0708915254</v>
      </c>
      <c r="AB80" s="91">
        <f t="shared" si="20"/>
        <v>2033495.3526735457</v>
      </c>
      <c r="AC80" s="91">
        <f t="shared" si="20"/>
        <v>2036877.3412252693</v>
      </c>
      <c r="AD80" s="91">
        <f t="shared" si="20"/>
        <v>2040021.8340704322</v>
      </c>
      <c r="AE80" s="91">
        <f t="shared" si="20"/>
        <v>2042971.7032548978</v>
      </c>
    </row>
    <row r="81" spans="1:31" x14ac:dyDescent="0.25">
      <c r="A81" s="91" t="s">
        <v>363</v>
      </c>
      <c r="B81" s="91">
        <f t="shared" ref="B81:AE81" si="21">B21*B$57/B$54</f>
        <v>651909.74488881882</v>
      </c>
      <c r="C81" s="91">
        <f t="shared" si="21"/>
        <v>659771.0036372327</v>
      </c>
      <c r="D81" s="91">
        <f t="shared" si="21"/>
        <v>663699.21672749834</v>
      </c>
      <c r="E81" s="91">
        <f t="shared" si="21"/>
        <v>667619.89940715639</v>
      </c>
      <c r="F81" s="91">
        <f t="shared" si="21"/>
        <v>671661.21456543356</v>
      </c>
      <c r="G81" s="91">
        <f t="shared" si="21"/>
        <v>675666.13416916481</v>
      </c>
      <c r="H81" s="91">
        <f t="shared" si="21"/>
        <v>679683.26463268395</v>
      </c>
      <c r="I81" s="91">
        <f t="shared" si="21"/>
        <v>683725.07220448798</v>
      </c>
      <c r="J81" s="91">
        <f t="shared" si="21"/>
        <v>687700.59702716733</v>
      </c>
      <c r="K81" s="91">
        <f t="shared" si="21"/>
        <v>691500.62961935345</v>
      </c>
      <c r="L81" s="91">
        <f t="shared" si="21"/>
        <v>694032.48489895195</v>
      </c>
      <c r="M81" s="91">
        <f t="shared" si="21"/>
        <v>696487.0380607202</v>
      </c>
      <c r="N81" s="91">
        <f t="shared" si="21"/>
        <v>698782.50916907424</v>
      </c>
      <c r="O81" s="91">
        <f t="shared" si="21"/>
        <v>700870.17631086428</v>
      </c>
      <c r="P81" s="91">
        <f t="shared" si="21"/>
        <v>702853.59081410908</v>
      </c>
      <c r="Q81" s="91">
        <f t="shared" si="21"/>
        <v>704815.42585644079</v>
      </c>
      <c r="R81" s="91">
        <f t="shared" si="21"/>
        <v>706714.23409109097</v>
      </c>
      <c r="S81" s="91">
        <f t="shared" si="21"/>
        <v>708562.51314379601</v>
      </c>
      <c r="T81" s="91">
        <f t="shared" si="21"/>
        <v>710344.78169885941</v>
      </c>
      <c r="U81" s="91">
        <f t="shared" si="21"/>
        <v>712158.19677777728</v>
      </c>
      <c r="V81" s="91">
        <f t="shared" si="21"/>
        <v>713751.37349967367</v>
      </c>
      <c r="W81" s="91">
        <f t="shared" si="21"/>
        <v>715232.09281857242</v>
      </c>
      <c r="X81" s="91">
        <f t="shared" si="21"/>
        <v>716640.18331708014</v>
      </c>
      <c r="Y81" s="91">
        <f t="shared" si="21"/>
        <v>717980.17339238862</v>
      </c>
      <c r="Z81" s="91">
        <f t="shared" si="21"/>
        <v>719257.96946268727</v>
      </c>
      <c r="AA81" s="91">
        <f t="shared" si="21"/>
        <v>720456.30164022616</v>
      </c>
      <c r="AB81" s="91">
        <f t="shared" si="21"/>
        <v>721606.39700763172</v>
      </c>
      <c r="AC81" s="91">
        <f t="shared" si="21"/>
        <v>722675.1078961225</v>
      </c>
      <c r="AD81" s="91">
        <f t="shared" si="21"/>
        <v>723658.49647448142</v>
      </c>
      <c r="AE81" s="91">
        <f t="shared" si="21"/>
        <v>724571.80655483552</v>
      </c>
    </row>
    <row r="82" spans="1:31" x14ac:dyDescent="0.25">
      <c r="A82" s="91" t="s">
        <v>365</v>
      </c>
      <c r="B82" s="91">
        <f t="shared" ref="B82:AE82" si="22">B22*B$57/B$54</f>
        <v>2239293.3186804992</v>
      </c>
      <c r="C82" s="91">
        <f t="shared" si="22"/>
        <v>2273542.7268713713</v>
      </c>
      <c r="D82" s="91">
        <f t="shared" si="22"/>
        <v>2294340.9158542478</v>
      </c>
      <c r="E82" s="91">
        <f t="shared" si="22"/>
        <v>2315171.3503934909</v>
      </c>
      <c r="F82" s="91">
        <f t="shared" si="22"/>
        <v>2336479.2898304532</v>
      </c>
      <c r="G82" s="91">
        <f t="shared" si="22"/>
        <v>2357720.3769759373</v>
      </c>
      <c r="H82" s="91">
        <f t="shared" si="22"/>
        <v>2379063.2308462346</v>
      </c>
      <c r="I82" s="91">
        <f t="shared" si="22"/>
        <v>2400551.6816090052</v>
      </c>
      <c r="J82" s="91">
        <f t="shared" si="22"/>
        <v>2421865.8580522346</v>
      </c>
      <c r="K82" s="91">
        <f t="shared" si="22"/>
        <v>2442617.5442321189</v>
      </c>
      <c r="L82" s="91">
        <f t="shared" si="22"/>
        <v>2462022.7846281282</v>
      </c>
      <c r="M82" s="91">
        <f t="shared" si="22"/>
        <v>2481258.3285035039</v>
      </c>
      <c r="N82" s="91">
        <f t="shared" si="22"/>
        <v>2500028.5210915809</v>
      </c>
      <c r="O82" s="91">
        <f t="shared" si="22"/>
        <v>2518151.4917800208</v>
      </c>
      <c r="P82" s="91">
        <f t="shared" si="22"/>
        <v>2535991.7835092554</v>
      </c>
      <c r="Q82" s="91">
        <f t="shared" si="22"/>
        <v>2553844.5695309262</v>
      </c>
      <c r="R82" s="91">
        <f t="shared" si="22"/>
        <v>2571558.4238754972</v>
      </c>
      <c r="S82" s="91">
        <f t="shared" si="22"/>
        <v>2589176.4901892059</v>
      </c>
      <c r="T82" s="91">
        <f t="shared" si="22"/>
        <v>2606639.9986275379</v>
      </c>
      <c r="U82" s="91">
        <f t="shared" si="22"/>
        <v>2624304.2833817699</v>
      </c>
      <c r="V82" s="91">
        <f t="shared" si="22"/>
        <v>2641280.5514548579</v>
      </c>
      <c r="W82" s="91">
        <f t="shared" si="22"/>
        <v>2657945.5341224503</v>
      </c>
      <c r="X82" s="91">
        <f t="shared" si="22"/>
        <v>2674443.3871274749</v>
      </c>
      <c r="Y82" s="91">
        <f t="shared" si="22"/>
        <v>2690788.4420528896</v>
      </c>
      <c r="Z82" s="91">
        <f t="shared" si="22"/>
        <v>2707000.4772128901</v>
      </c>
      <c r="AA82" s="91">
        <f t="shared" si="22"/>
        <v>2723012.0263242046</v>
      </c>
      <c r="AB82" s="91">
        <f t="shared" si="22"/>
        <v>2738938.5675255791</v>
      </c>
      <c r="AC82" s="91">
        <f t="shared" si="22"/>
        <v>2754652.1820288934</v>
      </c>
      <c r="AD82" s="91">
        <f t="shared" si="22"/>
        <v>2770134.5987821831</v>
      </c>
      <c r="AE82" s="91">
        <f t="shared" si="22"/>
        <v>2785440.9957159739</v>
      </c>
    </row>
    <row r="83" spans="1:31" x14ac:dyDescent="0.25">
      <c r="A83" s="91" t="s">
        <v>367</v>
      </c>
      <c r="B83" s="91">
        <f t="shared" ref="B83:AE83" si="23">B23*B$57/B$54</f>
        <v>2653182.2011310514</v>
      </c>
      <c r="C83" s="91">
        <f t="shared" si="23"/>
        <v>2694473.9241443346</v>
      </c>
      <c r="D83" s="91">
        <f t="shared" si="23"/>
        <v>2719834.0042555486</v>
      </c>
      <c r="E83" s="91">
        <f t="shared" si="23"/>
        <v>2745237.9998461073</v>
      </c>
      <c r="F83" s="91">
        <f t="shared" si="23"/>
        <v>2771213.9611572074</v>
      </c>
      <c r="G83" s="91">
        <f t="shared" si="23"/>
        <v>2797116.4290571222</v>
      </c>
      <c r="H83" s="91">
        <f t="shared" si="23"/>
        <v>2823145.3512722002</v>
      </c>
      <c r="I83" s="91">
        <f t="shared" si="23"/>
        <v>2849352.7582400418</v>
      </c>
      <c r="J83" s="91">
        <f t="shared" si="23"/>
        <v>2875358.9272077796</v>
      </c>
      <c r="K83" s="91">
        <f t="shared" si="23"/>
        <v>2900702.6026094309</v>
      </c>
      <c r="L83" s="91">
        <f t="shared" si="23"/>
        <v>2924795.6683871984</v>
      </c>
      <c r="M83" s="91">
        <f t="shared" si="23"/>
        <v>2948697.5728973593</v>
      </c>
      <c r="N83" s="91">
        <f t="shared" si="23"/>
        <v>2972056.5351368627</v>
      </c>
      <c r="O83" s="91">
        <f t="shared" si="23"/>
        <v>2994655.5976768225</v>
      </c>
      <c r="P83" s="91">
        <f t="shared" si="23"/>
        <v>3016927.5454546218</v>
      </c>
      <c r="Q83" s="91">
        <f t="shared" si="23"/>
        <v>3039223.2231432977</v>
      </c>
      <c r="R83" s="91">
        <f t="shared" si="23"/>
        <v>3061362.3034329731</v>
      </c>
      <c r="S83" s="91">
        <f t="shared" si="23"/>
        <v>3083395.9206122267</v>
      </c>
      <c r="T83" s="91">
        <f t="shared" si="23"/>
        <v>3105253.8738299888</v>
      </c>
      <c r="U83" s="91">
        <f t="shared" si="23"/>
        <v>3127359.3531714934</v>
      </c>
      <c r="V83" s="91">
        <f t="shared" si="23"/>
        <v>3148706.8051843164</v>
      </c>
      <c r="W83" s="91">
        <f t="shared" si="23"/>
        <v>3169693.6731414627</v>
      </c>
      <c r="X83" s="91">
        <f t="shared" si="23"/>
        <v>3190491.4833372585</v>
      </c>
      <c r="Y83" s="91">
        <f t="shared" si="23"/>
        <v>3211117.0776630831</v>
      </c>
      <c r="Z83" s="91">
        <f t="shared" si="23"/>
        <v>3231593.825916226</v>
      </c>
      <c r="AA83" s="91">
        <f t="shared" si="23"/>
        <v>3251840.9442521161</v>
      </c>
      <c r="AB83" s="91">
        <f t="shared" si="23"/>
        <v>3271996.0877739191</v>
      </c>
      <c r="AC83" s="91">
        <f t="shared" si="23"/>
        <v>3291906.2365280204</v>
      </c>
      <c r="AD83" s="91">
        <f t="shared" si="23"/>
        <v>3311549.2388724145</v>
      </c>
      <c r="AE83" s="91">
        <f t="shared" si="23"/>
        <v>3330990.7497084006</v>
      </c>
    </row>
    <row r="84" spans="1:31" x14ac:dyDescent="0.25">
      <c r="A84" s="91" t="s">
        <v>369</v>
      </c>
      <c r="B84" s="91">
        <f t="shared" ref="B84:AE84" si="24">B24*B$57/B$54</f>
        <v>4028099.5246134764</v>
      </c>
      <c r="C84" s="91">
        <f t="shared" si="24"/>
        <v>4074876.284505628</v>
      </c>
      <c r="D84" s="91">
        <f t="shared" si="24"/>
        <v>4097336.5036787302</v>
      </c>
      <c r="E84" s="91">
        <f t="shared" si="24"/>
        <v>4119735.7788369982</v>
      </c>
      <c r="F84" s="91">
        <f t="shared" si="24"/>
        <v>4142864.7725593355</v>
      </c>
      <c r="G84" s="91">
        <f t="shared" si="24"/>
        <v>4165754.4535994651</v>
      </c>
      <c r="H84" s="91">
        <f t="shared" si="24"/>
        <v>4188704.7461462822</v>
      </c>
      <c r="I84" s="91">
        <f t="shared" si="24"/>
        <v>4211792.4279246461</v>
      </c>
      <c r="J84" s="91">
        <f t="shared" si="24"/>
        <v>4234457.307114467</v>
      </c>
      <c r="K84" s="91">
        <f t="shared" si="24"/>
        <v>4256027.8322380828</v>
      </c>
      <c r="L84" s="91">
        <f t="shared" si="24"/>
        <v>4269144.5296163606</v>
      </c>
      <c r="M84" s="91">
        <f t="shared" si="24"/>
        <v>4281761.0837128246</v>
      </c>
      <c r="N84" s="91">
        <f t="shared" si="24"/>
        <v>4293375.7560918415</v>
      </c>
      <c r="O84" s="91">
        <f t="shared" si="24"/>
        <v>4303690.9772910774</v>
      </c>
      <c r="P84" s="91">
        <f t="shared" si="24"/>
        <v>4313344.3733427571</v>
      </c>
      <c r="Q84" s="91">
        <f t="shared" si="24"/>
        <v>4322844.037715002</v>
      </c>
      <c r="R84" s="91">
        <f t="shared" si="24"/>
        <v>4331936.0548453014</v>
      </c>
      <c r="S84" s="91">
        <f t="shared" si="24"/>
        <v>4340697.5810279744</v>
      </c>
      <c r="T84" s="91">
        <f t="shared" si="24"/>
        <v>4349034.2952051517</v>
      </c>
      <c r="U84" s="91">
        <f t="shared" si="24"/>
        <v>4357541.3141402733</v>
      </c>
      <c r="V84" s="91">
        <f t="shared" si="24"/>
        <v>4364794.7435254678</v>
      </c>
      <c r="W84" s="91">
        <f t="shared" si="24"/>
        <v>4371336.9041086361</v>
      </c>
      <c r="X84" s="91">
        <f t="shared" si="24"/>
        <v>4377412.0852791043</v>
      </c>
      <c r="Y84" s="91">
        <f t="shared" si="24"/>
        <v>4383048.5245033428</v>
      </c>
      <c r="Z84" s="91">
        <f t="shared" si="24"/>
        <v>4388282.8082243055</v>
      </c>
      <c r="AA84" s="91">
        <f t="shared" si="24"/>
        <v>4393010.1254363563</v>
      </c>
      <c r="AB84" s="91">
        <f t="shared" si="24"/>
        <v>4397421.4566024663</v>
      </c>
      <c r="AC84" s="91">
        <f t="shared" si="24"/>
        <v>4401315.2744929977</v>
      </c>
      <c r="AD84" s="91">
        <f t="shared" si="24"/>
        <v>4404668.3291032659</v>
      </c>
      <c r="AE84" s="91">
        <f t="shared" si="24"/>
        <v>4407574.1176616251</v>
      </c>
    </row>
    <row r="85" spans="1:31" x14ac:dyDescent="0.25">
      <c r="A85" s="91" t="s">
        <v>371</v>
      </c>
      <c r="B85" s="91">
        <f t="shared" ref="B85:AE85" si="25">B25*B$57/B$54</f>
        <v>2202800.6504175789</v>
      </c>
      <c r="C85" s="91">
        <f t="shared" si="25"/>
        <v>2237436.5310881212</v>
      </c>
      <c r="D85" s="91">
        <f t="shared" si="25"/>
        <v>2258848.0516466219</v>
      </c>
      <c r="E85" s="91">
        <f t="shared" si="25"/>
        <v>2280298.8678391972</v>
      </c>
      <c r="F85" s="91">
        <f t="shared" si="25"/>
        <v>2302227.6376475058</v>
      </c>
      <c r="G85" s="91">
        <f t="shared" si="25"/>
        <v>2324098.2271243325</v>
      </c>
      <c r="H85" s="91">
        <f t="shared" si="25"/>
        <v>2346076.7234214409</v>
      </c>
      <c r="I85" s="91">
        <f t="shared" si="25"/>
        <v>2368206.3739516027</v>
      </c>
      <c r="J85" s="91">
        <f t="shared" si="25"/>
        <v>2390171.5521729239</v>
      </c>
      <c r="K85" s="91">
        <f t="shared" si="25"/>
        <v>2411588.6630450333</v>
      </c>
      <c r="L85" s="91">
        <f t="shared" si="25"/>
        <v>2432141.5936704348</v>
      </c>
      <c r="M85" s="91">
        <f t="shared" si="25"/>
        <v>2452540.7578462553</v>
      </c>
      <c r="N85" s="91">
        <f t="shared" si="25"/>
        <v>2472493.3530149106</v>
      </c>
      <c r="O85" s="91">
        <f t="shared" si="25"/>
        <v>2491818.517146524</v>
      </c>
      <c r="P85" s="91">
        <f t="shared" si="25"/>
        <v>2510875.9976457697</v>
      </c>
      <c r="Q85" s="91">
        <f t="shared" si="25"/>
        <v>2529957.6370208715</v>
      </c>
      <c r="R85" s="91">
        <f t="shared" si="25"/>
        <v>2548913.263934182</v>
      </c>
      <c r="S85" s="91">
        <f t="shared" si="25"/>
        <v>2567785.3404071373</v>
      </c>
      <c r="T85" s="91">
        <f t="shared" si="25"/>
        <v>2586515.2988327229</v>
      </c>
      <c r="U85" s="91">
        <f t="shared" si="25"/>
        <v>2605455.5776809473</v>
      </c>
      <c r="V85" s="91">
        <f t="shared" si="25"/>
        <v>2623798.1517324969</v>
      </c>
      <c r="W85" s="91">
        <f t="shared" si="25"/>
        <v>2641845.4952979214</v>
      </c>
      <c r="X85" s="91">
        <f t="shared" si="25"/>
        <v>2659740.3786189933</v>
      </c>
      <c r="Y85" s="91">
        <f t="shared" si="25"/>
        <v>2677496.714674246</v>
      </c>
      <c r="Z85" s="91">
        <f t="shared" si="25"/>
        <v>2695133.8734653974</v>
      </c>
      <c r="AA85" s="91">
        <f t="shared" si="25"/>
        <v>2712584.3604585165</v>
      </c>
      <c r="AB85" s="91">
        <f t="shared" si="25"/>
        <v>2729962.8788321661</v>
      </c>
      <c r="AC85" s="91">
        <f t="shared" si="25"/>
        <v>2747141.6553778085</v>
      </c>
      <c r="AD85" s="91">
        <f t="shared" si="25"/>
        <v>2764102.0463769501</v>
      </c>
      <c r="AE85" s="91">
        <f t="shared" si="25"/>
        <v>2780898.7000391446</v>
      </c>
    </row>
    <row r="86" spans="1:31" x14ac:dyDescent="0.25">
      <c r="A86" s="91" t="s">
        <v>373</v>
      </c>
      <c r="B86" s="91">
        <f t="shared" ref="B86:AE86" si="26">B26*B$57/B$54</f>
        <v>1161998.9725825288</v>
      </c>
      <c r="C86" s="91">
        <f t="shared" si="26"/>
        <v>1173602.4737426655</v>
      </c>
      <c r="D86" s="91">
        <f t="shared" si="26"/>
        <v>1178175.9920361647</v>
      </c>
      <c r="E86" s="91">
        <f t="shared" si="26"/>
        <v>1182716.7696041362</v>
      </c>
      <c r="F86" s="91">
        <f t="shared" si="26"/>
        <v>1187451.581057613</v>
      </c>
      <c r="G86" s="91">
        <f t="shared" si="26"/>
        <v>1192102.1833215142</v>
      </c>
      <c r="H86" s="91">
        <f t="shared" si="26"/>
        <v>1196754.6641749674</v>
      </c>
      <c r="I86" s="91">
        <f t="shared" si="26"/>
        <v>1201430.9087361232</v>
      </c>
      <c r="J86" s="91">
        <f t="shared" si="26"/>
        <v>1205971.2540114352</v>
      </c>
      <c r="K86" s="91">
        <f t="shared" si="26"/>
        <v>1210185.3886831482</v>
      </c>
      <c r="L86" s="91">
        <f t="shared" si="26"/>
        <v>1211386.1687130886</v>
      </c>
      <c r="M86" s="91">
        <f t="shared" si="26"/>
        <v>1212419.7498337759</v>
      </c>
      <c r="N86" s="91">
        <f t="shared" si="26"/>
        <v>1213145.103516452</v>
      </c>
      <c r="O86" s="91">
        <f t="shared" si="26"/>
        <v>1213479.978214157</v>
      </c>
      <c r="P86" s="91">
        <f t="shared" si="26"/>
        <v>1213605.9792196758</v>
      </c>
      <c r="Q86" s="91">
        <f t="shared" si="26"/>
        <v>1213666.8211887905</v>
      </c>
      <c r="R86" s="91">
        <f t="shared" si="26"/>
        <v>1213591.517589225</v>
      </c>
      <c r="S86" s="91">
        <f t="shared" si="26"/>
        <v>1213402.2497925065</v>
      </c>
      <c r="T86" s="91">
        <f t="shared" si="26"/>
        <v>1213073.1852989013</v>
      </c>
      <c r="U86" s="91">
        <f t="shared" si="26"/>
        <v>1212770.6082084698</v>
      </c>
      <c r="V86" s="91">
        <f t="shared" si="26"/>
        <v>1212285.39719442</v>
      </c>
      <c r="W86" s="91">
        <f t="shared" si="26"/>
        <v>1211578.9784767281</v>
      </c>
      <c r="X86" s="91">
        <f t="shared" si="26"/>
        <v>1210719.9306203604</v>
      </c>
      <c r="Y86" s="91">
        <f t="shared" si="26"/>
        <v>1209716.6436588881</v>
      </c>
      <c r="Z86" s="91">
        <f t="shared" si="26"/>
        <v>1208579.7481380496</v>
      </c>
      <c r="AA86" s="91">
        <f t="shared" si="26"/>
        <v>1207280.9363613892</v>
      </c>
      <c r="AB86" s="91">
        <f t="shared" si="26"/>
        <v>1205873.2695173468</v>
      </c>
      <c r="AC86" s="91">
        <f t="shared" si="26"/>
        <v>1204301.9603578662</v>
      </c>
      <c r="AD86" s="91">
        <f t="shared" si="26"/>
        <v>1202561.3858530363</v>
      </c>
      <c r="AE86" s="91">
        <f t="shared" si="26"/>
        <v>1200677.7921831207</v>
      </c>
    </row>
    <row r="87" spans="1:31" x14ac:dyDescent="0.25">
      <c r="A87" s="91" t="s">
        <v>375</v>
      </c>
      <c r="B87" s="91">
        <f t="shared" ref="B87:AE87" si="27">B27*B$57/B$54</f>
        <v>2458142.1270334455</v>
      </c>
      <c r="C87" s="91">
        <f t="shared" si="27"/>
        <v>2488171.2166433902</v>
      </c>
      <c r="D87" s="91">
        <f t="shared" si="27"/>
        <v>2503373.1881923168</v>
      </c>
      <c r="E87" s="91">
        <f t="shared" si="27"/>
        <v>2518549.8670837311</v>
      </c>
      <c r="F87" s="91">
        <f t="shared" si="27"/>
        <v>2534184.7825201186</v>
      </c>
      <c r="G87" s="91">
        <f t="shared" si="27"/>
        <v>2549685.5669573615</v>
      </c>
      <c r="H87" s="91">
        <f t="shared" si="27"/>
        <v>2565235.588026532</v>
      </c>
      <c r="I87" s="91">
        <f t="shared" si="27"/>
        <v>2580881.9058015258</v>
      </c>
      <c r="J87" s="91">
        <f t="shared" si="27"/>
        <v>2596281.1434632745</v>
      </c>
      <c r="K87" s="91">
        <f t="shared" si="27"/>
        <v>2611020.8087096545</v>
      </c>
      <c r="L87" s="91">
        <f t="shared" si="27"/>
        <v>2621116.0598052302</v>
      </c>
      <c r="M87" s="91">
        <f t="shared" si="27"/>
        <v>2630924.7161185499</v>
      </c>
      <c r="N87" s="91">
        <f t="shared" si="27"/>
        <v>2640137.6398369269</v>
      </c>
      <c r="O87" s="91">
        <f t="shared" si="27"/>
        <v>2648570.3632627982</v>
      </c>
      <c r="P87" s="91">
        <f t="shared" si="27"/>
        <v>2656613.8201629734</v>
      </c>
      <c r="Q87" s="91">
        <f t="shared" si="27"/>
        <v>2664580.3350478732</v>
      </c>
      <c r="R87" s="91">
        <f t="shared" si="27"/>
        <v>2672313.1510321926</v>
      </c>
      <c r="S87" s="91">
        <f t="shared" si="27"/>
        <v>2679859.4063239363</v>
      </c>
      <c r="T87" s="91">
        <f t="shared" si="27"/>
        <v>2687160.4364068909</v>
      </c>
      <c r="U87" s="91">
        <f t="shared" si="27"/>
        <v>2694583.7154272841</v>
      </c>
      <c r="V87" s="91">
        <f t="shared" si="27"/>
        <v>2701157.5910762767</v>
      </c>
      <c r="W87" s="91">
        <f t="shared" si="27"/>
        <v>2707311.0311292717</v>
      </c>
      <c r="X87" s="91">
        <f t="shared" si="27"/>
        <v>2713194.6060733604</v>
      </c>
      <c r="Y87" s="91">
        <f t="shared" si="27"/>
        <v>2718825.3341778368</v>
      </c>
      <c r="Z87" s="91">
        <f t="shared" si="27"/>
        <v>2724225.4658335461</v>
      </c>
      <c r="AA87" s="91">
        <f t="shared" si="27"/>
        <v>2729329.4691204289</v>
      </c>
      <c r="AB87" s="91">
        <f t="shared" si="27"/>
        <v>2734255.5175126013</v>
      </c>
      <c r="AC87" s="91">
        <f t="shared" si="27"/>
        <v>2738877.9070515647</v>
      </c>
      <c r="AD87" s="91">
        <f t="shared" si="27"/>
        <v>2743181.5534184109</v>
      </c>
      <c r="AE87" s="91">
        <f t="shared" si="27"/>
        <v>2747224.0854992778</v>
      </c>
    </row>
    <row r="88" spans="1:31" x14ac:dyDescent="0.25">
      <c r="A88" s="91" t="s">
        <v>377</v>
      </c>
      <c r="B88" s="91">
        <f t="shared" ref="B88:AE88" si="28">B28*B$57/B$54</f>
        <v>456748.65989002713</v>
      </c>
      <c r="C88" s="91">
        <f t="shared" si="28"/>
        <v>464576.8012016344</v>
      </c>
      <c r="D88" s="91">
        <f t="shared" si="28"/>
        <v>469668.11963907687</v>
      </c>
      <c r="E88" s="91">
        <f t="shared" si="28"/>
        <v>474772.77012253524</v>
      </c>
      <c r="F88" s="91">
        <f t="shared" si="28"/>
        <v>479982.15607941325</v>
      </c>
      <c r="G88" s="91">
        <f t="shared" si="28"/>
        <v>485184.66727627878</v>
      </c>
      <c r="H88" s="91">
        <f t="shared" si="28"/>
        <v>490414.88956821267</v>
      </c>
      <c r="I88" s="91">
        <f t="shared" si="28"/>
        <v>495681.88027071784</v>
      </c>
      <c r="J88" s="91">
        <f t="shared" si="28"/>
        <v>500919.53201197129</v>
      </c>
      <c r="K88" s="91">
        <f t="shared" si="28"/>
        <v>506047.13949501124</v>
      </c>
      <c r="L88" s="91">
        <f t="shared" si="28"/>
        <v>511334.25261506496</v>
      </c>
      <c r="M88" s="91">
        <f t="shared" si="28"/>
        <v>516598.7252300012</v>
      </c>
      <c r="N88" s="91">
        <f t="shared" si="28"/>
        <v>521778.48432257405</v>
      </c>
      <c r="O88" s="91">
        <f t="shared" si="28"/>
        <v>526834.66816874873</v>
      </c>
      <c r="P88" s="91">
        <f t="shared" si="28"/>
        <v>531842.65097483376</v>
      </c>
      <c r="Q88" s="91">
        <f t="shared" si="28"/>
        <v>536863.96561824344</v>
      </c>
      <c r="R88" s="91">
        <f t="shared" si="28"/>
        <v>541866.63270854217</v>
      </c>
      <c r="S88" s="91">
        <f t="shared" si="28"/>
        <v>546859.46912715235</v>
      </c>
      <c r="T88" s="91">
        <f t="shared" si="28"/>
        <v>551829.80467921228</v>
      </c>
      <c r="U88" s="91">
        <f t="shared" si="28"/>
        <v>556852.72574450832</v>
      </c>
      <c r="V88" s="91">
        <f t="shared" si="28"/>
        <v>561832.27116684476</v>
      </c>
      <c r="W88" s="91">
        <f t="shared" si="28"/>
        <v>566758.55417824199</v>
      </c>
      <c r="X88" s="91">
        <f t="shared" si="28"/>
        <v>571661.83924051817</v>
      </c>
      <c r="Y88" s="91">
        <f t="shared" si="28"/>
        <v>576544.87523314217</v>
      </c>
      <c r="Z88" s="91">
        <f t="shared" si="28"/>
        <v>581411.61251121538</v>
      </c>
      <c r="AA88" s="91">
        <f t="shared" si="28"/>
        <v>586247.26075728459</v>
      </c>
      <c r="AB88" s="91">
        <f t="shared" si="28"/>
        <v>591076.37373673357</v>
      </c>
      <c r="AC88" s="91">
        <f t="shared" si="28"/>
        <v>595871.09271734464</v>
      </c>
      <c r="AD88" s="91">
        <f t="shared" si="28"/>
        <v>600627.07440509007</v>
      </c>
      <c r="AE88" s="91">
        <f t="shared" si="28"/>
        <v>605355.90356682288</v>
      </c>
    </row>
    <row r="89" spans="1:31" x14ac:dyDescent="0.25">
      <c r="A89" s="91" t="s">
        <v>379</v>
      </c>
      <c r="B89" s="91">
        <f t="shared" ref="B89:AE89" si="29">B29*B$57/B$54</f>
        <v>747722.42554249417</v>
      </c>
      <c r="C89" s="91">
        <f t="shared" si="29"/>
        <v>759377.99821354903</v>
      </c>
      <c r="D89" s="91">
        <f t="shared" si="29"/>
        <v>766543.85101707967</v>
      </c>
      <c r="E89" s="91">
        <f t="shared" si="29"/>
        <v>773722.2300813552</v>
      </c>
      <c r="F89" s="91">
        <f t="shared" si="29"/>
        <v>781061.96400824643</v>
      </c>
      <c r="G89" s="91">
        <f t="shared" si="29"/>
        <v>788381.13604375534</v>
      </c>
      <c r="H89" s="91">
        <f t="shared" si="29"/>
        <v>795736.09992980503</v>
      </c>
      <c r="I89" s="91">
        <f t="shared" si="29"/>
        <v>803141.52153914818</v>
      </c>
      <c r="J89" s="91">
        <f t="shared" si="29"/>
        <v>810490.36786727898</v>
      </c>
      <c r="K89" s="91">
        <f t="shared" si="29"/>
        <v>817652.6136522427</v>
      </c>
      <c r="L89" s="91">
        <f t="shared" si="29"/>
        <v>824471.57257354003</v>
      </c>
      <c r="M89" s="91">
        <f t="shared" si="29"/>
        <v>831236.91931460495</v>
      </c>
      <c r="N89" s="91">
        <f t="shared" si="29"/>
        <v>837849.47565895482</v>
      </c>
      <c r="O89" s="91">
        <f t="shared" si="29"/>
        <v>844248.05969973153</v>
      </c>
      <c r="P89" s="91">
        <f t="shared" si="29"/>
        <v>850554.66197903187</v>
      </c>
      <c r="Q89" s="91">
        <f t="shared" si="29"/>
        <v>856868.18719096971</v>
      </c>
      <c r="R89" s="91">
        <f t="shared" si="29"/>
        <v>863137.79127881315</v>
      </c>
      <c r="S89" s="91">
        <f t="shared" si="29"/>
        <v>869377.88537842606</v>
      </c>
      <c r="T89" s="91">
        <f t="shared" si="29"/>
        <v>875568.67044240027</v>
      </c>
      <c r="U89" s="91">
        <f t="shared" si="29"/>
        <v>881829.46768087347</v>
      </c>
      <c r="V89" s="91">
        <f t="shared" si="29"/>
        <v>887878.25599274272</v>
      </c>
      <c r="W89" s="91">
        <f t="shared" si="29"/>
        <v>893825.6424331601</v>
      </c>
      <c r="X89" s="91">
        <f t="shared" si="29"/>
        <v>899719.98579242185</v>
      </c>
      <c r="Y89" s="91">
        <f t="shared" si="29"/>
        <v>905566.02878690814</v>
      </c>
      <c r="Z89" s="91">
        <f t="shared" si="29"/>
        <v>911370.35579912958</v>
      </c>
      <c r="AA89" s="91">
        <f t="shared" si="29"/>
        <v>917110.17787477851</v>
      </c>
      <c r="AB89" s="91">
        <f t="shared" si="29"/>
        <v>922824.31104857789</v>
      </c>
      <c r="AC89" s="91">
        <f t="shared" si="29"/>
        <v>928469.59262470342</v>
      </c>
      <c r="AD89" s="91">
        <f t="shared" si="29"/>
        <v>934039.7664962823</v>
      </c>
      <c r="AE89" s="91">
        <f t="shared" si="29"/>
        <v>939553.34290781419</v>
      </c>
    </row>
    <row r="90" spans="1:31" x14ac:dyDescent="0.25">
      <c r="A90" s="91" t="s">
        <v>381</v>
      </c>
      <c r="B90" s="91">
        <f t="shared" ref="B90:AE90" si="30">B30*B$57/B$54</f>
        <v>1142622.6063051764</v>
      </c>
      <c r="C90" s="91">
        <f t="shared" si="30"/>
        <v>1166466.9886898836</v>
      </c>
      <c r="D90" s="91">
        <f t="shared" si="30"/>
        <v>1183499.3284175114</v>
      </c>
      <c r="E90" s="91">
        <f t="shared" si="30"/>
        <v>1200599.1934478793</v>
      </c>
      <c r="F90" s="91">
        <f t="shared" si="30"/>
        <v>1217998.1964851446</v>
      </c>
      <c r="G90" s="91">
        <f t="shared" si="30"/>
        <v>1235414.2058625675</v>
      </c>
      <c r="H90" s="91">
        <f t="shared" si="30"/>
        <v>1252934.7176217658</v>
      </c>
      <c r="I90" s="91">
        <f t="shared" si="30"/>
        <v>1270582.9832453304</v>
      </c>
      <c r="J90" s="91">
        <f t="shared" si="30"/>
        <v>1288189.258464305</v>
      </c>
      <c r="K90" s="91">
        <f t="shared" si="30"/>
        <v>1305543.9531313288</v>
      </c>
      <c r="L90" s="91">
        <f t="shared" si="30"/>
        <v>1325971.1050660892</v>
      </c>
      <c r="M90" s="91">
        <f t="shared" si="30"/>
        <v>1346406.9013177305</v>
      </c>
      <c r="N90" s="91">
        <f t="shared" si="30"/>
        <v>1366686.8021544104</v>
      </c>
      <c r="O90" s="91">
        <f t="shared" si="30"/>
        <v>1386704.2118253959</v>
      </c>
      <c r="P90" s="91">
        <f t="shared" si="30"/>
        <v>1406652.7854261042</v>
      </c>
      <c r="Q90" s="91">
        <f t="shared" si="30"/>
        <v>1426693.3098905659</v>
      </c>
      <c r="R90" s="91">
        <f t="shared" si="30"/>
        <v>1446740.0255563217</v>
      </c>
      <c r="S90" s="91">
        <f t="shared" si="30"/>
        <v>1466815.0287707569</v>
      </c>
      <c r="T90" s="91">
        <f t="shared" si="30"/>
        <v>1486882.9820898599</v>
      </c>
      <c r="U90" s="91">
        <f t="shared" si="30"/>
        <v>1507145.4769512</v>
      </c>
      <c r="V90" s="91">
        <f t="shared" si="30"/>
        <v>1528364.03444113</v>
      </c>
      <c r="W90" s="91">
        <f t="shared" si="30"/>
        <v>1549510.3166774628</v>
      </c>
      <c r="X90" s="91">
        <f t="shared" si="30"/>
        <v>1570664.4145111716</v>
      </c>
      <c r="Y90" s="91">
        <f t="shared" si="30"/>
        <v>1591832.1259129061</v>
      </c>
      <c r="Z90" s="91">
        <f t="shared" si="30"/>
        <v>1613022.7577211764</v>
      </c>
      <c r="AA90" s="91">
        <f t="shared" si="30"/>
        <v>1634193.6118415326</v>
      </c>
      <c r="AB90" s="91">
        <f t="shared" si="30"/>
        <v>1655411.4272843276</v>
      </c>
      <c r="AC90" s="91">
        <f t="shared" si="30"/>
        <v>1676596.7814404147</v>
      </c>
      <c r="AD90" s="91">
        <f t="shared" si="30"/>
        <v>1697735.2979358954</v>
      </c>
      <c r="AE90" s="91">
        <f t="shared" si="30"/>
        <v>1718857.6374713611</v>
      </c>
    </row>
    <row r="91" spans="1:31" x14ac:dyDescent="0.25">
      <c r="A91" s="91" t="s">
        <v>383</v>
      </c>
      <c r="B91" s="91">
        <f t="shared" ref="B91:AE91" si="31">B31*B$57/B$54</f>
        <v>564482.15380354738</v>
      </c>
      <c r="C91" s="91">
        <f t="shared" si="31"/>
        <v>572153.28688715782</v>
      </c>
      <c r="D91" s="91">
        <f t="shared" si="31"/>
        <v>576425.83427747351</v>
      </c>
      <c r="E91" s="91">
        <f t="shared" si="31"/>
        <v>580698.7913745991</v>
      </c>
      <c r="F91" s="91">
        <f t="shared" si="31"/>
        <v>585083.73217881774</v>
      </c>
      <c r="G91" s="91">
        <f t="shared" si="31"/>
        <v>589444.09499176242</v>
      </c>
      <c r="H91" s="91">
        <f t="shared" si="31"/>
        <v>593822.16525657265</v>
      </c>
      <c r="I91" s="91">
        <f t="shared" si="31"/>
        <v>598228.85769319767</v>
      </c>
      <c r="J91" s="91">
        <f t="shared" si="31"/>
        <v>602584.52542513458</v>
      </c>
      <c r="K91" s="91">
        <f t="shared" si="31"/>
        <v>606793.04469171411</v>
      </c>
      <c r="L91" s="91">
        <f t="shared" si="31"/>
        <v>610233.60091026092</v>
      </c>
      <c r="M91" s="91">
        <f t="shared" si="31"/>
        <v>613618.36636471795</v>
      </c>
      <c r="N91" s="91">
        <f t="shared" si="31"/>
        <v>616874.78912116971</v>
      </c>
      <c r="O91" s="91">
        <f t="shared" si="31"/>
        <v>619958.9775910246</v>
      </c>
      <c r="P91" s="91">
        <f t="shared" si="31"/>
        <v>622961.65426464309</v>
      </c>
      <c r="Q91" s="91">
        <f t="shared" si="31"/>
        <v>625955.7312011295</v>
      </c>
      <c r="R91" s="91">
        <f t="shared" si="31"/>
        <v>628904.25346208911</v>
      </c>
      <c r="S91" s="91">
        <f t="shared" si="31"/>
        <v>631818.07096957974</v>
      </c>
      <c r="T91" s="91">
        <f t="shared" si="31"/>
        <v>634683.12297773105</v>
      </c>
      <c r="U91" s="91">
        <f t="shared" si="31"/>
        <v>637586.07956816303</v>
      </c>
      <c r="V91" s="91">
        <f t="shared" si="31"/>
        <v>640277.79284535151</v>
      </c>
      <c r="W91" s="91">
        <f t="shared" si="31"/>
        <v>642880.57410070638</v>
      </c>
      <c r="X91" s="91">
        <f t="shared" si="31"/>
        <v>645429.78366309521</v>
      </c>
      <c r="Y91" s="91">
        <f t="shared" si="31"/>
        <v>647929.20735214907</v>
      </c>
      <c r="Z91" s="91">
        <f t="shared" si="31"/>
        <v>650383.90672449907</v>
      </c>
      <c r="AA91" s="91">
        <f t="shared" si="31"/>
        <v>652777.98425150046</v>
      </c>
      <c r="AB91" s="91">
        <f t="shared" si="31"/>
        <v>655139.44343095017</v>
      </c>
      <c r="AC91" s="91">
        <f t="shared" si="31"/>
        <v>657437.95019020454</v>
      </c>
      <c r="AD91" s="91">
        <f t="shared" si="31"/>
        <v>659669.55060544761</v>
      </c>
      <c r="AE91" s="91">
        <f t="shared" si="31"/>
        <v>661847.77883216192</v>
      </c>
    </row>
    <row r="92" spans="1:31" x14ac:dyDescent="0.25">
      <c r="A92" s="91" t="s">
        <v>385</v>
      </c>
      <c r="B92" s="91">
        <f t="shared" ref="B92:AE92" si="32">B32*B$57/B$54</f>
        <v>3323696.7473442424</v>
      </c>
      <c r="C92" s="91">
        <f t="shared" si="32"/>
        <v>3371322.923401033</v>
      </c>
      <c r="D92" s="91">
        <f t="shared" si="32"/>
        <v>3398957.9821106261</v>
      </c>
      <c r="E92" s="91">
        <f t="shared" si="32"/>
        <v>3426615.1671985118</v>
      </c>
      <c r="F92" s="91">
        <f t="shared" si="32"/>
        <v>3454953.1355147851</v>
      </c>
      <c r="G92" s="91">
        <f t="shared" si="32"/>
        <v>3483166.1195419803</v>
      </c>
      <c r="H92" s="91">
        <f t="shared" si="32"/>
        <v>3511503.6601003245</v>
      </c>
      <c r="I92" s="91">
        <f t="shared" si="32"/>
        <v>3540030.3658267972</v>
      </c>
      <c r="J92" s="91">
        <f t="shared" si="32"/>
        <v>3568274.7529304116</v>
      </c>
      <c r="K92" s="91">
        <f t="shared" si="32"/>
        <v>3595666.4016425931</v>
      </c>
      <c r="L92" s="91">
        <f t="shared" si="32"/>
        <v>3619584.1628629016</v>
      </c>
      <c r="M92" s="91">
        <f t="shared" si="32"/>
        <v>3643206.2020751047</v>
      </c>
      <c r="N92" s="91">
        <f t="shared" si="32"/>
        <v>3666100.3114046231</v>
      </c>
      <c r="O92" s="91">
        <f t="shared" si="32"/>
        <v>3688003.1069777943</v>
      </c>
      <c r="P92" s="91">
        <f t="shared" si="32"/>
        <v>3709451.7649674444</v>
      </c>
      <c r="Q92" s="91">
        <f t="shared" si="32"/>
        <v>3730879.4001047695</v>
      </c>
      <c r="R92" s="91">
        <f t="shared" si="32"/>
        <v>3752065.335166187</v>
      </c>
      <c r="S92" s="91">
        <f t="shared" si="32"/>
        <v>3773073.5252200542</v>
      </c>
      <c r="T92" s="91">
        <f t="shared" si="32"/>
        <v>3793819.2724474766</v>
      </c>
      <c r="U92" s="91">
        <f t="shared" si="32"/>
        <v>3814820.2538345591</v>
      </c>
      <c r="V92" s="91">
        <f t="shared" si="32"/>
        <v>3834625.774717642</v>
      </c>
      <c r="W92" s="91">
        <f t="shared" si="32"/>
        <v>3853933.5558008449</v>
      </c>
      <c r="X92" s="91">
        <f t="shared" si="32"/>
        <v>3872954.2952925926</v>
      </c>
      <c r="Y92" s="91">
        <f t="shared" si="32"/>
        <v>3891709.8597076358</v>
      </c>
      <c r="Z92" s="91">
        <f t="shared" si="32"/>
        <v>3910229.8714412483</v>
      </c>
      <c r="AA92" s="91">
        <f t="shared" si="32"/>
        <v>3928417.9369331286</v>
      </c>
      <c r="AB92" s="91">
        <f t="shared" si="32"/>
        <v>3946441.7427554862</v>
      </c>
      <c r="AC92" s="91">
        <f t="shared" si="32"/>
        <v>3964117.8709017537</v>
      </c>
      <c r="AD92" s="91">
        <f t="shared" si="32"/>
        <v>3981421.4112574793</v>
      </c>
      <c r="AE92" s="91">
        <f t="shared" si="32"/>
        <v>3998433.0099823191</v>
      </c>
    </row>
    <row r="93" spans="1:31" x14ac:dyDescent="0.25">
      <c r="A93" s="91" t="s">
        <v>387</v>
      </c>
      <c r="B93" s="91">
        <f t="shared" ref="B93:AE93" si="33">B33*B$57/B$54</f>
        <v>830097.07956091524</v>
      </c>
      <c r="C93" s="91">
        <f t="shared" si="33"/>
        <v>840275.67781593546</v>
      </c>
      <c r="D93" s="91">
        <f t="shared" si="33"/>
        <v>845447.57165797148</v>
      </c>
      <c r="E93" s="91">
        <f t="shared" si="33"/>
        <v>850611.22900811466</v>
      </c>
      <c r="F93" s="91">
        <f t="shared" si="33"/>
        <v>855929.9605663527</v>
      </c>
      <c r="G93" s="91">
        <f t="shared" si="33"/>
        <v>861203.70197913237</v>
      </c>
      <c r="H93" s="91">
        <f t="shared" si="33"/>
        <v>866494.38387691684</v>
      </c>
      <c r="I93" s="91">
        <f t="shared" si="33"/>
        <v>871817.90340066398</v>
      </c>
      <c r="J93" s="91">
        <f t="shared" si="33"/>
        <v>877058.26571187435</v>
      </c>
      <c r="K93" s="91">
        <f t="shared" si="33"/>
        <v>882076.10650480457</v>
      </c>
      <c r="L93" s="91">
        <f t="shared" si="33"/>
        <v>885539.21231876325</v>
      </c>
      <c r="M93" s="91">
        <f t="shared" si="33"/>
        <v>888906.01851080754</v>
      </c>
      <c r="N93" s="91">
        <f t="shared" si="33"/>
        <v>892072.05553349131</v>
      </c>
      <c r="O93" s="91">
        <f t="shared" si="33"/>
        <v>894974.95586608374</v>
      </c>
      <c r="P93" s="91">
        <f t="shared" si="33"/>
        <v>897746.78168712335</v>
      </c>
      <c r="Q93" s="91">
        <f t="shared" si="33"/>
        <v>900493.06079894223</v>
      </c>
      <c r="R93" s="91">
        <f t="shared" si="33"/>
        <v>903160.81106589956</v>
      </c>
      <c r="S93" s="91">
        <f t="shared" si="33"/>
        <v>905765.95205397042</v>
      </c>
      <c r="T93" s="91">
        <f t="shared" si="33"/>
        <v>908288.64468883653</v>
      </c>
      <c r="U93" s="91">
        <f t="shared" si="33"/>
        <v>910853.09315292863</v>
      </c>
      <c r="V93" s="91">
        <f t="shared" si="33"/>
        <v>913128.98065870919</v>
      </c>
      <c r="W93" s="91">
        <f t="shared" si="33"/>
        <v>915263.24661626283</v>
      </c>
      <c r="X93" s="91">
        <f t="shared" si="33"/>
        <v>917306.77589619008</v>
      </c>
      <c r="Y93" s="91">
        <f t="shared" si="33"/>
        <v>919265.30980966531</v>
      </c>
      <c r="Z93" s="91">
        <f t="shared" si="33"/>
        <v>921146.36007103568</v>
      </c>
      <c r="AA93" s="91">
        <f t="shared" si="33"/>
        <v>922927.75634485995</v>
      </c>
      <c r="AB93" s="91">
        <f t="shared" si="33"/>
        <v>924649.4469054431</v>
      </c>
      <c r="AC93" s="91">
        <f t="shared" si="33"/>
        <v>926268.91200017568</v>
      </c>
      <c r="AD93" s="91">
        <f t="shared" si="33"/>
        <v>927781.03447366192</v>
      </c>
      <c r="AE93" s="91">
        <f t="shared" si="33"/>
        <v>929205.28986646887</v>
      </c>
    </row>
    <row r="94" spans="1:31" x14ac:dyDescent="0.25">
      <c r="A94" s="91" t="s">
        <v>389</v>
      </c>
      <c r="B94" s="91">
        <f t="shared" ref="B94:AE94" si="34">B34*B$57/B$54</f>
        <v>7492254.1072028158</v>
      </c>
      <c r="C94" s="91">
        <f t="shared" si="34"/>
        <v>7591931.8163865386</v>
      </c>
      <c r="D94" s="91">
        <f t="shared" si="34"/>
        <v>7646483.4746862147</v>
      </c>
      <c r="E94" s="91">
        <f t="shared" si="34"/>
        <v>7701023.4116153568</v>
      </c>
      <c r="F94" s="91">
        <f t="shared" si="34"/>
        <v>7757031.0424398156</v>
      </c>
      <c r="G94" s="91">
        <f t="shared" si="34"/>
        <v>7812695.2796751801</v>
      </c>
      <c r="H94" s="91">
        <f t="shared" si="34"/>
        <v>7868576.87986176</v>
      </c>
      <c r="I94" s="91">
        <f t="shared" si="34"/>
        <v>7924820.4138919124</v>
      </c>
      <c r="J94" s="91">
        <f t="shared" si="34"/>
        <v>7980370.9382199096</v>
      </c>
      <c r="K94" s="91">
        <f t="shared" si="34"/>
        <v>8033956.4856560603</v>
      </c>
      <c r="L94" s="91">
        <f t="shared" si="34"/>
        <v>8076479.7854717495</v>
      </c>
      <c r="M94" s="91">
        <f t="shared" si="34"/>
        <v>8118234.4806337021</v>
      </c>
      <c r="N94" s="91">
        <f t="shared" si="34"/>
        <v>8158261.9450365668</v>
      </c>
      <c r="O94" s="91">
        <f t="shared" si="34"/>
        <v>8195983.881692485</v>
      </c>
      <c r="P94" s="91">
        <f t="shared" si="34"/>
        <v>8232601.8167656483</v>
      </c>
      <c r="Q94" s="91">
        <f t="shared" si="34"/>
        <v>8269080.1976337479</v>
      </c>
      <c r="R94" s="91">
        <f t="shared" si="34"/>
        <v>8304931.1936148899</v>
      </c>
      <c r="S94" s="91">
        <f t="shared" si="34"/>
        <v>8340298.7482275041</v>
      </c>
      <c r="T94" s="91">
        <f t="shared" si="34"/>
        <v>8374997.879692113</v>
      </c>
      <c r="U94" s="91">
        <f t="shared" si="34"/>
        <v>8410172.5858569015</v>
      </c>
      <c r="V94" s="91">
        <f t="shared" si="34"/>
        <v>8442544.3745566793</v>
      </c>
      <c r="W94" s="91">
        <f t="shared" si="34"/>
        <v>8473713.9945917781</v>
      </c>
      <c r="X94" s="91">
        <f t="shared" si="34"/>
        <v>8504148.6087826006</v>
      </c>
      <c r="Y94" s="91">
        <f t="shared" si="34"/>
        <v>8533898.8192162476</v>
      </c>
      <c r="Z94" s="91">
        <f t="shared" si="34"/>
        <v>8563031.95173233</v>
      </c>
      <c r="AA94" s="91">
        <f t="shared" si="34"/>
        <v>8591339.387446966</v>
      </c>
      <c r="AB94" s="91">
        <f t="shared" si="34"/>
        <v>8619190.3959585745</v>
      </c>
      <c r="AC94" s="91">
        <f t="shared" si="34"/>
        <v>8646186.4792557303</v>
      </c>
      <c r="AD94" s="91">
        <f t="shared" si="34"/>
        <v>8672276.5435371697</v>
      </c>
      <c r="AE94" s="91">
        <f t="shared" si="34"/>
        <v>8697639.3939798307</v>
      </c>
    </row>
    <row r="95" spans="1:31" x14ac:dyDescent="0.25">
      <c r="A95" s="91" t="s">
        <v>391</v>
      </c>
      <c r="B95" s="91">
        <f t="shared" ref="B95:AE95" si="35">B35*B$57/B$54</f>
        <v>4186767.822678898</v>
      </c>
      <c r="C95" s="91">
        <f t="shared" si="35"/>
        <v>4258219.6808284158</v>
      </c>
      <c r="D95" s="91">
        <f t="shared" si="35"/>
        <v>4304582.0983745642</v>
      </c>
      <c r="E95" s="91">
        <f t="shared" si="35"/>
        <v>4351064.281750449</v>
      </c>
      <c r="F95" s="91">
        <f t="shared" si="35"/>
        <v>4398503.8656522119</v>
      </c>
      <c r="G95" s="91">
        <f t="shared" si="35"/>
        <v>4445877.9882918103</v>
      </c>
      <c r="H95" s="91">
        <f t="shared" si="35"/>
        <v>4493503.6098537399</v>
      </c>
      <c r="I95" s="91">
        <f t="shared" si="35"/>
        <v>4541463.7114544548</v>
      </c>
      <c r="J95" s="91">
        <f t="shared" si="35"/>
        <v>4589152.6346375979</v>
      </c>
      <c r="K95" s="91">
        <f t="shared" si="35"/>
        <v>4635831.1473984905</v>
      </c>
      <c r="L95" s="91">
        <f t="shared" si="35"/>
        <v>4683804.0783387208</v>
      </c>
      <c r="M95" s="91">
        <f t="shared" si="35"/>
        <v>4731565.0419259062</v>
      </c>
      <c r="N95" s="91">
        <f t="shared" si="35"/>
        <v>4778545.6945873657</v>
      </c>
      <c r="O95" s="91">
        <f t="shared" si="35"/>
        <v>4824390.4601952825</v>
      </c>
      <c r="P95" s="91">
        <f t="shared" si="35"/>
        <v>4869789.8864511661</v>
      </c>
      <c r="Q95" s="91">
        <f t="shared" si="35"/>
        <v>4915307.5292447871</v>
      </c>
      <c r="R95" s="91">
        <f t="shared" si="35"/>
        <v>4960650.6510835188</v>
      </c>
      <c r="S95" s="91">
        <f t="shared" si="35"/>
        <v>5005900.0664792322</v>
      </c>
      <c r="T95" s="91">
        <f t="shared" si="35"/>
        <v>5050939.8856709441</v>
      </c>
      <c r="U95" s="91">
        <f t="shared" si="35"/>
        <v>5096457.4293269971</v>
      </c>
      <c r="V95" s="91">
        <f t="shared" si="35"/>
        <v>5141530.0879973397</v>
      </c>
      <c r="W95" s="91">
        <f t="shared" si="35"/>
        <v>5186110.61973044</v>
      </c>
      <c r="X95" s="91">
        <f t="shared" si="35"/>
        <v>5230476.1305198614</v>
      </c>
      <c r="Y95" s="91">
        <f t="shared" si="35"/>
        <v>5274651.8851608867</v>
      </c>
      <c r="Z95" s="91">
        <f t="shared" si="35"/>
        <v>5318674.1280110003</v>
      </c>
      <c r="AA95" s="91">
        <f t="shared" si="35"/>
        <v>5362407.6671068305</v>
      </c>
      <c r="AB95" s="91">
        <f t="shared" si="35"/>
        <v>5406077.2063954789</v>
      </c>
      <c r="AC95" s="91">
        <f t="shared" si="35"/>
        <v>5449428.0361848986</v>
      </c>
      <c r="AD95" s="91">
        <f t="shared" si="35"/>
        <v>5492420.5753147267</v>
      </c>
      <c r="AE95" s="91">
        <f t="shared" si="35"/>
        <v>5535160.8954589181</v>
      </c>
    </row>
    <row r="96" spans="1:31" x14ac:dyDescent="0.25">
      <c r="A96" s="91" t="s">
        <v>393</v>
      </c>
      <c r="B96" s="91">
        <f t="shared" ref="B96:AE96" si="36">B36*B$57/B$54</f>
        <v>330009.24091266358</v>
      </c>
      <c r="C96" s="91">
        <f t="shared" si="36"/>
        <v>337091.5975740776</v>
      </c>
      <c r="D96" s="91">
        <f t="shared" si="36"/>
        <v>342208.10307831015</v>
      </c>
      <c r="E96" s="91">
        <f t="shared" si="36"/>
        <v>347345.68040083785</v>
      </c>
      <c r="F96" s="91">
        <f t="shared" si="36"/>
        <v>352571.35896058287</v>
      </c>
      <c r="G96" s="91">
        <f t="shared" si="36"/>
        <v>357803.52002163779</v>
      </c>
      <c r="H96" s="91">
        <f t="shared" si="36"/>
        <v>363067.47871326591</v>
      </c>
      <c r="I96" s="91">
        <f t="shared" si="36"/>
        <v>368369.97771343385</v>
      </c>
      <c r="J96" s="91">
        <f t="shared" si="36"/>
        <v>373661.79137844982</v>
      </c>
      <c r="K96" s="91">
        <f t="shared" si="36"/>
        <v>378882.0330945687</v>
      </c>
      <c r="L96" s="91">
        <f t="shared" si="36"/>
        <v>385129.63537941768</v>
      </c>
      <c r="M96" s="91">
        <f t="shared" si="36"/>
        <v>391382.90230262175</v>
      </c>
      <c r="N96" s="91">
        <f t="shared" si="36"/>
        <v>397593.87575739046</v>
      </c>
      <c r="O96" s="91">
        <f t="shared" si="36"/>
        <v>403731.32232732279</v>
      </c>
      <c r="P96" s="91">
        <f t="shared" si="36"/>
        <v>409851.40493988997</v>
      </c>
      <c r="Q96" s="91">
        <f t="shared" si="36"/>
        <v>416000.88155949145</v>
      </c>
      <c r="R96" s="91">
        <f t="shared" si="36"/>
        <v>422154.71059719869</v>
      </c>
      <c r="S96" s="91">
        <f t="shared" si="36"/>
        <v>428319.2740337032</v>
      </c>
      <c r="T96" s="91">
        <f t="shared" si="36"/>
        <v>434484.19187145098</v>
      </c>
      <c r="U96" s="91">
        <f t="shared" si="36"/>
        <v>440708.33872512152</v>
      </c>
      <c r="V96" s="91">
        <f t="shared" si="36"/>
        <v>447280.02474102715</v>
      </c>
      <c r="W96" s="91">
        <f t="shared" si="36"/>
        <v>453833.98541782401</v>
      </c>
      <c r="X96" s="91">
        <f t="shared" si="36"/>
        <v>460393.55396324745</v>
      </c>
      <c r="Y96" s="91">
        <f t="shared" si="36"/>
        <v>466960.3479087929</v>
      </c>
      <c r="Z96" s="91">
        <f t="shared" si="36"/>
        <v>473537.02301200945</v>
      </c>
      <c r="AA96" s="91">
        <f t="shared" si="36"/>
        <v>480110.96731178527</v>
      </c>
      <c r="AB96" s="91">
        <f t="shared" si="36"/>
        <v>486701.70956661546</v>
      </c>
      <c r="AC96" s="91">
        <f t="shared" si="36"/>
        <v>493285.8348792863</v>
      </c>
      <c r="AD96" s="91">
        <f t="shared" si="36"/>
        <v>499859.01511771674</v>
      </c>
      <c r="AE96" s="91">
        <f t="shared" si="36"/>
        <v>506430.18294749153</v>
      </c>
    </row>
    <row r="97" spans="1:31" x14ac:dyDescent="0.25">
      <c r="A97" s="91" t="s">
        <v>395</v>
      </c>
      <c r="B97" s="91">
        <f t="shared" ref="B97:AE97" si="37">B37*B$57/B$54</f>
        <v>4620076.2376607275</v>
      </c>
      <c r="C97" s="91">
        <f t="shared" si="37"/>
        <v>4674826.9927167324</v>
      </c>
      <c r="D97" s="91">
        <f t="shared" si="37"/>
        <v>4701696.5111775128</v>
      </c>
      <c r="E97" s="91">
        <f t="shared" si="37"/>
        <v>4728504.9476488801</v>
      </c>
      <c r="F97" s="91">
        <f t="shared" si="37"/>
        <v>4756159.9241442671</v>
      </c>
      <c r="G97" s="91">
        <f t="shared" si="37"/>
        <v>4783549.2446750058</v>
      </c>
      <c r="H97" s="91">
        <f t="shared" si="37"/>
        <v>4811017.1623070333</v>
      </c>
      <c r="I97" s="91">
        <f t="shared" si="37"/>
        <v>4838651.8912596675</v>
      </c>
      <c r="J97" s="91">
        <f t="shared" si="37"/>
        <v>4865809.7859705826</v>
      </c>
      <c r="K97" s="91">
        <f t="shared" si="37"/>
        <v>4891718.6170509886</v>
      </c>
      <c r="L97" s="91">
        <f t="shared" si="37"/>
        <v>4908304.8178861765</v>
      </c>
      <c r="M97" s="91">
        <f t="shared" si="37"/>
        <v>4924331.0948788682</v>
      </c>
      <c r="N97" s="91">
        <f t="shared" si="37"/>
        <v>4939219.7898939056</v>
      </c>
      <c r="O97" s="91">
        <f t="shared" si="37"/>
        <v>4952627.4775585709</v>
      </c>
      <c r="P97" s="91">
        <f t="shared" si="37"/>
        <v>4965286.8428743174</v>
      </c>
      <c r="Q97" s="91">
        <f t="shared" si="37"/>
        <v>4977782.3231801288</v>
      </c>
      <c r="R97" s="91">
        <f t="shared" si="37"/>
        <v>4989821.3527724156</v>
      </c>
      <c r="S97" s="91">
        <f t="shared" si="37"/>
        <v>5001492.4675051952</v>
      </c>
      <c r="T97" s="91">
        <f t="shared" si="37"/>
        <v>5012686.6686193626</v>
      </c>
      <c r="U97" s="91">
        <f t="shared" si="37"/>
        <v>5024089.7139380779</v>
      </c>
      <c r="V97" s="91">
        <f t="shared" si="37"/>
        <v>5033985.3119920492</v>
      </c>
      <c r="W97" s="91">
        <f t="shared" si="37"/>
        <v>5043075.0740790339</v>
      </c>
      <c r="X97" s="91">
        <f t="shared" si="37"/>
        <v>5051640.296579971</v>
      </c>
      <c r="Y97" s="91">
        <f t="shared" si="37"/>
        <v>5059713.2111954708</v>
      </c>
      <c r="Z97" s="91">
        <f t="shared" si="37"/>
        <v>5067335.7265853165</v>
      </c>
      <c r="AA97" s="91">
        <f t="shared" si="37"/>
        <v>5074386.471275067</v>
      </c>
      <c r="AB97" s="91">
        <f t="shared" si="37"/>
        <v>5081085.6949974699</v>
      </c>
      <c r="AC97" s="91">
        <f t="shared" si="37"/>
        <v>5087200.2477892321</v>
      </c>
      <c r="AD97" s="91">
        <f t="shared" si="37"/>
        <v>5092702.8042893894</v>
      </c>
      <c r="AE97" s="91">
        <f t="shared" si="37"/>
        <v>5097701.0260726372</v>
      </c>
    </row>
    <row r="98" spans="1:31" x14ac:dyDescent="0.25">
      <c r="A98" s="91" t="s">
        <v>397</v>
      </c>
      <c r="B98" s="91">
        <f t="shared" ref="B98:AE98" si="38">B38*B$57/B$54</f>
        <v>1544200.8614338504</v>
      </c>
      <c r="C98" s="91">
        <f t="shared" si="38"/>
        <v>1566205.633530922</v>
      </c>
      <c r="D98" s="91">
        <f t="shared" si="38"/>
        <v>1578921.471911682</v>
      </c>
      <c r="E98" s="91">
        <f t="shared" si="38"/>
        <v>1591646.607772528</v>
      </c>
      <c r="F98" s="91">
        <f t="shared" si="38"/>
        <v>1604686.9704098618</v>
      </c>
      <c r="G98" s="91">
        <f t="shared" si="38"/>
        <v>1617668.2815095547</v>
      </c>
      <c r="H98" s="91">
        <f t="shared" si="38"/>
        <v>1630706.4505701624</v>
      </c>
      <c r="I98" s="91">
        <f t="shared" si="38"/>
        <v>1643831.4779271558</v>
      </c>
      <c r="J98" s="91">
        <f t="shared" si="38"/>
        <v>1656824.436160129</v>
      </c>
      <c r="K98" s="91">
        <f t="shared" si="38"/>
        <v>1669420.527511525</v>
      </c>
      <c r="L98" s="91">
        <f t="shared" si="38"/>
        <v>1680348.8277001632</v>
      </c>
      <c r="M98" s="91">
        <f t="shared" si="38"/>
        <v>1691138.0852488561</v>
      </c>
      <c r="N98" s="91">
        <f t="shared" si="38"/>
        <v>1701587.7460564366</v>
      </c>
      <c r="O98" s="91">
        <f t="shared" si="38"/>
        <v>1711575.6891645149</v>
      </c>
      <c r="P98" s="91">
        <f t="shared" si="38"/>
        <v>1721351.3392301276</v>
      </c>
      <c r="Q98" s="91">
        <f t="shared" si="38"/>
        <v>1731115.7327166107</v>
      </c>
      <c r="R98" s="91">
        <f t="shared" si="38"/>
        <v>1740766.4967363251</v>
      </c>
      <c r="S98" s="91">
        <f t="shared" si="38"/>
        <v>1750333.3416841414</v>
      </c>
      <c r="T98" s="91">
        <f t="shared" si="38"/>
        <v>1759777.0123495068</v>
      </c>
      <c r="U98" s="91">
        <f t="shared" si="38"/>
        <v>1769337.6546004515</v>
      </c>
      <c r="V98" s="91">
        <f t="shared" si="38"/>
        <v>1778338.8601145658</v>
      </c>
      <c r="W98" s="91">
        <f t="shared" si="38"/>
        <v>1787107.4955422024</v>
      </c>
      <c r="X98" s="91">
        <f t="shared" si="38"/>
        <v>1795741.3274963088</v>
      </c>
      <c r="Y98" s="91">
        <f t="shared" si="38"/>
        <v>1804250.5369850409</v>
      </c>
      <c r="Z98" s="91">
        <f t="shared" si="38"/>
        <v>1812648.8961097202</v>
      </c>
      <c r="AA98" s="91">
        <f t="shared" si="38"/>
        <v>1820891.7605810722</v>
      </c>
      <c r="AB98" s="91">
        <f t="shared" si="38"/>
        <v>1829056.8977293624</v>
      </c>
      <c r="AC98" s="91">
        <f t="shared" si="38"/>
        <v>1837059.3330952444</v>
      </c>
      <c r="AD98" s="91">
        <f t="shared" si="38"/>
        <v>1844887.5757543249</v>
      </c>
      <c r="AE98" s="91">
        <f t="shared" si="38"/>
        <v>1852579.0464624842</v>
      </c>
    </row>
    <row r="99" spans="1:31" x14ac:dyDescent="0.25">
      <c r="A99" s="91" t="s">
        <v>399</v>
      </c>
      <c r="B99" s="91">
        <f t="shared" ref="B99:AE99" si="39">B39*B$57/B$54</f>
        <v>1611652.8008272671</v>
      </c>
      <c r="C99" s="91">
        <f t="shared" si="39"/>
        <v>1640430.2867007663</v>
      </c>
      <c r="D99" s="91">
        <f t="shared" si="39"/>
        <v>1659560.1625455872</v>
      </c>
      <c r="E99" s="91">
        <f t="shared" si="39"/>
        <v>1678746.3487740234</v>
      </c>
      <c r="F99" s="91">
        <f t="shared" si="39"/>
        <v>1698312.1665003889</v>
      </c>
      <c r="G99" s="91">
        <f t="shared" si="39"/>
        <v>1717863.0027067163</v>
      </c>
      <c r="H99" s="91">
        <f t="shared" si="39"/>
        <v>1737521.1590262144</v>
      </c>
      <c r="I99" s="91">
        <f t="shared" si="39"/>
        <v>1757318.7554012062</v>
      </c>
      <c r="J99" s="91">
        <f t="shared" si="39"/>
        <v>1777021.3454023933</v>
      </c>
      <c r="K99" s="91">
        <f t="shared" si="39"/>
        <v>1796342.0710347521</v>
      </c>
      <c r="L99" s="91">
        <f t="shared" si="39"/>
        <v>1816880.3414247457</v>
      </c>
      <c r="M99" s="91">
        <f t="shared" si="39"/>
        <v>1837355.734112689</v>
      </c>
      <c r="N99" s="91">
        <f t="shared" si="39"/>
        <v>1857546.757965866</v>
      </c>
      <c r="O99" s="91">
        <f t="shared" si="39"/>
        <v>1877313.8105536844</v>
      </c>
      <c r="P99" s="91">
        <f t="shared" si="39"/>
        <v>1896924.2425155761</v>
      </c>
      <c r="Q99" s="91">
        <f t="shared" si="39"/>
        <v>1916597.0122200698</v>
      </c>
      <c r="R99" s="91">
        <f t="shared" si="39"/>
        <v>1936217.7513248466</v>
      </c>
      <c r="S99" s="91">
        <f t="shared" si="39"/>
        <v>1955817.5879770466</v>
      </c>
      <c r="T99" s="91">
        <f t="shared" si="39"/>
        <v>1975350.8549492266</v>
      </c>
      <c r="U99" s="91">
        <f t="shared" si="39"/>
        <v>1995086.1449802162</v>
      </c>
      <c r="V99" s="91">
        <f t="shared" si="39"/>
        <v>2014869.4526011955</v>
      </c>
      <c r="W99" s="91">
        <f t="shared" si="39"/>
        <v>2034479.9708188507</v>
      </c>
      <c r="X99" s="91">
        <f t="shared" si="39"/>
        <v>2054025.6738052834</v>
      </c>
      <c r="Y99" s="91">
        <f t="shared" si="39"/>
        <v>2073515.9981628228</v>
      </c>
      <c r="Z99" s="91">
        <f t="shared" si="39"/>
        <v>2092964.7496277592</v>
      </c>
      <c r="AA99" s="91">
        <f t="shared" si="39"/>
        <v>2112318.268206201</v>
      </c>
      <c r="AB99" s="91">
        <f t="shared" si="39"/>
        <v>2131664.5959428204</v>
      </c>
      <c r="AC99" s="91">
        <f t="shared" si="39"/>
        <v>2150902.9116047025</v>
      </c>
      <c r="AD99" s="91">
        <f t="shared" si="39"/>
        <v>2170016.996331031</v>
      </c>
      <c r="AE99" s="91">
        <f t="shared" si="39"/>
        <v>2189048.1817552629</v>
      </c>
    </row>
    <row r="100" spans="1:31" x14ac:dyDescent="0.25">
      <c r="A100" s="91" t="s">
        <v>401</v>
      </c>
      <c r="B100" s="91">
        <f t="shared" ref="B100:AE100" si="40">B40*B$57/B$54</f>
        <v>5061925.9895228585</v>
      </c>
      <c r="C100" s="91">
        <f t="shared" si="40"/>
        <v>5122233.130681254</v>
      </c>
      <c r="D100" s="91">
        <f t="shared" si="40"/>
        <v>5151995.1537961131</v>
      </c>
      <c r="E100" s="91">
        <f t="shared" si="40"/>
        <v>5181692.8210921586</v>
      </c>
      <c r="F100" s="91">
        <f t="shared" si="40"/>
        <v>5212320.7786950972</v>
      </c>
      <c r="G100" s="91">
        <f t="shared" si="40"/>
        <v>5242660.2440340277</v>
      </c>
      <c r="H100" s="91">
        <f t="shared" si="40"/>
        <v>5273088.4666989651</v>
      </c>
      <c r="I100" s="91">
        <f t="shared" si="40"/>
        <v>5303702.1420255443</v>
      </c>
      <c r="J100" s="91">
        <f t="shared" si="40"/>
        <v>5333795.7400293024</v>
      </c>
      <c r="K100" s="91">
        <f t="shared" si="40"/>
        <v>5362522.599537503</v>
      </c>
      <c r="L100" s="91">
        <f t="shared" si="40"/>
        <v>5381145.8855411066</v>
      </c>
      <c r="M100" s="91">
        <f t="shared" si="40"/>
        <v>5399159.7122402042</v>
      </c>
      <c r="N100" s="91">
        <f t="shared" si="40"/>
        <v>5415930.5390992966</v>
      </c>
      <c r="O100" s="91">
        <f t="shared" si="40"/>
        <v>5431081.4762167847</v>
      </c>
      <c r="P100" s="91">
        <f t="shared" si="40"/>
        <v>5445415.6738742338</v>
      </c>
      <c r="Q100" s="91">
        <f t="shared" si="40"/>
        <v>5459573.9510644926</v>
      </c>
      <c r="R100" s="91">
        <f t="shared" si="40"/>
        <v>5473235.3725923691</v>
      </c>
      <c r="S100" s="91">
        <f t="shared" si="40"/>
        <v>5486496.9532308606</v>
      </c>
      <c r="T100" s="91">
        <f t="shared" si="40"/>
        <v>5499239.0315479161</v>
      </c>
      <c r="U100" s="91">
        <f t="shared" si="40"/>
        <v>5512213.8777389573</v>
      </c>
      <c r="V100" s="91">
        <f t="shared" si="40"/>
        <v>5523518.5211768132</v>
      </c>
      <c r="W100" s="91">
        <f t="shared" si="40"/>
        <v>5533943.1926853582</v>
      </c>
      <c r="X100" s="91">
        <f t="shared" si="40"/>
        <v>5543796.4131766893</v>
      </c>
      <c r="Y100" s="91">
        <f t="shared" si="40"/>
        <v>5553113.4509332664</v>
      </c>
      <c r="Z100" s="91">
        <f t="shared" si="40"/>
        <v>5561940.2062404156</v>
      </c>
      <c r="AA100" s="91">
        <f t="shared" si="40"/>
        <v>5570143.361325385</v>
      </c>
      <c r="AB100" s="91">
        <f t="shared" si="40"/>
        <v>5577964.5810421174</v>
      </c>
      <c r="AC100" s="91">
        <f t="shared" si="40"/>
        <v>5585147.8307859441</v>
      </c>
      <c r="AD100" s="91">
        <f t="shared" si="40"/>
        <v>5591662.9787946362</v>
      </c>
      <c r="AE100" s="91">
        <f t="shared" si="40"/>
        <v>5597628.1065631425</v>
      </c>
    </row>
    <row r="101" spans="1:31" x14ac:dyDescent="0.25">
      <c r="A101" s="91" t="s">
        <v>403</v>
      </c>
      <c r="B101" s="91">
        <f t="shared" ref="B101:AE101" si="41">B41*B$57/B$54</f>
        <v>426621.79892784113</v>
      </c>
      <c r="C101" s="91">
        <f t="shared" si="41"/>
        <v>432300.61384394247</v>
      </c>
      <c r="D101" s="91">
        <f t="shared" si="41"/>
        <v>435409.89828670613</v>
      </c>
      <c r="E101" s="91">
        <f t="shared" si="41"/>
        <v>438518.53931514517</v>
      </c>
      <c r="F101" s="91">
        <f t="shared" si="41"/>
        <v>441710.77944814676</v>
      </c>
      <c r="G101" s="91">
        <f t="shared" si="41"/>
        <v>444883.4902038264</v>
      </c>
      <c r="H101" s="91">
        <f t="shared" si="41"/>
        <v>448068.60270636127</v>
      </c>
      <c r="I101" s="91">
        <f t="shared" si="41"/>
        <v>451274.34948735381</v>
      </c>
      <c r="J101" s="91">
        <f t="shared" si="41"/>
        <v>454440.65718226362</v>
      </c>
      <c r="K101" s="91">
        <f t="shared" si="41"/>
        <v>457495.09238942823</v>
      </c>
      <c r="L101" s="91">
        <f t="shared" si="41"/>
        <v>459920.82477655204</v>
      </c>
      <c r="M101" s="91">
        <f t="shared" si="41"/>
        <v>462302.83067933662</v>
      </c>
      <c r="N101" s="91">
        <f t="shared" si="41"/>
        <v>464586.51821750007</v>
      </c>
      <c r="O101" s="91">
        <f t="shared" si="41"/>
        <v>466738.95221080579</v>
      </c>
      <c r="P101" s="91">
        <f t="shared" si="41"/>
        <v>468828.55328173522</v>
      </c>
      <c r="Q101" s="91">
        <f t="shared" si="41"/>
        <v>470910.24333163747</v>
      </c>
      <c r="R101" s="91">
        <f t="shared" si="41"/>
        <v>472956.2407226559</v>
      </c>
      <c r="S101" s="91">
        <f t="shared" si="41"/>
        <v>474974.74193849252</v>
      </c>
      <c r="T101" s="91">
        <f t="shared" si="41"/>
        <v>476955.21150494309</v>
      </c>
      <c r="U101" s="91">
        <f t="shared" si="41"/>
        <v>478962.79950032273</v>
      </c>
      <c r="V101" s="91">
        <f t="shared" si="41"/>
        <v>480810.76731901988</v>
      </c>
      <c r="W101" s="91">
        <f t="shared" si="41"/>
        <v>482590.31181720609</v>
      </c>
      <c r="X101" s="91">
        <f t="shared" si="41"/>
        <v>484328.03707959718</v>
      </c>
      <c r="Y101" s="91">
        <f t="shared" si="41"/>
        <v>486026.82398666244</v>
      </c>
      <c r="Z101" s="91">
        <f t="shared" si="41"/>
        <v>487690.50598893862</v>
      </c>
      <c r="AA101" s="91">
        <f t="shared" si="41"/>
        <v>489307.20064525324</v>
      </c>
      <c r="AB101" s="91">
        <f t="shared" si="41"/>
        <v>490897.93817190576</v>
      </c>
      <c r="AC101" s="91">
        <f t="shared" si="41"/>
        <v>492440.02166659327</v>
      </c>
      <c r="AD101" s="91">
        <f t="shared" si="41"/>
        <v>493930.53983287112</v>
      </c>
      <c r="AE101" s="91">
        <f t="shared" si="41"/>
        <v>495379.67530661228</v>
      </c>
    </row>
    <row r="102" spans="1:31" x14ac:dyDescent="0.25">
      <c r="A102" s="91" t="s">
        <v>405</v>
      </c>
      <c r="B102" s="91">
        <f t="shared" ref="B102:AE102" si="42">B42*B$57/B$54</f>
        <v>2085151.9843120053</v>
      </c>
      <c r="C102" s="91">
        <f t="shared" si="42"/>
        <v>2122468.411777732</v>
      </c>
      <c r="D102" s="91">
        <f t="shared" si="42"/>
        <v>2147303.4697403223</v>
      </c>
      <c r="E102" s="91">
        <f t="shared" si="42"/>
        <v>2172212.0571426968</v>
      </c>
      <c r="F102" s="91">
        <f t="shared" si="42"/>
        <v>2197612.5443223375</v>
      </c>
      <c r="G102" s="91">
        <f t="shared" si="42"/>
        <v>2222994.3242898355</v>
      </c>
      <c r="H102" s="91">
        <f t="shared" si="42"/>
        <v>2248515.6498192633</v>
      </c>
      <c r="I102" s="91">
        <f t="shared" si="42"/>
        <v>2274218.0893270168</v>
      </c>
      <c r="J102" s="91">
        <f t="shared" si="42"/>
        <v>2299798.230375058</v>
      </c>
      <c r="K102" s="91">
        <f t="shared" si="42"/>
        <v>2324884.7848465573</v>
      </c>
      <c r="L102" s="91">
        <f t="shared" si="42"/>
        <v>2351595.57634264</v>
      </c>
      <c r="M102" s="91">
        <f t="shared" si="42"/>
        <v>2378226.2687795293</v>
      </c>
      <c r="N102" s="91">
        <f t="shared" si="42"/>
        <v>2404490.1171565293</v>
      </c>
      <c r="O102" s="91">
        <f t="shared" si="42"/>
        <v>2430206.3225304694</v>
      </c>
      <c r="P102" s="91">
        <f t="shared" si="42"/>
        <v>2455720.8835646538</v>
      </c>
      <c r="Q102" s="91">
        <f t="shared" si="42"/>
        <v>2481317.2222604514</v>
      </c>
      <c r="R102" s="91">
        <f t="shared" si="42"/>
        <v>2506847.2572305468</v>
      </c>
      <c r="S102" s="91">
        <f t="shared" si="42"/>
        <v>2532351.2631380712</v>
      </c>
      <c r="T102" s="91">
        <f t="shared" si="42"/>
        <v>2557770.0854053949</v>
      </c>
      <c r="U102" s="91">
        <f t="shared" si="42"/>
        <v>2583451.4958457947</v>
      </c>
      <c r="V102" s="91">
        <f t="shared" si="42"/>
        <v>2609211.2108994965</v>
      </c>
      <c r="W102" s="91">
        <f t="shared" si="42"/>
        <v>2634748.4998066723</v>
      </c>
      <c r="X102" s="91">
        <f t="shared" si="42"/>
        <v>2660203.145658487</v>
      </c>
      <c r="Y102" s="91">
        <f t="shared" si="42"/>
        <v>2685587.3378246301</v>
      </c>
      <c r="Z102" s="91">
        <f t="shared" si="42"/>
        <v>2710918.9280181951</v>
      </c>
      <c r="AA102" s="91">
        <f t="shared" si="42"/>
        <v>2736128.382536551</v>
      </c>
      <c r="AB102" s="91">
        <f t="shared" si="42"/>
        <v>2761329.7128619095</v>
      </c>
      <c r="AC102" s="91">
        <f t="shared" si="42"/>
        <v>2786392.2909901384</v>
      </c>
      <c r="AD102" s="91">
        <f t="shared" si="42"/>
        <v>2811295.0668652453</v>
      </c>
      <c r="AE102" s="91">
        <f t="shared" si="42"/>
        <v>2836091.5483741299</v>
      </c>
    </row>
    <row r="103" spans="1:31" x14ac:dyDescent="0.25">
      <c r="A103" s="91" t="s">
        <v>407</v>
      </c>
      <c r="B103" s="91">
        <f t="shared" ref="B103:AE103" si="43">B43*B$57/B$54</f>
        <v>348941.04866544425</v>
      </c>
      <c r="C103" s="91">
        <f t="shared" si="43"/>
        <v>354753.86416448734</v>
      </c>
      <c r="D103" s="91">
        <f t="shared" si="43"/>
        <v>358474.47868605697</v>
      </c>
      <c r="E103" s="91">
        <f t="shared" si="43"/>
        <v>362203.93412164954</v>
      </c>
      <c r="F103" s="91">
        <f t="shared" si="43"/>
        <v>366011.94350156537</v>
      </c>
      <c r="G103" s="91">
        <f t="shared" si="43"/>
        <v>369813.3552257694</v>
      </c>
      <c r="H103" s="91">
        <f t="shared" si="43"/>
        <v>373634.55342002562</v>
      </c>
      <c r="I103" s="91">
        <f t="shared" si="43"/>
        <v>377482.43423759629</v>
      </c>
      <c r="J103" s="91">
        <f t="shared" si="43"/>
        <v>381306.66560512397</v>
      </c>
      <c r="K103" s="91">
        <f t="shared" si="43"/>
        <v>385045.89399407635</v>
      </c>
      <c r="L103" s="91">
        <f t="shared" si="43"/>
        <v>388816.02784740413</v>
      </c>
      <c r="M103" s="91">
        <f t="shared" si="43"/>
        <v>392566.43742019025</v>
      </c>
      <c r="N103" s="91">
        <f t="shared" si="43"/>
        <v>396250.05582715449</v>
      </c>
      <c r="O103" s="91">
        <f t="shared" si="43"/>
        <v>399837.5496071683</v>
      </c>
      <c r="P103" s="91">
        <f t="shared" si="43"/>
        <v>403386.30005424493</v>
      </c>
      <c r="Q103" s="91">
        <f t="shared" si="43"/>
        <v>406943.05093646032</v>
      </c>
      <c r="R103" s="91">
        <f t="shared" si="43"/>
        <v>410483.59075922036</v>
      </c>
      <c r="S103" s="91">
        <f t="shared" si="43"/>
        <v>414014.65241000889</v>
      </c>
      <c r="T103" s="91">
        <f t="shared" si="43"/>
        <v>417526.69396042236</v>
      </c>
      <c r="U103" s="91">
        <f t="shared" si="43"/>
        <v>421076.55446427781</v>
      </c>
      <c r="V103" s="91">
        <f t="shared" si="43"/>
        <v>424568.83140724176</v>
      </c>
      <c r="W103" s="91">
        <f t="shared" si="43"/>
        <v>428018.2967422707</v>
      </c>
      <c r="X103" s="91">
        <f t="shared" si="43"/>
        <v>431447.89986772154</v>
      </c>
      <c r="Y103" s="91">
        <f t="shared" si="43"/>
        <v>434859.77734069771</v>
      </c>
      <c r="Z103" s="91">
        <f t="shared" si="43"/>
        <v>438256.96517276566</v>
      </c>
      <c r="AA103" s="91">
        <f t="shared" si="43"/>
        <v>441628.37344787997</v>
      </c>
      <c r="AB103" s="91">
        <f t="shared" si="43"/>
        <v>444992.55904926819</v>
      </c>
      <c r="AC103" s="91">
        <f t="shared" si="43"/>
        <v>448328.59786969319</v>
      </c>
      <c r="AD103" s="91">
        <f t="shared" si="43"/>
        <v>451633.29810450185</v>
      </c>
      <c r="AE103" s="91">
        <f t="shared" si="43"/>
        <v>454915.44431600563</v>
      </c>
    </row>
    <row r="104" spans="1:31" x14ac:dyDescent="0.25">
      <c r="A104" s="91" t="s">
        <v>411</v>
      </c>
      <c r="B104" s="91">
        <f t="shared" ref="B104:AE104" si="44">B44*B$57/B$54</f>
        <v>2690864.389503282</v>
      </c>
      <c r="C104" s="91">
        <f t="shared" si="44"/>
        <v>2735682.1021633162</v>
      </c>
      <c r="D104" s="91">
        <f t="shared" si="44"/>
        <v>2764365.7100190907</v>
      </c>
      <c r="E104" s="91">
        <f t="shared" si="44"/>
        <v>2793117.4313221825</v>
      </c>
      <c r="F104" s="91">
        <f t="shared" si="44"/>
        <v>2822474.8537229551</v>
      </c>
      <c r="G104" s="91">
        <f t="shared" si="44"/>
        <v>2851781.3347394983</v>
      </c>
      <c r="H104" s="91">
        <f t="shared" si="44"/>
        <v>2881240.3341649319</v>
      </c>
      <c r="I104" s="91">
        <f t="shared" si="44"/>
        <v>2910905.0306929536</v>
      </c>
      <c r="J104" s="91">
        <f t="shared" si="44"/>
        <v>2940387.2958497996</v>
      </c>
      <c r="K104" s="91">
        <f t="shared" si="44"/>
        <v>2969214.0152091761</v>
      </c>
      <c r="L104" s="91">
        <f t="shared" si="44"/>
        <v>2998274.8494586465</v>
      </c>
      <c r="M104" s="91">
        <f t="shared" si="44"/>
        <v>3027183.4658701029</v>
      </c>
      <c r="N104" s="91">
        <f t="shared" si="44"/>
        <v>3055576.9241035208</v>
      </c>
      <c r="O104" s="91">
        <f t="shared" si="44"/>
        <v>3083229.035412156</v>
      </c>
      <c r="P104" s="91">
        <f t="shared" si="44"/>
        <v>3110582.2870060448</v>
      </c>
      <c r="Q104" s="91">
        <f t="shared" si="44"/>
        <v>3137997.1316977157</v>
      </c>
      <c r="R104" s="91">
        <f t="shared" si="44"/>
        <v>3165286.8724908824</v>
      </c>
      <c r="S104" s="91">
        <f t="shared" si="44"/>
        <v>3192503.4300082517</v>
      </c>
      <c r="T104" s="91">
        <f t="shared" si="44"/>
        <v>3219573.2279823963</v>
      </c>
      <c r="U104" s="91">
        <f t="shared" si="44"/>
        <v>3246934.5570247127</v>
      </c>
      <c r="V104" s="91">
        <f t="shared" si="44"/>
        <v>3273850.7647002656</v>
      </c>
      <c r="W104" s="91">
        <f t="shared" si="44"/>
        <v>3300436.7314033494</v>
      </c>
      <c r="X104" s="91">
        <f t="shared" si="44"/>
        <v>3326869.4236896103</v>
      </c>
      <c r="Y104" s="91">
        <f t="shared" si="44"/>
        <v>3353165.3193436316</v>
      </c>
      <c r="Z104" s="91">
        <f t="shared" si="44"/>
        <v>3379347.8314450174</v>
      </c>
      <c r="AA104" s="91">
        <f t="shared" si="44"/>
        <v>3405331.4497300531</v>
      </c>
      <c r="AB104" s="91">
        <f t="shared" si="44"/>
        <v>3431259.266438948</v>
      </c>
      <c r="AC104" s="91">
        <f t="shared" si="44"/>
        <v>3456969.9417983596</v>
      </c>
      <c r="AD104" s="91">
        <f t="shared" si="44"/>
        <v>3482438.8680529348</v>
      </c>
      <c r="AE104" s="91">
        <f t="shared" si="44"/>
        <v>3507733.7843909003</v>
      </c>
    </row>
    <row r="105" spans="1:31" x14ac:dyDescent="0.25">
      <c r="A105" s="91" t="s">
        <v>413</v>
      </c>
      <c r="B105" s="91">
        <f t="shared" ref="B105:AE105" si="45">B45*B$57/B$54</f>
        <v>10349800.969672026</v>
      </c>
      <c r="C105" s="91">
        <f t="shared" si="45"/>
        <v>10572426.899759017</v>
      </c>
      <c r="D105" s="91">
        <f t="shared" si="45"/>
        <v>10733403.615479447</v>
      </c>
      <c r="E105" s="91">
        <f t="shared" si="45"/>
        <v>10895045.262545886</v>
      </c>
      <c r="F105" s="91">
        <f t="shared" si="45"/>
        <v>11059454.380107285</v>
      </c>
      <c r="G105" s="91">
        <f t="shared" si="45"/>
        <v>11224070.880322097</v>
      </c>
      <c r="H105" s="91">
        <f t="shared" si="45"/>
        <v>11389688.816371066</v>
      </c>
      <c r="I105" s="91">
        <f t="shared" si="45"/>
        <v>11556519.723891988</v>
      </c>
      <c r="J105" s="91">
        <f t="shared" si="45"/>
        <v>11723019.260019138</v>
      </c>
      <c r="K105" s="91">
        <f t="shared" si="45"/>
        <v>11887276.972124938</v>
      </c>
      <c r="L105" s="91">
        <f t="shared" si="45"/>
        <v>12084124.985345572</v>
      </c>
      <c r="M105" s="91">
        <f t="shared" si="45"/>
        <v>12281158.943529908</v>
      </c>
      <c r="N105" s="91">
        <f t="shared" si="45"/>
        <v>12476873.640527366</v>
      </c>
      <c r="O105" s="91">
        <f t="shared" si="45"/>
        <v>12670288.363256056</v>
      </c>
      <c r="P105" s="91">
        <f t="shared" si="45"/>
        <v>12863165.103526255</v>
      </c>
      <c r="Q105" s="91">
        <f t="shared" si="45"/>
        <v>13056971.124296343</v>
      </c>
      <c r="R105" s="91">
        <f t="shared" si="45"/>
        <v>13250920.356256517</v>
      </c>
      <c r="S105" s="91">
        <f t="shared" si="45"/>
        <v>13445212.951879773</v>
      </c>
      <c r="T105" s="91">
        <f t="shared" si="45"/>
        <v>13639522.917969432</v>
      </c>
      <c r="U105" s="91">
        <f t="shared" si="45"/>
        <v>13835698.388281954</v>
      </c>
      <c r="V105" s="91">
        <f t="shared" si="45"/>
        <v>14042968.074776148</v>
      </c>
      <c r="W105" s="91">
        <f t="shared" si="45"/>
        <v>14249690.171194665</v>
      </c>
      <c r="X105" s="91">
        <f t="shared" si="45"/>
        <v>14456596.980531333</v>
      </c>
      <c r="Y105" s="91">
        <f t="shared" si="45"/>
        <v>14663739.081020061</v>
      </c>
      <c r="Z105" s="91">
        <f t="shared" si="45"/>
        <v>14871199.676964117</v>
      </c>
      <c r="AA105" s="91">
        <f t="shared" si="45"/>
        <v>15078582.495920476</v>
      </c>
      <c r="AB105" s="91">
        <f t="shared" si="45"/>
        <v>15286500.663199026</v>
      </c>
      <c r="AC105" s="91">
        <f t="shared" si="45"/>
        <v>15494218.58914314</v>
      </c>
      <c r="AD105" s="91">
        <f t="shared" si="45"/>
        <v>15701600.071468314</v>
      </c>
      <c r="AE105" s="91">
        <f t="shared" si="45"/>
        <v>15908925.45856004</v>
      </c>
    </row>
    <row r="106" spans="1:31" x14ac:dyDescent="0.25">
      <c r="A106" s="91" t="s">
        <v>415</v>
      </c>
      <c r="B106" s="91">
        <f t="shared" ref="B106:AE106" si="46">B46*B$57/B$54</f>
        <v>1031669.7689517773</v>
      </c>
      <c r="C106" s="91">
        <f t="shared" si="46"/>
        <v>1055570.2317131951</v>
      </c>
      <c r="D106" s="91">
        <f t="shared" si="46"/>
        <v>1073339.3342569252</v>
      </c>
      <c r="E106" s="91">
        <f t="shared" si="46"/>
        <v>1091188.4235548535</v>
      </c>
      <c r="F106" s="91">
        <f t="shared" si="46"/>
        <v>1109328.2657755595</v>
      </c>
      <c r="G106" s="91">
        <f t="shared" si="46"/>
        <v>1127502.4987696267</v>
      </c>
      <c r="H106" s="91">
        <f t="shared" si="46"/>
        <v>1145790.6647523185</v>
      </c>
      <c r="I106" s="91">
        <f t="shared" si="46"/>
        <v>1164214.0875919862</v>
      </c>
      <c r="J106" s="91">
        <f t="shared" si="46"/>
        <v>1182617.0753650807</v>
      </c>
      <c r="K106" s="91">
        <f t="shared" si="46"/>
        <v>1200806.1078432477</v>
      </c>
      <c r="L106" s="91">
        <f t="shared" si="46"/>
        <v>1223548.9263540865</v>
      </c>
      <c r="M106" s="91">
        <f t="shared" si="46"/>
        <v>1246338.7648098723</v>
      </c>
      <c r="N106" s="91">
        <f t="shared" si="46"/>
        <v>1269021.7210141288</v>
      </c>
      <c r="O106" s="91">
        <f t="shared" si="46"/>
        <v>1291496.0586976472</v>
      </c>
      <c r="P106" s="91">
        <f t="shared" si="46"/>
        <v>1313939.4297400303</v>
      </c>
      <c r="Q106" s="91">
        <f t="shared" si="46"/>
        <v>1336500.9099655645</v>
      </c>
      <c r="R106" s="91">
        <f t="shared" si="46"/>
        <v>1359099.7224327114</v>
      </c>
      <c r="S106" s="91">
        <f t="shared" si="46"/>
        <v>1381755.8119596841</v>
      </c>
      <c r="T106" s="91">
        <f t="shared" si="46"/>
        <v>1404435.132168578</v>
      </c>
      <c r="U106" s="91">
        <f t="shared" si="46"/>
        <v>1427327.6913427056</v>
      </c>
      <c r="V106" s="91">
        <f t="shared" si="46"/>
        <v>1452066.6406966972</v>
      </c>
      <c r="W106" s="91">
        <f t="shared" si="46"/>
        <v>1476780.2658618847</v>
      </c>
      <c r="X106" s="91">
        <f t="shared" si="46"/>
        <v>1501543.3235366857</v>
      </c>
      <c r="Y106" s="91">
        <f t="shared" si="46"/>
        <v>1526360.3195695318</v>
      </c>
      <c r="Z106" s="91">
        <f t="shared" si="46"/>
        <v>1551239.2370423332</v>
      </c>
      <c r="AA106" s="91">
        <f t="shared" si="46"/>
        <v>1576138.0388581664</v>
      </c>
      <c r="AB106" s="91">
        <f t="shared" si="46"/>
        <v>1601120.0994583839</v>
      </c>
      <c r="AC106" s="91">
        <f t="shared" si="46"/>
        <v>1626107.7896740858</v>
      </c>
      <c r="AD106" s="91">
        <f t="shared" si="46"/>
        <v>1651085.9220645505</v>
      </c>
      <c r="AE106" s="91">
        <f t="shared" si="46"/>
        <v>1676083.1172302184</v>
      </c>
    </row>
    <row r="107" spans="1:31" x14ac:dyDescent="0.25">
      <c r="A107" s="91" t="s">
        <v>417</v>
      </c>
      <c r="B107" s="91">
        <f t="shared" ref="B107:AE107" si="47">B47*B$57/B$54</f>
        <v>294896.232548206</v>
      </c>
      <c r="C107" s="91">
        <f t="shared" si="47"/>
        <v>298498.50147290656</v>
      </c>
      <c r="D107" s="91">
        <f t="shared" si="47"/>
        <v>300322.00184052973</v>
      </c>
      <c r="E107" s="91">
        <f t="shared" si="47"/>
        <v>302142.4660403654</v>
      </c>
      <c r="F107" s="91">
        <f t="shared" si="47"/>
        <v>304017.90151592629</v>
      </c>
      <c r="G107" s="91">
        <f t="shared" si="47"/>
        <v>305877.24379954248</v>
      </c>
      <c r="H107" s="91">
        <f t="shared" si="47"/>
        <v>307742.49092426361</v>
      </c>
      <c r="I107" s="91">
        <f t="shared" si="47"/>
        <v>309619.28851899295</v>
      </c>
      <c r="J107" s="91">
        <f t="shared" si="47"/>
        <v>311466.44289584697</v>
      </c>
      <c r="K107" s="91">
        <f t="shared" si="47"/>
        <v>313234.46896454692</v>
      </c>
      <c r="L107" s="91">
        <f t="shared" si="47"/>
        <v>314445.23399465869</v>
      </c>
      <c r="M107" s="91">
        <f t="shared" si="47"/>
        <v>315621.61410470831</v>
      </c>
      <c r="N107" s="91">
        <f t="shared" si="47"/>
        <v>316726.5233899196</v>
      </c>
      <c r="O107" s="91">
        <f t="shared" si="47"/>
        <v>317737.83224895207</v>
      </c>
      <c r="P107" s="91">
        <f t="shared" si="47"/>
        <v>318702.43959222629</v>
      </c>
      <c r="Q107" s="91">
        <f t="shared" si="47"/>
        <v>319657.81373370031</v>
      </c>
      <c r="R107" s="91">
        <f t="shared" si="47"/>
        <v>320585.14928786474</v>
      </c>
      <c r="S107" s="91">
        <f t="shared" si="47"/>
        <v>321490.10128157208</v>
      </c>
      <c r="T107" s="91">
        <f t="shared" si="47"/>
        <v>322365.63207748363</v>
      </c>
      <c r="U107" s="91">
        <f t="shared" si="47"/>
        <v>323255.82580719504</v>
      </c>
      <c r="V107" s="91">
        <f t="shared" si="47"/>
        <v>324044.12989461183</v>
      </c>
      <c r="W107" s="91">
        <f t="shared" si="47"/>
        <v>324781.9933369559</v>
      </c>
      <c r="X107" s="91">
        <f t="shared" si="47"/>
        <v>325487.47940566239</v>
      </c>
      <c r="Y107" s="91">
        <f t="shared" si="47"/>
        <v>326162.6297682132</v>
      </c>
      <c r="Z107" s="91">
        <f t="shared" si="47"/>
        <v>326810.11375273333</v>
      </c>
      <c r="AA107" s="91">
        <f t="shared" si="47"/>
        <v>327422.06993433431</v>
      </c>
      <c r="AB107" s="91">
        <f t="shared" si="47"/>
        <v>328012.6749856887</v>
      </c>
      <c r="AC107" s="91">
        <f t="shared" si="47"/>
        <v>328566.84899922705</v>
      </c>
      <c r="AD107" s="91">
        <f t="shared" si="47"/>
        <v>329082.78249624011</v>
      </c>
      <c r="AE107" s="91">
        <f t="shared" si="47"/>
        <v>329567.38895767042</v>
      </c>
    </row>
    <row r="108" spans="1:31" x14ac:dyDescent="0.25">
      <c r="A108" s="91" t="s">
        <v>419</v>
      </c>
      <c r="B108" s="91">
        <f t="shared" ref="B108:AE108" si="48">B48*B$57/B$54</f>
        <v>3204834.3102547792</v>
      </c>
      <c r="C108" s="91">
        <f t="shared" si="48"/>
        <v>3255886.5777018317</v>
      </c>
      <c r="D108" s="91">
        <f t="shared" si="48"/>
        <v>3287704.198492012</v>
      </c>
      <c r="E108" s="91">
        <f t="shared" si="48"/>
        <v>3319584.2899220069</v>
      </c>
      <c r="F108" s="91">
        <f t="shared" si="48"/>
        <v>3352165.5095365117</v>
      </c>
      <c r="G108" s="91">
        <f t="shared" si="48"/>
        <v>3384667.3877596557</v>
      </c>
      <c r="H108" s="91">
        <f t="shared" si="48"/>
        <v>3417331.714390954</v>
      </c>
      <c r="I108" s="91">
        <f t="shared" si="48"/>
        <v>3450221.5017043119</v>
      </c>
      <c r="J108" s="91">
        <f t="shared" si="48"/>
        <v>3482876.870278154</v>
      </c>
      <c r="K108" s="91">
        <f t="shared" si="48"/>
        <v>3514738.5379704563</v>
      </c>
      <c r="L108" s="91">
        <f t="shared" si="48"/>
        <v>3545673.269666445</v>
      </c>
      <c r="M108" s="91">
        <f t="shared" si="48"/>
        <v>3576393.5799422157</v>
      </c>
      <c r="N108" s="91">
        <f t="shared" si="48"/>
        <v>3606472.0923292758</v>
      </c>
      <c r="O108" s="91">
        <f t="shared" si="48"/>
        <v>3635644.296679874</v>
      </c>
      <c r="P108" s="91">
        <f t="shared" si="48"/>
        <v>3664434.3863854748</v>
      </c>
      <c r="Q108" s="91">
        <f t="shared" si="48"/>
        <v>3693267.9979901453</v>
      </c>
      <c r="R108" s="91">
        <f t="shared" si="48"/>
        <v>3721925.7959531811</v>
      </c>
      <c r="S108" s="91">
        <f t="shared" si="48"/>
        <v>3750469.5720980838</v>
      </c>
      <c r="T108" s="91">
        <f t="shared" si="48"/>
        <v>3778813.5851646378</v>
      </c>
      <c r="U108" s="91">
        <f t="shared" si="48"/>
        <v>3807472.6295772381</v>
      </c>
      <c r="V108" s="91">
        <f t="shared" si="48"/>
        <v>3835326.5266226609</v>
      </c>
      <c r="W108" s="91">
        <f t="shared" si="48"/>
        <v>3862758.7307333876</v>
      </c>
      <c r="X108" s="91">
        <f t="shared" si="48"/>
        <v>3889977.6318623624</v>
      </c>
      <c r="Y108" s="91">
        <f t="shared" si="48"/>
        <v>3917003.3391747857</v>
      </c>
      <c r="Z108" s="91">
        <f t="shared" si="48"/>
        <v>3943863.9712663651</v>
      </c>
      <c r="AA108" s="91">
        <f t="shared" si="48"/>
        <v>3970460.533774375</v>
      </c>
      <c r="AB108" s="91">
        <f t="shared" si="48"/>
        <v>3996960.6861322555</v>
      </c>
      <c r="AC108" s="91">
        <f t="shared" si="48"/>
        <v>4023177.1624377952</v>
      </c>
      <c r="AD108" s="91">
        <f t="shared" si="48"/>
        <v>4049082.3625713126</v>
      </c>
      <c r="AE108" s="91">
        <f t="shared" si="48"/>
        <v>4074756.0524447821</v>
      </c>
    </row>
    <row r="109" spans="1:31" x14ac:dyDescent="0.25">
      <c r="A109" s="91" t="s">
        <v>421</v>
      </c>
      <c r="B109" s="91">
        <f t="shared" ref="B109:AE109" si="49">B49*B$57/B$54</f>
        <v>2855076.5735362326</v>
      </c>
      <c r="C109" s="91">
        <f t="shared" si="49"/>
        <v>2913920.8829112872</v>
      </c>
      <c r="D109" s="91">
        <f t="shared" si="49"/>
        <v>2955737.9492234839</v>
      </c>
      <c r="E109" s="91">
        <f t="shared" si="49"/>
        <v>2997717.8407249637</v>
      </c>
      <c r="F109" s="91">
        <f t="shared" si="49"/>
        <v>3040438.779153279</v>
      </c>
      <c r="G109" s="91">
        <f t="shared" si="49"/>
        <v>3083196.305397138</v>
      </c>
      <c r="H109" s="91">
        <f t="shared" si="49"/>
        <v>3126208.8779631034</v>
      </c>
      <c r="I109" s="91">
        <f t="shared" si="49"/>
        <v>3169534.4929980473</v>
      </c>
      <c r="J109" s="91">
        <f t="shared" si="49"/>
        <v>3212749.7637491426</v>
      </c>
      <c r="K109" s="91">
        <f t="shared" si="49"/>
        <v>3255332.3148520379</v>
      </c>
      <c r="L109" s="91">
        <f t="shared" si="49"/>
        <v>3305078.5314331525</v>
      </c>
      <c r="M109" s="91">
        <f t="shared" si="49"/>
        <v>3354834.562798054</v>
      </c>
      <c r="N109" s="91">
        <f t="shared" si="49"/>
        <v>3404190.9044148978</v>
      </c>
      <c r="O109" s="91">
        <f t="shared" si="49"/>
        <v>3452882.8726108023</v>
      </c>
      <c r="P109" s="91">
        <f t="shared" si="49"/>
        <v>3501393.4805753352</v>
      </c>
      <c r="Q109" s="91">
        <f t="shared" si="49"/>
        <v>3550123.2884134529</v>
      </c>
      <c r="R109" s="91">
        <f t="shared" si="49"/>
        <v>3598859.0272642896</v>
      </c>
      <c r="S109" s="91">
        <f t="shared" si="49"/>
        <v>3647655.9075014996</v>
      </c>
      <c r="T109" s="91">
        <f t="shared" si="49"/>
        <v>3696426.2802446634</v>
      </c>
      <c r="U109" s="91">
        <f t="shared" si="49"/>
        <v>3745671.4282381884</v>
      </c>
      <c r="V109" s="91">
        <f t="shared" si="49"/>
        <v>3797054.5436091465</v>
      </c>
      <c r="W109" s="91">
        <f t="shared" si="49"/>
        <v>3848245.4917100524</v>
      </c>
      <c r="X109" s="91">
        <f t="shared" si="49"/>
        <v>3899443.6381535674</v>
      </c>
      <c r="Y109" s="91">
        <f t="shared" si="49"/>
        <v>3950663.6790200206</v>
      </c>
      <c r="Z109" s="91">
        <f t="shared" si="49"/>
        <v>4001928.9860418169</v>
      </c>
      <c r="AA109" s="91">
        <f t="shared" si="49"/>
        <v>4053133.908173955</v>
      </c>
      <c r="AB109" s="91">
        <f t="shared" si="49"/>
        <v>4104444.2608111757</v>
      </c>
      <c r="AC109" s="91">
        <f t="shared" si="49"/>
        <v>4155663.3587041353</v>
      </c>
      <c r="AD109" s="91">
        <f t="shared" si="49"/>
        <v>4206755.9299819581</v>
      </c>
      <c r="AE109" s="91">
        <f t="shared" si="49"/>
        <v>4257798.2960228547</v>
      </c>
    </row>
    <row r="110" spans="1:31" x14ac:dyDescent="0.25">
      <c r="A110" s="91" t="s">
        <v>423</v>
      </c>
      <c r="B110" s="91">
        <f t="shared" ref="B110:AE110" si="50">B50*B$57/B$54</f>
        <v>750805.4890026123</v>
      </c>
      <c r="C110" s="91">
        <f t="shared" si="50"/>
        <v>756574.17149364622</v>
      </c>
      <c r="D110" s="91">
        <f t="shared" si="50"/>
        <v>757786.55028919247</v>
      </c>
      <c r="E110" s="91">
        <f t="shared" si="50"/>
        <v>758963.91040594538</v>
      </c>
      <c r="F110" s="91">
        <f t="shared" si="50"/>
        <v>760251.57997070951</v>
      </c>
      <c r="G110" s="91">
        <f t="shared" si="50"/>
        <v>761470.96271290339</v>
      </c>
      <c r="H110" s="91">
        <f t="shared" si="50"/>
        <v>762677.28739512712</v>
      </c>
      <c r="I110" s="91">
        <f t="shared" si="50"/>
        <v>763884.45400889916</v>
      </c>
      <c r="J110" s="91">
        <f t="shared" si="50"/>
        <v>764991.07079769159</v>
      </c>
      <c r="K110" s="91">
        <f t="shared" si="50"/>
        <v>765877.29288567579</v>
      </c>
      <c r="L110" s="91">
        <f t="shared" si="50"/>
        <v>764419.77005061903</v>
      </c>
      <c r="M110" s="91">
        <f t="shared" si="50"/>
        <v>762834.52585593215</v>
      </c>
      <c r="N110" s="91">
        <f t="shared" si="50"/>
        <v>761033.74611160858</v>
      </c>
      <c r="O110" s="91">
        <f t="shared" si="50"/>
        <v>758967.44754725497</v>
      </c>
      <c r="P110" s="91">
        <f t="shared" si="50"/>
        <v>756750.82274689828</v>
      </c>
      <c r="Q110" s="91">
        <f t="shared" si="50"/>
        <v>754474.15667097468</v>
      </c>
      <c r="R110" s="91">
        <f t="shared" si="50"/>
        <v>752093.58877590694</v>
      </c>
      <c r="S110" s="91">
        <f t="shared" si="50"/>
        <v>749623.3691867158</v>
      </c>
      <c r="T110" s="91">
        <f t="shared" si="50"/>
        <v>747048.0152982712</v>
      </c>
      <c r="U110" s="91">
        <f t="shared" si="50"/>
        <v>744470.18796386372</v>
      </c>
      <c r="V110" s="91">
        <f t="shared" si="50"/>
        <v>742042.68538742315</v>
      </c>
      <c r="W110" s="91">
        <f t="shared" si="50"/>
        <v>739459.61738330754</v>
      </c>
      <c r="X110" s="91">
        <f t="shared" si="50"/>
        <v>736763.58254456788</v>
      </c>
      <c r="Y110" s="91">
        <f t="shared" si="50"/>
        <v>733960.18288958981</v>
      </c>
      <c r="Z110" s="91">
        <f t="shared" si="50"/>
        <v>731056.32508679922</v>
      </c>
      <c r="AA110" s="91">
        <f t="shared" si="50"/>
        <v>728035.36603888753</v>
      </c>
      <c r="AB110" s="91">
        <f t="shared" si="50"/>
        <v>724929.79992416431</v>
      </c>
      <c r="AC110" s="91">
        <f t="shared" si="50"/>
        <v>721707.10150849994</v>
      </c>
      <c r="AD110" s="91">
        <f t="shared" si="50"/>
        <v>718364.54011448601</v>
      </c>
      <c r="AE110" s="91">
        <f t="shared" si="50"/>
        <v>714918.41810969007</v>
      </c>
    </row>
    <row r="111" spans="1:31" x14ac:dyDescent="0.25">
      <c r="A111" s="91" t="s">
        <v>425</v>
      </c>
      <c r="B111" s="91">
        <f t="shared" ref="B111:AE111" si="51">B51*B$57/B$54</f>
        <v>2408945.3793987785</v>
      </c>
      <c r="C111" s="91">
        <f t="shared" si="51"/>
        <v>2439910.2046708413</v>
      </c>
      <c r="D111" s="91">
        <f t="shared" si="51"/>
        <v>2456357.1058650678</v>
      </c>
      <c r="E111" s="91">
        <f t="shared" si="51"/>
        <v>2472791.5447502313</v>
      </c>
      <c r="F111" s="91">
        <f t="shared" si="51"/>
        <v>2489688.4385453812</v>
      </c>
      <c r="G111" s="91">
        <f t="shared" si="51"/>
        <v>2506466.2212368716</v>
      </c>
      <c r="H111" s="91">
        <f t="shared" si="51"/>
        <v>2523304.9420292294</v>
      </c>
      <c r="I111" s="91">
        <f t="shared" si="51"/>
        <v>2540250.9331125915</v>
      </c>
      <c r="J111" s="91">
        <f t="shared" si="51"/>
        <v>2556966.1149844043</v>
      </c>
      <c r="K111" s="91">
        <f t="shared" si="51"/>
        <v>2573043.4760592808</v>
      </c>
      <c r="L111" s="91">
        <f t="shared" si="51"/>
        <v>2585139.1954926932</v>
      </c>
      <c r="M111" s="91">
        <f t="shared" si="51"/>
        <v>2596973.7036056668</v>
      </c>
      <c r="N111" s="91">
        <f t="shared" si="51"/>
        <v>2608240.9674059837</v>
      </c>
      <c r="O111" s="91">
        <f t="shared" si="51"/>
        <v>2618757.1973730121</v>
      </c>
      <c r="P111" s="91">
        <f t="shared" si="51"/>
        <v>2628907.387469681</v>
      </c>
      <c r="Q111" s="91">
        <f t="shared" si="51"/>
        <v>2638999.9645893574</v>
      </c>
      <c r="R111" s="91">
        <f t="shared" si="51"/>
        <v>2648879.4215774247</v>
      </c>
      <c r="S111" s="91">
        <f t="shared" si="51"/>
        <v>2658592.0053020646</v>
      </c>
      <c r="T111" s="91">
        <f t="shared" si="51"/>
        <v>2668079.0661717192</v>
      </c>
      <c r="U111" s="91">
        <f t="shared" si="51"/>
        <v>2677705.2256211275</v>
      </c>
      <c r="V111" s="91">
        <f t="shared" si="51"/>
        <v>2686445.8068941995</v>
      </c>
      <c r="W111" s="91">
        <f t="shared" si="51"/>
        <v>2694789.0876326719</v>
      </c>
      <c r="X111" s="91">
        <f t="shared" si="51"/>
        <v>2702884.1757448711</v>
      </c>
      <c r="Y111" s="91">
        <f t="shared" si="51"/>
        <v>2710747.5145857357</v>
      </c>
      <c r="Z111" s="91">
        <f t="shared" si="51"/>
        <v>2718400.820164544</v>
      </c>
      <c r="AA111" s="91">
        <f t="shared" si="51"/>
        <v>2725778.2102488293</v>
      </c>
      <c r="AB111" s="91">
        <f t="shared" si="51"/>
        <v>2732997.1988642076</v>
      </c>
      <c r="AC111" s="91">
        <f t="shared" si="51"/>
        <v>2739931.7223874521</v>
      </c>
      <c r="AD111" s="91">
        <f t="shared" si="51"/>
        <v>2746566.0434271418</v>
      </c>
      <c r="AE111" s="91">
        <f t="shared" si="51"/>
        <v>2752957.2319643022</v>
      </c>
    </row>
    <row r="112" spans="1:31" x14ac:dyDescent="0.25">
      <c r="A112" s="91" t="s">
        <v>427</v>
      </c>
      <c r="B112" s="91">
        <f t="shared" ref="B112:AE112" si="52">B52*B$57/B$54</f>
        <v>239792.31922728851</v>
      </c>
      <c r="C112" s="91">
        <f t="shared" si="52"/>
        <v>242645.98742381579</v>
      </c>
      <c r="D112" s="91">
        <f t="shared" si="52"/>
        <v>244052.65395002582</v>
      </c>
      <c r="E112" s="91">
        <f t="shared" si="52"/>
        <v>245456.24626982337</v>
      </c>
      <c r="F112" s="91">
        <f t="shared" si="52"/>
        <v>246903.8803068673</v>
      </c>
      <c r="G112" s="91">
        <f t="shared" si="52"/>
        <v>248337.82237727678</v>
      </c>
      <c r="H112" s="91">
        <f t="shared" si="52"/>
        <v>249775.94272744781</v>
      </c>
      <c r="I112" s="91">
        <f t="shared" si="52"/>
        <v>251222.82154142382</v>
      </c>
      <c r="J112" s="91">
        <f t="shared" si="52"/>
        <v>252645.03989164488</v>
      </c>
      <c r="K112" s="91">
        <f t="shared" si="52"/>
        <v>254002.49570676137</v>
      </c>
      <c r="L112" s="91">
        <f t="shared" si="52"/>
        <v>254880.22318212068</v>
      </c>
      <c r="M112" s="91">
        <f t="shared" si="52"/>
        <v>255729.03951901593</v>
      </c>
      <c r="N112" s="91">
        <f t="shared" si="52"/>
        <v>256518.93913207666</v>
      </c>
      <c r="O112" s="91">
        <f t="shared" si="52"/>
        <v>257232.07426283759</v>
      </c>
      <c r="P112" s="91">
        <f t="shared" si="52"/>
        <v>257906.48763308665</v>
      </c>
      <c r="Q112" s="91">
        <f t="shared" si="52"/>
        <v>258572.531106462</v>
      </c>
      <c r="R112" s="91">
        <f t="shared" si="52"/>
        <v>259215.00529682159</v>
      </c>
      <c r="S112" s="91">
        <f t="shared" si="52"/>
        <v>259838.50584884227</v>
      </c>
      <c r="T112" s="91">
        <f t="shared" si="52"/>
        <v>260437.36656417779</v>
      </c>
      <c r="U112" s="91">
        <f t="shared" si="52"/>
        <v>261047.21455615145</v>
      </c>
      <c r="V112" s="91">
        <f t="shared" si="52"/>
        <v>261578.12431904976</v>
      </c>
      <c r="W112" s="91">
        <f t="shared" si="52"/>
        <v>262067.31903653897</v>
      </c>
      <c r="X112" s="91">
        <f t="shared" si="52"/>
        <v>262529.41067831474</v>
      </c>
      <c r="Y112" s="91">
        <f t="shared" si="52"/>
        <v>262966.0704233264</v>
      </c>
      <c r="Z112" s="91">
        <f t="shared" si="52"/>
        <v>263379.47281259077</v>
      </c>
      <c r="AA112" s="91">
        <f t="shared" si="52"/>
        <v>263763.30572325806</v>
      </c>
      <c r="AB112" s="91">
        <f t="shared" si="52"/>
        <v>264129.0137472772</v>
      </c>
      <c r="AC112" s="91">
        <f t="shared" si="52"/>
        <v>264464.47392215906</v>
      </c>
      <c r="AD112" s="91">
        <f t="shared" si="52"/>
        <v>264768.26077749569</v>
      </c>
      <c r="AE112" s="91">
        <f t="shared" si="52"/>
        <v>265045.96681159962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E2"/>
  <sheetViews>
    <sheetView tabSelected="1" workbookViewId="0">
      <selection activeCell="A7" sqref="A7"/>
    </sheetView>
  </sheetViews>
  <sheetFormatPr defaultRowHeight="15" x14ac:dyDescent="0.25"/>
  <cols>
    <col min="1" max="1" width="16.5703125" customWidth="1"/>
    <col min="2" max="2" width="16.42578125" customWidth="1"/>
    <col min="3" max="3" width="9.85546875" bestFit="1" customWidth="1"/>
  </cols>
  <sheetData>
    <row r="1" spans="1:31" x14ac:dyDescent="0.25">
      <c r="A1" t="s">
        <v>232</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231</v>
      </c>
      <c r="B2">
        <f>SUMIFS('state calcs'!B62:B112,'state calcs'!$A$62:$A$112,About!$B$2)</f>
        <v>3204834.3102547792</v>
      </c>
      <c r="C2">
        <f>SUMIFS('state calcs'!C62:C112,'state calcs'!$A$62:$A$112,About!$B$2)</f>
        <v>3255886.5777018317</v>
      </c>
      <c r="D2">
        <f>SUMIFS('state calcs'!D62:D112,'state calcs'!$A$62:$A$112,About!$B$2)</f>
        <v>3287704.198492012</v>
      </c>
      <c r="E2">
        <f>SUMIFS('state calcs'!E62:E112,'state calcs'!$A$62:$A$112,About!$B$2)</f>
        <v>3319584.2899220069</v>
      </c>
      <c r="F2">
        <f>SUMIFS('state calcs'!F62:F112,'state calcs'!$A$62:$A$112,About!$B$2)</f>
        <v>3352165.5095365117</v>
      </c>
      <c r="G2">
        <f>SUMIFS('state calcs'!G62:G112,'state calcs'!$A$62:$A$112,About!$B$2)</f>
        <v>3384667.3877596557</v>
      </c>
      <c r="H2">
        <f>SUMIFS('state calcs'!H62:H112,'state calcs'!$A$62:$A$112,About!$B$2)</f>
        <v>3417331.714390954</v>
      </c>
      <c r="I2">
        <f>SUMIFS('state calcs'!I62:I112,'state calcs'!$A$62:$A$112,About!$B$2)</f>
        <v>3450221.5017043119</v>
      </c>
      <c r="J2">
        <f>SUMIFS('state calcs'!J62:J112,'state calcs'!$A$62:$A$112,About!$B$2)</f>
        <v>3482876.870278154</v>
      </c>
      <c r="K2">
        <f>SUMIFS('state calcs'!K62:K112,'state calcs'!$A$62:$A$112,About!$B$2)</f>
        <v>3514738.5379704563</v>
      </c>
      <c r="L2">
        <f>SUMIFS('state calcs'!L62:L112,'state calcs'!$A$62:$A$112,About!$B$2)</f>
        <v>3545673.269666445</v>
      </c>
      <c r="M2">
        <f>SUMIFS('state calcs'!M62:M112,'state calcs'!$A$62:$A$112,About!$B$2)</f>
        <v>3576393.5799422157</v>
      </c>
      <c r="N2">
        <f>SUMIFS('state calcs'!N62:N112,'state calcs'!$A$62:$A$112,About!$B$2)</f>
        <v>3606472.0923292758</v>
      </c>
      <c r="O2">
        <f>SUMIFS('state calcs'!O62:O112,'state calcs'!$A$62:$A$112,About!$B$2)</f>
        <v>3635644.296679874</v>
      </c>
      <c r="P2">
        <f>SUMIFS('state calcs'!P62:P112,'state calcs'!$A$62:$A$112,About!$B$2)</f>
        <v>3664434.3863854748</v>
      </c>
      <c r="Q2">
        <f>SUMIFS('state calcs'!Q62:Q112,'state calcs'!$A$62:$A$112,About!$B$2)</f>
        <v>3693267.9979901453</v>
      </c>
      <c r="R2">
        <f>SUMIFS('state calcs'!R62:R112,'state calcs'!$A$62:$A$112,About!$B$2)</f>
        <v>3721925.7959531811</v>
      </c>
      <c r="S2">
        <f>SUMIFS('state calcs'!S62:S112,'state calcs'!$A$62:$A$112,About!$B$2)</f>
        <v>3750469.5720980838</v>
      </c>
      <c r="T2">
        <f>SUMIFS('state calcs'!T62:T112,'state calcs'!$A$62:$A$112,About!$B$2)</f>
        <v>3778813.5851646378</v>
      </c>
      <c r="U2">
        <f>SUMIFS('state calcs'!U62:U112,'state calcs'!$A$62:$A$112,About!$B$2)</f>
        <v>3807472.6295772381</v>
      </c>
      <c r="V2">
        <f>SUMIFS('state calcs'!V62:V112,'state calcs'!$A$62:$A$112,About!$B$2)</f>
        <v>3835326.5266226609</v>
      </c>
      <c r="W2">
        <f>SUMIFS('state calcs'!W62:W112,'state calcs'!$A$62:$A$112,About!$B$2)</f>
        <v>3862758.7307333876</v>
      </c>
      <c r="X2">
        <f>SUMIFS('state calcs'!X62:X112,'state calcs'!$A$62:$A$112,About!$B$2)</f>
        <v>3889977.6318623624</v>
      </c>
      <c r="Y2">
        <f>SUMIFS('state calcs'!Y62:Y112,'state calcs'!$A$62:$A$112,About!$B$2)</f>
        <v>3917003.3391747857</v>
      </c>
      <c r="Z2">
        <f>SUMIFS('state calcs'!Z62:Z112,'state calcs'!$A$62:$A$112,About!$B$2)</f>
        <v>3943863.9712663651</v>
      </c>
      <c r="AA2">
        <f>SUMIFS('state calcs'!AA62:AA112,'state calcs'!$A$62:$A$112,About!$B$2)</f>
        <v>3970460.533774375</v>
      </c>
      <c r="AB2">
        <f>SUMIFS('state calcs'!AB62:AB112,'state calcs'!$A$62:$A$112,About!$B$2)</f>
        <v>3996960.6861322555</v>
      </c>
      <c r="AC2">
        <f>SUMIFS('state calcs'!AC62:AC112,'state calcs'!$A$62:$A$112,About!$B$2)</f>
        <v>4023177.1624377952</v>
      </c>
      <c r="AD2">
        <f>SUMIFS('state calcs'!AD62:AD112,'state calcs'!$A$62:$A$112,About!$B$2)</f>
        <v>4049082.3625713126</v>
      </c>
      <c r="AE2">
        <f>SUMIFS('state calcs'!AE62:AE112,'state calcs'!$A$62:$A$112,About!$B$2)</f>
        <v>4074756.0524447821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AEO 2023 Table 4</vt:lpstr>
      <vt:lpstr>AEO 2022 Table 4</vt:lpstr>
      <vt:lpstr>NST-EST2024-HU</vt:lpstr>
      <vt:lpstr>Total Pop</vt:lpstr>
      <vt:lpstr>state calcs</vt:lpstr>
      <vt:lpstr>NoH</vt:lpstr>
      <vt:lpstr>nst_annhu</vt:lpstr>
      <vt:lpstr>'NST-EST2024-HU'!Print_Area</vt:lpstr>
      <vt:lpstr>'NST-EST2024-HU'!Print_Titles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2016-01-21T23:28:30Z</dcterms:created>
  <dcterms:modified xsi:type="dcterms:W3CDTF">2026-06-12T19:30:14Z</dcterms:modified>
</cp:coreProperties>
</file>