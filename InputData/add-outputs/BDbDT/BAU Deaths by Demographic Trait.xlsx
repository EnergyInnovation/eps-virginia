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34E57222-3D2E-4518-B41B-F95414B2F2B9}"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<sst xmlns="http://schemas.openxmlformats.org/spreadsheetml/2006/main" count="5677" uniqueCount="335">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</sst>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177</v>
      </c>
    </row>
    <row r="2" spans="1:2" x14ac:dyDescent="0.25">
      <c r="A2" s="3" t="s">
        <v>2</v>
      </c>
      <c r="B2" s="4" t="str">
        <f>IFERROR(INDEX(Geography!B:B, MATCH($B$1, Geography!C:C, 0)), "")</f>
        <v>VA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4350566</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0.9959584769152835</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4460629</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1.0039735231634961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5987047</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0.90420094141409835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1759626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1.4618351449544034</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675783</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1.1877837447234827</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388739</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0.93184248521399327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1021625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0.59417053057218505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7789570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8811195</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1.0983940088067257</v>
      </c>
    </row>
    <row r="12" spans="1:28" x14ac:dyDescent="0.25">
      <c r="A12" s="4" t="s">
        <v>319</v>
      </c>
    </row>
    <row r="13" spans="1:28" x14ac:dyDescent="0.25">
      <c r="A13" s="4" t="s">
        <v>320</v>
      </c>
      <c r="B13" s="37">
        <f>INDEX(Census_pop_2020_2025!G:G, MATCH("."&amp;About!$B$1, Census_pop_2020_2025!A:A, 0))</f>
        <v>8819642</v>
      </c>
      <c r="C13" s="37">
        <f>INDEX(Census_pop_2020_2025!H:H, MATCH("."&amp;About!$B$1, Census_pop_2020_2025!A:A, 0))</f>
        <v>8880107</v>
      </c>
      <c r="D13" s="37">
        <f>INDEX(Census_pop_2020_2025!H:H, MATCH("."&amp;About!$B$1, Census_pop_2020_2025!A:A, 0))+0.2*(INDEX(Cooper_pop_2030_2050!D:D, MATCH(About!$B$1, Cooper_pop_2030_2050!B:B, 0))-INDEX(Census_pop_2020_2025!H:H, MATCH("."&amp;About!$B$1, Census_pop_2020_2025!A:A, 0)))</f>
        <v>8929885.9777492601</v>
      </c>
      <c r="E13" s="37">
        <f>INDEX(Census_pop_2020_2025!H:H, MATCH("."&amp;About!$B$1, Census_pop_2020_2025!A:A, 0))+0.4*(INDEX(Cooper_pop_2030_2050!D:D, MATCH(About!$B$1, Cooper_pop_2030_2050!B:B, 0))-INDEX(Census_pop_2020_2025!H:H, MATCH("."&amp;About!$B$1, Census_pop_2020_2025!A:A, 0)))</f>
        <v>8979664.9554985203</v>
      </c>
      <c r="F13" s="37">
        <f>INDEX(Census_pop_2020_2025!H:H, MATCH("."&amp;About!$B$1, Census_pop_2020_2025!A:A, 0))+0.6*(INDEX(Cooper_pop_2030_2050!D:D, MATCH(About!$B$1, Cooper_pop_2030_2050!B:B, 0))-INDEX(Census_pop_2020_2025!H:H, MATCH("."&amp;About!$B$1, Census_pop_2020_2025!A:A, 0)))</f>
        <v>9029443.9332477823</v>
      </c>
      <c r="G13" s="37">
        <f>INDEX(Census_pop_2020_2025!H:H, MATCH("."&amp;About!$B$1, Census_pop_2020_2025!A:A, 0))+0.8*(INDEX(Cooper_pop_2030_2050!D:D, MATCH(About!$B$1, Cooper_pop_2030_2050!B:B, 0))-INDEX(Census_pop_2020_2025!H:H, MATCH("."&amp;About!$B$1, Census_pop_2020_2025!A:A, 0)))</f>
        <v>9079222.9109970424</v>
      </c>
      <c r="H13" s="37">
        <f>INDEX(Cooper_pop_2030_2050!D:D, MATCH(About!$B$1, Cooper_pop_2030_2050!B:B, 0))</f>
        <v>9129001.8887463026</v>
      </c>
      <c r="I13" s="37">
        <f>INDEX(Cooper_pop_2030_2050!D:D, MATCH(About!$B$1, Cooper_pop_2030_2050!B:B, 0))+0.1*(INDEX(Cooper_pop_2030_2050!E:E, MATCH(About!$B$1, Cooper_pop_2030_2050!B:B, 0))-INDEX(Cooper_pop_2030_2050!D:D, MATCH(About!$B$1, Cooper_pop_2030_2050!B:B, 0)))</f>
        <v>9162959.4539246541</v>
      </c>
      <c r="J13" s="37">
        <f>INDEX(Cooper_pop_2030_2050!D:D, MATCH(About!$B$1, Cooper_pop_2030_2050!B:B, 0))+0.2*(INDEX(Cooper_pop_2030_2050!E:E, MATCH(About!$B$1, Cooper_pop_2030_2050!B:B, 0))-INDEX(Cooper_pop_2030_2050!D:D, MATCH(About!$B$1, Cooper_pop_2030_2050!B:B, 0)))</f>
        <v>9196917.0191030055</v>
      </c>
      <c r="K13" s="37">
        <f>INDEX(Cooper_pop_2030_2050!D:D, MATCH(About!$B$1, Cooper_pop_2030_2050!B:B, 0))+0.3*(INDEX(Cooper_pop_2030_2050!E:E, MATCH(About!$B$1, Cooper_pop_2030_2050!B:B, 0))-INDEX(Cooper_pop_2030_2050!D:D, MATCH(About!$B$1, Cooper_pop_2030_2050!B:B, 0)))</f>
        <v>9230874.584281357</v>
      </c>
      <c r="L13" s="37">
        <f>INDEX(Cooper_pop_2030_2050!D:D, MATCH(About!$B$1, Cooper_pop_2030_2050!B:B, 0))+0.4*(INDEX(Cooper_pop_2030_2050!E:E, MATCH(About!$B$1, Cooper_pop_2030_2050!B:B, 0))-INDEX(Cooper_pop_2030_2050!D:D, MATCH(About!$B$1, Cooper_pop_2030_2050!B:B, 0)))</f>
        <v>9264832.1494597085</v>
      </c>
      <c r="M13" s="37">
        <f>INDEX(Cooper_pop_2030_2050!D:D, MATCH(About!$B$1, Cooper_pop_2030_2050!B:B, 0))+0.5*(INDEX(Cooper_pop_2030_2050!E:E, MATCH(About!$B$1, Cooper_pop_2030_2050!B:B, 0))-INDEX(Cooper_pop_2030_2050!D:D, MATCH(About!$B$1, Cooper_pop_2030_2050!B:B, 0)))</f>
        <v>9298789.7146380618</v>
      </c>
      <c r="N13" s="37">
        <f>INDEX(Cooper_pop_2030_2050!D:D, MATCH(About!$B$1, Cooper_pop_2030_2050!B:B, 0))+0.6*(INDEX(Cooper_pop_2030_2050!E:E, MATCH(About!$B$1, Cooper_pop_2030_2050!B:B, 0))-INDEX(Cooper_pop_2030_2050!D:D, MATCH(About!$B$1, Cooper_pop_2030_2050!B:B, 0)))</f>
        <v>9332747.2798164133</v>
      </c>
      <c r="O13" s="37">
        <f>INDEX(Cooper_pop_2030_2050!D:D, MATCH(About!$B$1, Cooper_pop_2030_2050!B:B, 0))+0.7*(INDEX(Cooper_pop_2030_2050!E:E, MATCH(About!$B$1, Cooper_pop_2030_2050!B:B, 0))-INDEX(Cooper_pop_2030_2050!D:D, MATCH(About!$B$1, Cooper_pop_2030_2050!B:B, 0)))</f>
        <v>9366704.8449947648</v>
      </c>
      <c r="P13" s="37">
        <f>INDEX(Cooper_pop_2030_2050!D:D, MATCH(About!$B$1, Cooper_pop_2030_2050!B:B, 0))+0.8*(INDEX(Cooper_pop_2030_2050!E:E, MATCH(About!$B$1, Cooper_pop_2030_2050!B:B, 0))-INDEX(Cooper_pop_2030_2050!D:D, MATCH(About!$B$1, Cooper_pop_2030_2050!B:B, 0)))</f>
        <v>9400662.4101731163</v>
      </c>
      <c r="Q13" s="37">
        <f>INDEX(Cooper_pop_2030_2050!D:D, MATCH(About!$B$1, Cooper_pop_2030_2050!B:B, 0))+0.9*(INDEX(Cooper_pop_2030_2050!E:E, MATCH(About!$B$1, Cooper_pop_2030_2050!B:B, 0))-INDEX(Cooper_pop_2030_2050!D:D, MATCH(About!$B$1, Cooper_pop_2030_2050!B:B, 0)))</f>
        <v>9434619.9753514677</v>
      </c>
      <c r="R13" s="37">
        <f>INDEX(Cooper_pop_2030_2050!E:E, MATCH(About!$B$1, Cooper_pop_2030_2050!B:B, 0))</f>
        <v>9468577.5405298192</v>
      </c>
      <c r="S13" s="37">
        <f>INDEX(Cooper_pop_2030_2050!E:E, MATCH(About!$B$1, Cooper_pop_2030_2050!B:B, 0))+0.1*(INDEX(Cooper_pop_2030_2050!F:F, MATCH(About!$B$1, Cooper_pop_2030_2050!B:B, 0))-INDEX(Cooper_pop_2030_2050!E:E, MATCH(About!$B$1, Cooper_pop_2030_2050!B:B, 0)))</f>
        <v>9492290.3464380205</v>
      </c>
      <c r="T13" s="37">
        <f>INDEX(Cooper_pop_2030_2050!E:E, MATCH(About!$B$1, Cooper_pop_2030_2050!B:B, 0))+0.2*(INDEX(Cooper_pop_2030_2050!F:F, MATCH(About!$B$1, Cooper_pop_2030_2050!B:B, 0))-INDEX(Cooper_pop_2030_2050!E:E, MATCH(About!$B$1, Cooper_pop_2030_2050!B:B, 0)))</f>
        <v>9516003.1523462217</v>
      </c>
      <c r="U13" s="37">
        <f>INDEX(Cooper_pop_2030_2050!E:E, MATCH(About!$B$1, Cooper_pop_2030_2050!B:B, 0))+0.3*(INDEX(Cooper_pop_2030_2050!F:F, MATCH(About!$B$1, Cooper_pop_2030_2050!B:B, 0))-INDEX(Cooper_pop_2030_2050!E:E, MATCH(About!$B$1, Cooper_pop_2030_2050!B:B, 0)))</f>
        <v>9539715.958254423</v>
      </c>
      <c r="V13" s="37">
        <f>INDEX(Cooper_pop_2030_2050!E:E, MATCH(About!$B$1, Cooper_pop_2030_2050!B:B, 0))+0.4*(INDEX(Cooper_pop_2030_2050!F:F, MATCH(About!$B$1, Cooper_pop_2030_2050!B:B, 0))-INDEX(Cooper_pop_2030_2050!E:E, MATCH(About!$B$1, Cooper_pop_2030_2050!B:B, 0)))</f>
        <v>9563428.7641626243</v>
      </c>
      <c r="W13" s="37">
        <f>INDEX(Cooper_pop_2030_2050!E:E, MATCH(About!$B$1, Cooper_pop_2030_2050!B:B, 0))+0.5*(INDEX(Cooper_pop_2030_2050!F:F, MATCH(About!$B$1, Cooper_pop_2030_2050!B:B, 0))-INDEX(Cooper_pop_2030_2050!E:E, MATCH(About!$B$1, Cooper_pop_2030_2050!B:B, 0)))</f>
        <v>9587141.5700708255</v>
      </c>
      <c r="X13" s="37">
        <f>INDEX(Cooper_pop_2030_2050!E:E, MATCH(About!$B$1, Cooper_pop_2030_2050!B:B, 0))+0.6*(INDEX(Cooper_pop_2030_2050!F:F, MATCH(About!$B$1, Cooper_pop_2030_2050!B:B, 0))-INDEX(Cooper_pop_2030_2050!E:E, MATCH(About!$B$1, Cooper_pop_2030_2050!B:B, 0)))</f>
        <v>9610854.3759790268</v>
      </c>
      <c r="Y13" s="37">
        <f>INDEX(Cooper_pop_2030_2050!E:E, MATCH(About!$B$1, Cooper_pop_2030_2050!B:B, 0))+0.7*(INDEX(Cooper_pop_2030_2050!F:F, MATCH(About!$B$1, Cooper_pop_2030_2050!B:B, 0))-INDEX(Cooper_pop_2030_2050!E:E, MATCH(About!$B$1, Cooper_pop_2030_2050!B:B, 0)))</f>
        <v>9634567.181887228</v>
      </c>
      <c r="Z13" s="37">
        <f>INDEX(Cooper_pop_2030_2050!E:E, MATCH(About!$B$1, Cooper_pop_2030_2050!B:B, 0))+0.8*(INDEX(Cooper_pop_2030_2050!F:F, MATCH(About!$B$1, Cooper_pop_2030_2050!B:B, 0))-INDEX(Cooper_pop_2030_2050!E:E, MATCH(About!$B$1, Cooper_pop_2030_2050!B:B, 0)))</f>
        <v>9658279.9877954293</v>
      </c>
      <c r="AA13" s="37">
        <f>INDEX(Cooper_pop_2030_2050!E:E, MATCH(About!$B$1, Cooper_pop_2030_2050!B:B, 0))+0.9*(INDEX(Cooper_pop_2030_2050!F:F, MATCH(About!$B$1, Cooper_pop_2030_2050!B:B, 0))-INDEX(Cooper_pop_2030_2050!E:E, MATCH(About!$B$1, Cooper_pop_2030_2050!B:B, 0)))</f>
        <v>9681992.7937036306</v>
      </c>
      <c r="AB13" s="37">
        <f>INDEX(Cooper_pop_2030_2050!F:F, MATCH(About!$B$1, Cooper_pop_2030_2050!B:B, 0))</f>
        <v>9705705.5996118318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2.6211320654591121E-2</v>
      </c>
      <c r="C15" s="39">
        <f t="shared" si="1"/>
        <v>2.6271242177140362E-2</v>
      </c>
      <c r="D15" s="39">
        <f t="shared" si="1"/>
        <v>2.6302040847205915E-2</v>
      </c>
      <c r="E15" s="39">
        <f t="shared" si="1"/>
        <v>2.6335606924472784E-2</v>
      </c>
      <c r="F15" s="39">
        <f t="shared" si="1"/>
        <v>2.637221202520865E-2</v>
      </c>
      <c r="G15" s="39">
        <f t="shared" si="1"/>
        <v>2.6411993550922157E-2</v>
      </c>
      <c r="H15" s="39">
        <f t="shared" si="1"/>
        <v>2.6455233940468035E-2</v>
      </c>
      <c r="I15" s="39">
        <f t="shared" si="1"/>
        <v>2.6456600236710828E-2</v>
      </c>
      <c r="J15" s="39">
        <f t="shared" si="1"/>
        <v>2.64625139932286E-2</v>
      </c>
      <c r="K15" s="39">
        <f t="shared" si="1"/>
        <v>2.647211533354853E-2</v>
      </c>
      <c r="L15" s="39">
        <f t="shared" si="1"/>
        <v>2.6485504902240484E-2</v>
      </c>
      <c r="M15" s="39">
        <f t="shared" si="1"/>
        <v>2.650276744467352E-2</v>
      </c>
      <c r="N15" s="39">
        <f t="shared" si="1"/>
        <v>2.6523964762103329E-2</v>
      </c>
      <c r="O15" s="39">
        <f t="shared" si="1"/>
        <v>2.6549161854345329E-2</v>
      </c>
      <c r="P15" s="39">
        <f t="shared" si="1"/>
        <v>2.6578392389874455E-2</v>
      </c>
      <c r="Q15" s="39">
        <f t="shared" si="1"/>
        <v>2.6611637625200121E-2</v>
      </c>
      <c r="R15" s="39">
        <f t="shared" si="1"/>
        <v>2.6648848997073482E-2</v>
      </c>
      <c r="S15" s="39">
        <f t="shared" si="1"/>
        <v>2.6661224856664757E-2</v>
      </c>
      <c r="T15" s="39">
        <f t="shared" si="1"/>
        <v>2.6677482927464285E-2</v>
      </c>
      <c r="U15" s="39">
        <f t="shared" si="1"/>
        <v>2.6697408925197851E-2</v>
      </c>
      <c r="V15" s="39">
        <f t="shared" si="1"/>
        <v>2.6720698726211644E-2</v>
      </c>
      <c r="W15" s="39">
        <f t="shared" si="1"/>
        <v>2.6747003086279659E-2</v>
      </c>
      <c r="X15" s="39">
        <f t="shared" si="1"/>
        <v>2.6775960160275249E-2</v>
      </c>
      <c r="Y15" s="39">
        <f t="shared" si="1"/>
        <v>2.6807341317477185E-2</v>
      </c>
      <c r="Z15" s="39">
        <f t="shared" si="1"/>
        <v>2.6840800667707478E-2</v>
      </c>
      <c r="AA15" s="39">
        <f t="shared" si="1"/>
        <v>2.6875984664565145E-2</v>
      </c>
      <c r="AB15" s="39">
        <f t="shared" si="1"/>
        <v>2.6912543453005332E-2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245.67779702956395</v>
      </c>
      <c r="C48" s="37">
        <f t="shared" si="10"/>
        <v>244.38171966619731</v>
      </c>
      <c r="D48" s="37">
        <f t="shared" si="10"/>
        <v>242.78212334276273</v>
      </c>
      <c r="E48" s="37">
        <f t="shared" si="10"/>
        <v>241.2034561586205</v>
      </c>
      <c r="F48" s="37">
        <f t="shared" si="10"/>
        <v>239.59505972444825</v>
      </c>
      <c r="G48" s="37">
        <f t="shared" si="10"/>
        <v>237.95728127144105</v>
      </c>
      <c r="H48" s="37">
        <f t="shared" si="10"/>
        <v>236.29168445201736</v>
      </c>
      <c r="I48" s="37">
        <f t="shared" si="10"/>
        <v>234.32766223045553</v>
      </c>
      <c r="J48" s="37">
        <f t="shared" si="10"/>
        <v>232.21888437845143</v>
      </c>
      <c r="K48" s="37">
        <f t="shared" si="10"/>
        <v>230.16756454449222</v>
      </c>
      <c r="L48" s="37">
        <f t="shared" si="10"/>
        <v>227.98905677008128</v>
      </c>
      <c r="M48" s="37">
        <f t="shared" si="10"/>
        <v>225.86762752121399</v>
      </c>
      <c r="N48" s="37">
        <f t="shared" si="10"/>
        <v>223.82927141911426</v>
      </c>
      <c r="O48" s="37">
        <f t="shared" si="10"/>
        <v>221.50348470769327</v>
      </c>
      <c r="P48" s="37">
        <f t="shared" si="10"/>
        <v>219.28555858559622</v>
      </c>
      <c r="Q48" s="37">
        <f t="shared" si="10"/>
        <v>216.93594454364805</v>
      </c>
      <c r="R48" s="37">
        <f t="shared" si="10"/>
        <v>214.5851739693525</v>
      </c>
      <c r="S48" s="37">
        <f t="shared" si="10"/>
        <v>211.94982069530093</v>
      </c>
      <c r="T48" s="37">
        <f t="shared" si="10"/>
        <v>209.34239261797759</v>
      </c>
      <c r="U48" s="37">
        <f t="shared" si="10"/>
        <v>206.76003544211409</v>
      </c>
      <c r="V48" s="37">
        <f t="shared" si="10"/>
        <v>204.1992962491706</v>
      </c>
      <c r="W48" s="37">
        <f t="shared" si="10"/>
        <v>201.68314563531209</v>
      </c>
      <c r="X48" s="37">
        <f t="shared" si="10"/>
        <v>199.3947256203094</v>
      </c>
      <c r="Y48" s="37">
        <f t="shared" si="10"/>
        <v>197.11870835231221</v>
      </c>
      <c r="Z48" s="37">
        <f t="shared" si="10"/>
        <v>194.98556361332246</v>
      </c>
      <c r="AA48" s="37">
        <f t="shared" si="10"/>
        <v>192.8856304037682</v>
      </c>
      <c r="AB48" s="37">
        <f t="shared" si="10"/>
        <v>190.78927605451085</v>
      </c>
    </row>
    <row r="49" spans="1:28" x14ac:dyDescent="0.25">
      <c r="A49" s="4" t="s">
        <v>216</v>
      </c>
      <c r="B49" s="37">
        <f t="shared" ref="B49:AB49" si="11">B29*B15*$F$5</f>
        <v>197.47130147046215</v>
      </c>
      <c r="C49" s="37">
        <f t="shared" si="11"/>
        <v>196.84133838052861</v>
      </c>
      <c r="D49" s="37">
        <f t="shared" si="11"/>
        <v>195.98943351416708</v>
      </c>
      <c r="E49" s="37">
        <f t="shared" si="11"/>
        <v>195.12906026635585</v>
      </c>
      <c r="F49" s="37">
        <f t="shared" si="11"/>
        <v>194.23529122445345</v>
      </c>
      <c r="G49" s="37">
        <f t="shared" si="11"/>
        <v>193.36154266161051</v>
      </c>
      <c r="H49" s="37">
        <f t="shared" si="11"/>
        <v>192.48288852033892</v>
      </c>
      <c r="I49" s="37">
        <f t="shared" si="11"/>
        <v>191.1647431057153</v>
      </c>
      <c r="J49" s="37">
        <f t="shared" si="11"/>
        <v>189.95879334964698</v>
      </c>
      <c r="K49" s="37">
        <f t="shared" si="11"/>
        <v>188.61911866010215</v>
      </c>
      <c r="L49" s="37">
        <f t="shared" si="11"/>
        <v>187.35839398706042</v>
      </c>
      <c r="M49" s="37">
        <f t="shared" si="11"/>
        <v>185.96384879022665</v>
      </c>
      <c r="N49" s="37">
        <f t="shared" si="11"/>
        <v>184.46156529372854</v>
      </c>
      <c r="O49" s="37">
        <f t="shared" si="11"/>
        <v>183.11748372430199</v>
      </c>
      <c r="P49" s="37">
        <f t="shared" si="11"/>
        <v>181.531267290995</v>
      </c>
      <c r="Q49" s="37">
        <f t="shared" si="11"/>
        <v>180.02170363512164</v>
      </c>
      <c r="R49" s="37">
        <f t="shared" si="11"/>
        <v>178.4005984240469</v>
      </c>
      <c r="S49" s="37">
        <f t="shared" si="11"/>
        <v>176.60974709021687</v>
      </c>
      <c r="T49" s="37">
        <f t="shared" si="11"/>
        <v>174.78903305445149</v>
      </c>
      <c r="U49" s="37">
        <f t="shared" si="11"/>
        <v>172.98973541868196</v>
      </c>
      <c r="V49" s="37">
        <f t="shared" si="11"/>
        <v>171.26276388122358</v>
      </c>
      <c r="W49" s="37">
        <f t="shared" si="11"/>
        <v>169.57848165620064</v>
      </c>
      <c r="X49" s="37">
        <f t="shared" si="11"/>
        <v>167.88030733843996</v>
      </c>
      <c r="Y49" s="37">
        <f t="shared" si="11"/>
        <v>166.30074655766211</v>
      </c>
      <c r="Z49" s="37">
        <f t="shared" si="11"/>
        <v>164.70283402494374</v>
      </c>
      <c r="AA49" s="37">
        <f t="shared" si="11"/>
        <v>163.19183536961359</v>
      </c>
      <c r="AB49" s="37">
        <f t="shared" si="11"/>
        <v>161.84669159614862</v>
      </c>
    </row>
    <row r="50" spans="1:28" x14ac:dyDescent="0.25">
      <c r="A50" s="4" t="s">
        <v>217</v>
      </c>
      <c r="B50" s="37">
        <f t="shared" ref="B50:AB50" si="12">B30*B15*$F$6</f>
        <v>233.6375654006354</v>
      </c>
      <c r="C50" s="37">
        <f t="shared" si="12"/>
        <v>232.62764133178237</v>
      </c>
      <c r="D50" s="37">
        <f t="shared" si="12"/>
        <v>231.37828949576939</v>
      </c>
      <c r="E50" s="37">
        <f t="shared" si="12"/>
        <v>230.10193238482205</v>
      </c>
      <c r="F50" s="37">
        <f t="shared" si="12"/>
        <v>228.82409471175086</v>
      </c>
      <c r="G50" s="37">
        <f t="shared" si="12"/>
        <v>227.56919035055327</v>
      </c>
      <c r="H50" s="37">
        <f t="shared" si="12"/>
        <v>226.24337503362267</v>
      </c>
      <c r="I50" s="37">
        <f t="shared" si="12"/>
        <v>224.58051370802585</v>
      </c>
      <c r="J50" s="37">
        <f t="shared" si="12"/>
        <v>222.83615619405097</v>
      </c>
      <c r="K50" s="37">
        <f t="shared" si="12"/>
        <v>221.02605456811574</v>
      </c>
      <c r="L50" s="37">
        <f t="shared" si="12"/>
        <v>219.12619896786711</v>
      </c>
      <c r="M50" s="37">
        <f t="shared" si="12"/>
        <v>217.13623892566113</v>
      </c>
      <c r="N50" s="37">
        <f t="shared" si="12"/>
        <v>215.05550637239219</v>
      </c>
      <c r="O50" s="37">
        <f t="shared" si="12"/>
        <v>212.8112143678575</v>
      </c>
      <c r="P50" s="37">
        <f t="shared" si="12"/>
        <v>210.49810479351243</v>
      </c>
      <c r="Q50" s="37">
        <f t="shared" si="12"/>
        <v>208.09049187625766</v>
      </c>
      <c r="R50" s="37">
        <f t="shared" si="12"/>
        <v>205.58634124065011</v>
      </c>
      <c r="S50" s="37">
        <f t="shared" si="12"/>
        <v>202.81307112304398</v>
      </c>
      <c r="T50" s="37">
        <f t="shared" si="12"/>
        <v>200.06625214278003</v>
      </c>
      <c r="U50" s="37">
        <f t="shared" si="12"/>
        <v>197.34304716745757</v>
      </c>
      <c r="V50" s="37">
        <f t="shared" si="12"/>
        <v>194.66421776164307</v>
      </c>
      <c r="W50" s="37">
        <f t="shared" si="12"/>
        <v>192.07461237346294</v>
      </c>
      <c r="X50" s="37">
        <f t="shared" si="12"/>
        <v>189.59515369657052</v>
      </c>
      <c r="Y50" s="37">
        <f t="shared" si="12"/>
        <v>187.17528198338744</v>
      </c>
      <c r="Z50" s="37">
        <f t="shared" si="12"/>
        <v>184.83633859928719</v>
      </c>
      <c r="AA50" s="37">
        <f t="shared" si="12"/>
        <v>182.62419912300703</v>
      </c>
      <c r="AB50" s="37">
        <f t="shared" si="12"/>
        <v>180.4878526339518</v>
      </c>
    </row>
    <row r="51" spans="1:28" x14ac:dyDescent="0.25">
      <c r="A51" s="4" t="s">
        <v>218</v>
      </c>
      <c r="B51" s="37">
        <f t="shared" ref="B51:AB51" si="13">B31*B15*$F$7</f>
        <v>179.24519387015951</v>
      </c>
      <c r="C51" s="37">
        <f t="shared" si="13"/>
        <v>177.2354989110425</v>
      </c>
      <c r="D51" s="37">
        <f t="shared" si="13"/>
        <v>175.05942475293054</v>
      </c>
      <c r="E51" s="37">
        <f t="shared" si="13"/>
        <v>172.81893947312</v>
      </c>
      <c r="F51" s="37">
        <f t="shared" si="13"/>
        <v>170.51472811695095</v>
      </c>
      <c r="G51" s="37">
        <f t="shared" si="13"/>
        <v>168.22368469450203</v>
      </c>
      <c r="H51" s="37">
        <f t="shared" si="13"/>
        <v>165.83064190241097</v>
      </c>
      <c r="I51" s="37">
        <f t="shared" si="13"/>
        <v>163.20929353737873</v>
      </c>
      <c r="J51" s="37">
        <f t="shared" si="13"/>
        <v>160.61527452942772</v>
      </c>
      <c r="K51" s="37">
        <f t="shared" si="13"/>
        <v>158.04209518216328</v>
      </c>
      <c r="L51" s="37">
        <f t="shared" si="13"/>
        <v>155.56668154599234</v>
      </c>
      <c r="M51" s="37">
        <f t="shared" si="13"/>
        <v>153.22728709669565</v>
      </c>
      <c r="N51" s="37">
        <f t="shared" si="13"/>
        <v>150.90709979283955</v>
      </c>
      <c r="O51" s="37">
        <f t="shared" si="13"/>
        <v>148.72182782927479</v>
      </c>
      <c r="P51" s="37">
        <f t="shared" si="13"/>
        <v>146.55437636267371</v>
      </c>
      <c r="Q51" s="37">
        <f t="shared" si="13"/>
        <v>144.48138601767567</v>
      </c>
      <c r="R51" s="37">
        <f t="shared" si="13"/>
        <v>142.46291130149848</v>
      </c>
      <c r="S51" s="37">
        <f t="shared" si="13"/>
        <v>140.30753581081609</v>
      </c>
      <c r="T51" s="37">
        <f t="shared" si="13"/>
        <v>138.20920304139</v>
      </c>
      <c r="U51" s="37">
        <f t="shared" si="13"/>
        <v>136.12691073350464</v>
      </c>
      <c r="V51" s="37">
        <f t="shared" si="13"/>
        <v>134.13635480628375</v>
      </c>
      <c r="W51" s="37">
        <f t="shared" si="13"/>
        <v>132.11791716286521</v>
      </c>
      <c r="X51" s="37">
        <f t="shared" si="13"/>
        <v>130.18642371688159</v>
      </c>
      <c r="Y51" s="37">
        <f t="shared" si="13"/>
        <v>128.37960521789597</v>
      </c>
      <c r="Z51" s="37">
        <f t="shared" si="13"/>
        <v>126.57799982036933</v>
      </c>
      <c r="AA51" s="37">
        <f t="shared" si="13"/>
        <v>124.85808690469993</v>
      </c>
      <c r="AB51" s="37">
        <f t="shared" si="13"/>
        <v>123.13952682091023</v>
      </c>
    </row>
    <row r="52" spans="1:28" x14ac:dyDescent="0.25">
      <c r="A52" s="4" t="s">
        <v>219</v>
      </c>
      <c r="B52" s="37">
        <f t="shared" ref="B52:AB52" si="14">B32*B15*$F$8</f>
        <v>26.805840697683319</v>
      </c>
      <c r="C52" s="37">
        <f t="shared" si="14"/>
        <v>26.960735011709904</v>
      </c>
      <c r="D52" s="37">
        <f t="shared" si="14"/>
        <v>27.0860654073728</v>
      </c>
      <c r="E52" s="37">
        <f t="shared" si="14"/>
        <v>27.245756062527207</v>
      </c>
      <c r="F52" s="37">
        <f t="shared" si="14"/>
        <v>27.408924161450994</v>
      </c>
      <c r="G52" s="37">
        <f t="shared" si="14"/>
        <v>27.57575647625805</v>
      </c>
      <c r="H52" s="37">
        <f t="shared" si="14"/>
        <v>27.746594507375544</v>
      </c>
      <c r="I52" s="37">
        <f t="shared" si="14"/>
        <v>27.873726375507747</v>
      </c>
      <c r="J52" s="37">
        <f t="shared" si="14"/>
        <v>28.005683873416093</v>
      </c>
      <c r="K52" s="37">
        <f t="shared" si="14"/>
        <v>28.204504008625879</v>
      </c>
      <c r="L52" s="37">
        <f t="shared" si="14"/>
        <v>28.344606026501499</v>
      </c>
      <c r="M52" s="37">
        <f t="shared" si="14"/>
        <v>28.488998506677778</v>
      </c>
      <c r="N52" s="37">
        <f t="shared" si="14"/>
        <v>28.637803378750714</v>
      </c>
      <c r="O52" s="37">
        <f t="shared" si="14"/>
        <v>28.791147215487836</v>
      </c>
      <c r="P52" s="37">
        <f t="shared" si="14"/>
        <v>28.917554316482878</v>
      </c>
      <c r="Q52" s="37">
        <f t="shared" si="14"/>
        <v>29.080160944349764</v>
      </c>
      <c r="R52" s="37">
        <f t="shared" si="14"/>
        <v>29.184130221278028</v>
      </c>
      <c r="S52" s="37">
        <f t="shared" si="14"/>
        <v>29.292686786726758</v>
      </c>
      <c r="T52" s="37">
        <f t="shared" si="14"/>
        <v>29.437297850812303</v>
      </c>
      <c r="U52" s="37">
        <f t="shared" si="14"/>
        <v>29.522706711602225</v>
      </c>
      <c r="V52" s="37">
        <f t="shared" si="14"/>
        <v>29.643676429400916</v>
      </c>
      <c r="W52" s="37">
        <f t="shared" si="14"/>
        <v>29.768167190336836</v>
      </c>
      <c r="X52" s="37">
        <f t="shared" si="14"/>
        <v>29.864003163846469</v>
      </c>
      <c r="Y52" s="37">
        <f t="shared" si="14"/>
        <v>30.026368773552839</v>
      </c>
      <c r="Z52" s="37">
        <f t="shared" si="14"/>
        <v>30.127608058400508</v>
      </c>
      <c r="AA52" s="37">
        <f t="shared" si="14"/>
        <v>30.230946249483654</v>
      </c>
      <c r="AB52" s="37">
        <f t="shared" si="14"/>
        <v>30.336001278869269</v>
      </c>
    </row>
    <row r="53" spans="1:28" x14ac:dyDescent="0.25">
      <c r="A53" s="4" t="s">
        <v>220</v>
      </c>
      <c r="B53" s="37">
        <f t="shared" ref="B53:AB53" si="15">B33*B15*$F$9</f>
        <v>37.076880068503861</v>
      </c>
      <c r="C53" s="37">
        <f t="shared" si="15"/>
        <v>37.479889847607886</v>
      </c>
      <c r="D53" s="37">
        <f t="shared" si="15"/>
        <v>37.768922387370161</v>
      </c>
      <c r="E53" s="37">
        <f t="shared" si="15"/>
        <v>38.111609891703687</v>
      </c>
      <c r="F53" s="37">
        <f t="shared" si="15"/>
        <v>38.434905237267472</v>
      </c>
      <c r="G53" s="37">
        <f t="shared" si="15"/>
        <v>38.714389257747051</v>
      </c>
      <c r="H53" s="37">
        <f t="shared" si="15"/>
        <v>39.09824795401726</v>
      </c>
      <c r="I53" s="37">
        <f t="shared" si="15"/>
        <v>39.32214766324914</v>
      </c>
      <c r="J53" s="37">
        <f t="shared" si="15"/>
        <v>39.577526161158644</v>
      </c>
      <c r="K53" s="37">
        <f t="shared" si="15"/>
        <v>39.764560886951941</v>
      </c>
      <c r="L53" s="37">
        <f t="shared" si="15"/>
        <v>39.982116310606898</v>
      </c>
      <c r="M53" s="37">
        <f t="shared" si="15"/>
        <v>40.131657606126268</v>
      </c>
      <c r="N53" s="37">
        <f t="shared" si="15"/>
        <v>40.3367686183675</v>
      </c>
      <c r="O53" s="37">
        <f t="shared" si="15"/>
        <v>40.49878570794268</v>
      </c>
      <c r="P53" s="37">
        <f t="shared" si="15"/>
        <v>40.617675356820207</v>
      </c>
      <c r="Q53" s="37">
        <f t="shared" si="15"/>
        <v>40.693279300600615</v>
      </c>
      <c r="R53" s="37">
        <f t="shared" si="15"/>
        <v>40.775013730496681</v>
      </c>
      <c r="S53" s="37">
        <f t="shared" si="15"/>
        <v>40.793949852083635</v>
      </c>
      <c r="T53" s="37">
        <f t="shared" si="15"/>
        <v>40.719389240246038</v>
      </c>
      <c r="U53" s="37">
        <f t="shared" si="15"/>
        <v>40.700047886347676</v>
      </c>
      <c r="V53" s="37">
        <f t="shared" si="15"/>
        <v>40.635955126145902</v>
      </c>
      <c r="W53" s="37">
        <f t="shared" si="15"/>
        <v>40.576261951894764</v>
      </c>
      <c r="X53" s="37">
        <f t="shared" si="15"/>
        <v>40.570289024340106</v>
      </c>
      <c r="Y53" s="37">
        <f t="shared" si="15"/>
        <v>40.492935899072734</v>
      </c>
      <c r="Z53" s="37">
        <f t="shared" si="15"/>
        <v>40.49345400851518</v>
      </c>
      <c r="AA53" s="37">
        <f t="shared" si="15"/>
        <v>40.421313528636105</v>
      </c>
      <c r="AB53" s="37">
        <f t="shared" si="15"/>
        <v>40.426141215981055</v>
      </c>
    </row>
    <row r="54" spans="1:28" x14ac:dyDescent="0.25">
      <c r="A54" s="4" t="s">
        <v>221</v>
      </c>
      <c r="B54" s="37">
        <f t="shared" ref="B54:AB54" si="16">B34*B15*$F$10</f>
        <v>59.819712107590881</v>
      </c>
      <c r="C54" s="37">
        <f t="shared" si="16"/>
        <v>60.206219112572413</v>
      </c>
      <c r="D54" s="37">
        <f t="shared" si="16"/>
        <v>60.558103065598033</v>
      </c>
      <c r="E54" s="37">
        <f t="shared" si="16"/>
        <v>60.932694953857037</v>
      </c>
      <c r="F54" s="37">
        <f t="shared" si="16"/>
        <v>61.362119183765579</v>
      </c>
      <c r="G54" s="37">
        <f t="shared" si="16"/>
        <v>61.737159823855237</v>
      </c>
      <c r="H54" s="37">
        <f t="shared" si="16"/>
        <v>62.10545444832254</v>
      </c>
      <c r="I54" s="37">
        <f t="shared" si="16"/>
        <v>62.360177636537848</v>
      </c>
      <c r="J54" s="37">
        <f t="shared" si="16"/>
        <v>62.594242244909054</v>
      </c>
      <c r="K54" s="37">
        <f t="shared" si="16"/>
        <v>62.805700596718701</v>
      </c>
      <c r="L54" s="37">
        <f t="shared" si="16"/>
        <v>62.97909981394622</v>
      </c>
      <c r="M54" s="37">
        <f t="shared" si="16"/>
        <v>63.114630884085457</v>
      </c>
      <c r="N54" s="37">
        <f t="shared" si="16"/>
        <v>63.212390202678847</v>
      </c>
      <c r="O54" s="37">
        <f t="shared" si="16"/>
        <v>63.272440366410393</v>
      </c>
      <c r="P54" s="37">
        <f t="shared" si="16"/>
        <v>63.247350519729956</v>
      </c>
      <c r="Q54" s="37">
        <f t="shared" si="16"/>
        <v>63.184155985250868</v>
      </c>
      <c r="R54" s="37">
        <f t="shared" si="16"/>
        <v>63.034997736709919</v>
      </c>
      <c r="S54" s="37">
        <f t="shared" si="16"/>
        <v>62.82665179511649</v>
      </c>
      <c r="T54" s="37">
        <f t="shared" si="16"/>
        <v>62.563795109544337</v>
      </c>
      <c r="U54" s="37">
        <f t="shared" si="16"/>
        <v>62.24568066837454</v>
      </c>
      <c r="V54" s="37">
        <f t="shared" si="16"/>
        <v>61.934818435448868</v>
      </c>
      <c r="W54" s="37">
        <f t="shared" si="16"/>
        <v>61.550804371058817</v>
      </c>
      <c r="X54" s="37">
        <f t="shared" si="16"/>
        <v>61.25152285179017</v>
      </c>
      <c r="Y54" s="37">
        <f t="shared" si="16"/>
        <v>60.94103385013301</v>
      </c>
      <c r="Z54" s="37">
        <f t="shared" si="16"/>
        <v>60.634344565660669</v>
      </c>
      <c r="AA54" s="37">
        <f t="shared" si="16"/>
        <v>60.346541378195724</v>
      </c>
      <c r="AB54" s="37">
        <f t="shared" si="16"/>
        <v>60.092825956227017</v>
      </c>
    </row>
    <row r="55" spans="1:28" x14ac:dyDescent="0.25">
      <c r="A55" s="4" t="s">
        <v>222</v>
      </c>
      <c r="B55" s="37">
        <f t="shared" ref="B55:AB55" si="17">B35*B15*$F$11</f>
        <v>376.40513486906696</v>
      </c>
      <c r="C55" s="37">
        <f t="shared" si="17"/>
        <v>373.57204169605075</v>
      </c>
      <c r="D55" s="37">
        <f t="shared" si="17"/>
        <v>370.22540236158704</v>
      </c>
      <c r="E55" s="37">
        <f t="shared" si="17"/>
        <v>366.85060166289446</v>
      </c>
      <c r="F55" s="37">
        <f t="shared" si="17"/>
        <v>363.30511344024711</v>
      </c>
      <c r="G55" s="37">
        <f t="shared" si="17"/>
        <v>359.84965901639509</v>
      </c>
      <c r="H55" s="37">
        <f t="shared" si="17"/>
        <v>356.37062894339783</v>
      </c>
      <c r="I55" s="37">
        <f t="shared" si="17"/>
        <v>352.29160617756122</v>
      </c>
      <c r="J55" s="37">
        <f t="shared" si="17"/>
        <v>348.21387660095473</v>
      </c>
      <c r="K55" s="37">
        <f t="shared" si="17"/>
        <v>344.09500365517783</v>
      </c>
      <c r="L55" s="37">
        <f t="shared" si="17"/>
        <v>339.99259312788979</v>
      </c>
      <c r="M55" s="37">
        <f t="shared" si="17"/>
        <v>335.87672952447934</v>
      </c>
      <c r="N55" s="37">
        <f t="shared" si="17"/>
        <v>331.80443801941362</v>
      </c>
      <c r="O55" s="37">
        <f t="shared" si="17"/>
        <v>327.65794343162077</v>
      </c>
      <c r="P55" s="37">
        <f t="shared" si="17"/>
        <v>323.52288746338576</v>
      </c>
      <c r="Q55" s="37">
        <f t="shared" si="17"/>
        <v>319.39690202936993</v>
      </c>
      <c r="R55" s="37">
        <f t="shared" si="17"/>
        <v>315.30652345355139</v>
      </c>
      <c r="S55" s="37">
        <f t="shared" si="17"/>
        <v>310.82599770520108</v>
      </c>
      <c r="T55" s="37">
        <f t="shared" si="17"/>
        <v>306.44436761295208</v>
      </c>
      <c r="U55" s="37">
        <f t="shared" si="17"/>
        <v>302.21596798932001</v>
      </c>
      <c r="V55" s="37">
        <f t="shared" si="17"/>
        <v>298.07713136115581</v>
      </c>
      <c r="W55" s="37">
        <f t="shared" si="17"/>
        <v>294.16940315831135</v>
      </c>
      <c r="X55" s="37">
        <f t="shared" si="17"/>
        <v>290.34099126076705</v>
      </c>
      <c r="Y55" s="37">
        <f t="shared" si="17"/>
        <v>286.6767448544187</v>
      </c>
      <c r="Z55" s="37">
        <f t="shared" si="17"/>
        <v>283.1429636904403</v>
      </c>
      <c r="AA55" s="37">
        <f t="shared" si="17"/>
        <v>279.70598458181951</v>
      </c>
      <c r="AB55" s="37">
        <f t="shared" si="17"/>
        <v>276.39139018647165</v>
      </c>
    </row>
    <row r="57" spans="1:28" x14ac:dyDescent="0.25">
      <c r="A57" s="4" t="s">
        <v>327</v>
      </c>
    </row>
    <row r="58" spans="1:28" x14ac:dyDescent="0.25">
      <c r="A58" s="4" t="s">
        <v>215</v>
      </c>
      <c r="B58" s="37">
        <f t="shared" ref="B58:AB58" si="18">B38*B15*$F$4</f>
        <v>38958.061020455367</v>
      </c>
      <c r="C58" s="37">
        <f t="shared" si="18"/>
        <v>39758.367778254797</v>
      </c>
      <c r="D58" s="37">
        <f t="shared" si="18"/>
        <v>40511.162637569309</v>
      </c>
      <c r="E58" s="37">
        <f t="shared" si="18"/>
        <v>41267.062860773593</v>
      </c>
      <c r="F58" s="37">
        <f t="shared" si="18"/>
        <v>42029.62774497136</v>
      </c>
      <c r="G58" s="37">
        <f t="shared" si="18"/>
        <v>42800.139309492261</v>
      </c>
      <c r="H58" s="37">
        <f t="shared" si="18"/>
        <v>43575.712017432343</v>
      </c>
      <c r="I58" s="37">
        <f t="shared" si="18"/>
        <v>44277.414641120922</v>
      </c>
      <c r="J58" s="37">
        <f t="shared" si="18"/>
        <v>44973.71616375506</v>
      </c>
      <c r="K58" s="37">
        <f t="shared" si="18"/>
        <v>45663.847453860843</v>
      </c>
      <c r="L58" s="37">
        <f t="shared" si="18"/>
        <v>46343.952561906866</v>
      </c>
      <c r="M58" s="37">
        <f t="shared" si="18"/>
        <v>47013.249929038124</v>
      </c>
      <c r="N58" s="37">
        <f t="shared" si="18"/>
        <v>47666.917278981091</v>
      </c>
      <c r="O58" s="37">
        <f t="shared" si="18"/>
        <v>48303.12238856616</v>
      </c>
      <c r="P58" s="37">
        <f t="shared" si="18"/>
        <v>48915.609194602715</v>
      </c>
      <c r="Q58" s="37">
        <f t="shared" si="18"/>
        <v>49503.298316040149</v>
      </c>
      <c r="R58" s="37">
        <f t="shared" si="18"/>
        <v>50058.567397535255</v>
      </c>
      <c r="S58" s="37">
        <f t="shared" si="18"/>
        <v>50527.275909553166</v>
      </c>
      <c r="T58" s="37">
        <f t="shared" si="18"/>
        <v>50960.378850075831</v>
      </c>
      <c r="U58" s="37">
        <f t="shared" si="18"/>
        <v>51360.43187502119</v>
      </c>
      <c r="V58" s="37">
        <f t="shared" si="18"/>
        <v>51714.875595365338</v>
      </c>
      <c r="W58" s="37">
        <f t="shared" si="18"/>
        <v>52026.473013809409</v>
      </c>
      <c r="X58" s="37">
        <f t="shared" si="18"/>
        <v>52292.060159324988</v>
      </c>
      <c r="Y58" s="37">
        <f t="shared" si="18"/>
        <v>52532.923396356658</v>
      </c>
      <c r="Z58" s="37">
        <f t="shared" si="18"/>
        <v>52729.613952499727</v>
      </c>
      <c r="AA58" s="37">
        <f t="shared" si="18"/>
        <v>52885.032026974208</v>
      </c>
      <c r="AB58" s="37">
        <f t="shared" si="18"/>
        <v>53003.635702477884</v>
      </c>
    </row>
    <row r="59" spans="1:28" x14ac:dyDescent="0.25">
      <c r="A59" s="4" t="s">
        <v>216</v>
      </c>
      <c r="B59" s="37">
        <f t="shared" ref="B59:AB59" si="19">B39*B15*$F$5</f>
        <v>36902.659986068167</v>
      </c>
      <c r="C59" s="37">
        <f t="shared" si="19"/>
        <v>37563.198578591553</v>
      </c>
      <c r="D59" s="37">
        <f t="shared" si="19"/>
        <v>38181.23442712667</v>
      </c>
      <c r="E59" s="37">
        <f t="shared" si="19"/>
        <v>38821.613986545286</v>
      </c>
      <c r="F59" s="37">
        <f t="shared" si="19"/>
        <v>39495.480039068287</v>
      </c>
      <c r="G59" s="37">
        <f t="shared" si="19"/>
        <v>40205.146894238867</v>
      </c>
      <c r="H59" s="37">
        <f t="shared" si="19"/>
        <v>40954.579144005169</v>
      </c>
      <c r="I59" s="37">
        <f t="shared" si="19"/>
        <v>41668.282911102011</v>
      </c>
      <c r="J59" s="37">
        <f t="shared" si="19"/>
        <v>42414.530732377294</v>
      </c>
      <c r="K59" s="37">
        <f t="shared" si="19"/>
        <v>43182.61570594665</v>
      </c>
      <c r="L59" s="37">
        <f t="shared" si="19"/>
        <v>43971.759985567485</v>
      </c>
      <c r="M59" s="37">
        <f t="shared" si="19"/>
        <v>44779.397657074282</v>
      </c>
      <c r="N59" s="37">
        <f t="shared" si="19"/>
        <v>45596.065576881207</v>
      </c>
      <c r="O59" s="37">
        <f t="shared" si="19"/>
        <v>46412.712201930393</v>
      </c>
      <c r="P59" s="37">
        <f t="shared" si="19"/>
        <v>47227.348478119915</v>
      </c>
      <c r="Q59" s="37">
        <f t="shared" si="19"/>
        <v>48026.974518042334</v>
      </c>
      <c r="R59" s="37">
        <f t="shared" si="19"/>
        <v>48807.894134318296</v>
      </c>
      <c r="S59" s="37">
        <f t="shared" si="19"/>
        <v>49507.823545755338</v>
      </c>
      <c r="T59" s="37">
        <f t="shared" si="19"/>
        <v>50175.273015183207</v>
      </c>
      <c r="U59" s="37">
        <f t="shared" si="19"/>
        <v>50805.482443663343</v>
      </c>
      <c r="V59" s="37">
        <f t="shared" si="19"/>
        <v>51386.769919083366</v>
      </c>
      <c r="W59" s="37">
        <f t="shared" si="19"/>
        <v>51908.523727262931</v>
      </c>
      <c r="X59" s="37">
        <f t="shared" si="19"/>
        <v>52373.171889161393</v>
      </c>
      <c r="Y59" s="37">
        <f t="shared" si="19"/>
        <v>52804.806706733645</v>
      </c>
      <c r="Z59" s="37">
        <f t="shared" si="19"/>
        <v>53180.421647341318</v>
      </c>
      <c r="AA59" s="37">
        <f t="shared" si="19"/>
        <v>53491.412666685246</v>
      </c>
      <c r="AB59" s="37">
        <f t="shared" si="19"/>
        <v>53738.235311324221</v>
      </c>
    </row>
    <row r="60" spans="1:28" x14ac:dyDescent="0.25">
      <c r="A60" s="4" t="s">
        <v>217</v>
      </c>
      <c r="B60" s="37">
        <f t="shared" ref="B60:AB60" si="20">B40*B15*$F$6</f>
        <v>55558.387364329676</v>
      </c>
      <c r="C60" s="37">
        <f t="shared" si="20"/>
        <v>56617.121061142527</v>
      </c>
      <c r="D60" s="37">
        <f t="shared" si="20"/>
        <v>57605.227003864704</v>
      </c>
      <c r="E60" s="37">
        <f t="shared" si="20"/>
        <v>58606.388292812349</v>
      </c>
      <c r="F60" s="37">
        <f t="shared" si="20"/>
        <v>59632.737063361921</v>
      </c>
      <c r="G60" s="37">
        <f t="shared" si="20"/>
        <v>60684.719397656983</v>
      </c>
      <c r="H60" s="37">
        <f t="shared" si="20"/>
        <v>61764.776276043063</v>
      </c>
      <c r="I60" s="37">
        <f t="shared" si="20"/>
        <v>62758.842747878232</v>
      </c>
      <c r="J60" s="37">
        <f t="shared" si="20"/>
        <v>63767.701784637684</v>
      </c>
      <c r="K60" s="37">
        <f t="shared" si="20"/>
        <v>64780.189791639867</v>
      </c>
      <c r="L60" s="37">
        <f t="shared" si="20"/>
        <v>65792.964541051391</v>
      </c>
      <c r="M60" s="37">
        <f t="shared" si="20"/>
        <v>66803.553905419249</v>
      </c>
      <c r="N60" s="37">
        <f t="shared" si="20"/>
        <v>67799.899794719109</v>
      </c>
      <c r="O60" s="37">
        <f t="shared" si="20"/>
        <v>68775.279206943058</v>
      </c>
      <c r="P60" s="37">
        <f t="shared" si="20"/>
        <v>69720.79823503262</v>
      </c>
      <c r="Q60" s="37">
        <f t="shared" si="20"/>
        <v>70626.990932399</v>
      </c>
      <c r="R60" s="37">
        <f t="shared" si="20"/>
        <v>71484.674418785973</v>
      </c>
      <c r="S60" s="37">
        <f t="shared" si="20"/>
        <v>72209.673842477248</v>
      </c>
      <c r="T60" s="37">
        <f t="shared" si="20"/>
        <v>72874.313256546462</v>
      </c>
      <c r="U60" s="37">
        <f t="shared" si="20"/>
        <v>73478.142896507488</v>
      </c>
      <c r="V60" s="37">
        <f t="shared" si="20"/>
        <v>74001.178358628051</v>
      </c>
      <c r="W60" s="37">
        <f t="shared" si="20"/>
        <v>74437.328558265857</v>
      </c>
      <c r="X60" s="37">
        <f t="shared" si="20"/>
        <v>74787.601188935092</v>
      </c>
      <c r="Y60" s="37">
        <f t="shared" si="20"/>
        <v>75089.647438385218</v>
      </c>
      <c r="Z60" s="37">
        <f t="shared" si="20"/>
        <v>75309.37705543323</v>
      </c>
      <c r="AA60" s="37">
        <f t="shared" si="20"/>
        <v>75441.5098786749</v>
      </c>
      <c r="AB60" s="37">
        <f t="shared" si="20"/>
        <v>75491.836730483046</v>
      </c>
    </row>
    <row r="61" spans="1:28" x14ac:dyDescent="0.25">
      <c r="A61" s="4" t="s">
        <v>218</v>
      </c>
      <c r="B61" s="37">
        <f t="shared" ref="B61:AB61" si="21">B41*B15*$F$7</f>
        <v>13857.745574146507</v>
      </c>
      <c r="C61" s="37">
        <f t="shared" si="21"/>
        <v>14098.959124641802</v>
      </c>
      <c r="D61" s="37">
        <f t="shared" si="21"/>
        <v>14324.805518043227</v>
      </c>
      <c r="E61" s="37">
        <f t="shared" si="21"/>
        <v>14553.248820772385</v>
      </c>
      <c r="F61" s="37">
        <f t="shared" si="21"/>
        <v>14789.097431904194</v>
      </c>
      <c r="G61" s="37">
        <f t="shared" si="21"/>
        <v>15032.834486915093</v>
      </c>
      <c r="H61" s="37">
        <f t="shared" si="21"/>
        <v>15284.186405974688</v>
      </c>
      <c r="I61" s="37">
        <f t="shared" si="21"/>
        <v>15517.142920660304</v>
      </c>
      <c r="J61" s="37">
        <f t="shared" si="21"/>
        <v>15757.047003563888</v>
      </c>
      <c r="K61" s="37">
        <f t="shared" si="21"/>
        <v>16002.961771119264</v>
      </c>
      <c r="L61" s="37">
        <f t="shared" si="21"/>
        <v>16254.975936670791</v>
      </c>
      <c r="M61" s="37">
        <f t="shared" si="21"/>
        <v>16512.322603551751</v>
      </c>
      <c r="N61" s="37">
        <f t="shared" si="21"/>
        <v>16775.852184858621</v>
      </c>
      <c r="O61" s="37">
        <f t="shared" si="21"/>
        <v>17041.37912975259</v>
      </c>
      <c r="P61" s="37">
        <f t="shared" si="21"/>
        <v>17310.822656980672</v>
      </c>
      <c r="Q61" s="37">
        <f t="shared" si="21"/>
        <v>17580.70823264353</v>
      </c>
      <c r="R61" s="37">
        <f t="shared" si="21"/>
        <v>17850.637846679394</v>
      </c>
      <c r="S61" s="37">
        <f t="shared" si="21"/>
        <v>18101.192117899893</v>
      </c>
      <c r="T61" s="37">
        <f t="shared" si="21"/>
        <v>18347.9346711406</v>
      </c>
      <c r="U61" s="37">
        <f t="shared" si="21"/>
        <v>18591.119144995551</v>
      </c>
      <c r="V61" s="37">
        <f t="shared" si="21"/>
        <v>18828.541223603297</v>
      </c>
      <c r="W61" s="37">
        <f t="shared" si="21"/>
        <v>19056.650835850909</v>
      </c>
      <c r="X61" s="37">
        <f t="shared" si="21"/>
        <v>19274.088288672443</v>
      </c>
      <c r="Y61" s="37">
        <f t="shared" si="21"/>
        <v>19485.641446924823</v>
      </c>
      <c r="Z61" s="37">
        <f t="shared" si="21"/>
        <v>19685.860970823273</v>
      </c>
      <c r="AA61" s="37">
        <f t="shared" si="21"/>
        <v>19874.476531111461</v>
      </c>
      <c r="AB61" s="37">
        <f t="shared" si="21"/>
        <v>20049.318101748329</v>
      </c>
    </row>
    <row r="62" spans="1:28" x14ac:dyDescent="0.25">
      <c r="A62" s="4" t="s">
        <v>219</v>
      </c>
      <c r="B62" s="37">
        <f t="shared" ref="B62:AB62" si="22">B42*B15*$F$8</f>
        <v>3793.6958264051163</v>
      </c>
      <c r="C62" s="37">
        <f t="shared" si="22"/>
        <v>3891.8944353362067</v>
      </c>
      <c r="D62" s="37">
        <f t="shared" si="22"/>
        <v>3988.8058351586442</v>
      </c>
      <c r="E62" s="37">
        <f t="shared" si="22"/>
        <v>4092.2124613729866</v>
      </c>
      <c r="F62" s="37">
        <f t="shared" si="22"/>
        <v>4203.3699604306121</v>
      </c>
      <c r="G62" s="37">
        <f t="shared" si="22"/>
        <v>4322.2723825630601</v>
      </c>
      <c r="H62" s="37">
        <f t="shared" si="22"/>
        <v>4449.2905504901764</v>
      </c>
      <c r="I62" s="37">
        <f t="shared" si="22"/>
        <v>4576.6647526522802</v>
      </c>
      <c r="J62" s="37">
        <f t="shared" si="22"/>
        <v>4709.6067888408234</v>
      </c>
      <c r="K62" s="37">
        <f t="shared" si="22"/>
        <v>4847.2128528001649</v>
      </c>
      <c r="L62" s="37">
        <f t="shared" si="22"/>
        <v>4990.7584171612398</v>
      </c>
      <c r="M62" s="37">
        <f t="shared" si="22"/>
        <v>5139.3208919355884</v>
      </c>
      <c r="N62" s="37">
        <f t="shared" si="22"/>
        <v>5292.2912681804846</v>
      </c>
      <c r="O62" s="37">
        <f t="shared" si="22"/>
        <v>5448.7797961911247</v>
      </c>
      <c r="P62" s="37">
        <f t="shared" si="22"/>
        <v>5608.3323601282746</v>
      </c>
      <c r="Q62" s="37">
        <f t="shared" si="22"/>
        <v>5769.9148466766856</v>
      </c>
      <c r="R62" s="37">
        <f t="shared" si="22"/>
        <v>5933.0197229350679</v>
      </c>
      <c r="S62" s="37">
        <f t="shared" si="22"/>
        <v>6090.092087923239</v>
      </c>
      <c r="T62" s="37">
        <f t="shared" si="22"/>
        <v>6247.4881796144837</v>
      </c>
      <c r="U62" s="37">
        <f t="shared" si="22"/>
        <v>6403.858785801528</v>
      </c>
      <c r="V62" s="37">
        <f t="shared" si="22"/>
        <v>6559.4092626774263</v>
      </c>
      <c r="W62" s="37">
        <f t="shared" si="22"/>
        <v>6713.690675913278</v>
      </c>
      <c r="X62" s="37">
        <f t="shared" si="22"/>
        <v>6867.2577413742119</v>
      </c>
      <c r="Y62" s="37">
        <f t="shared" si="22"/>
        <v>7019.6428215388523</v>
      </c>
      <c r="Z62" s="37">
        <f t="shared" si="22"/>
        <v>7171.0402203006179</v>
      </c>
      <c r="AA62" s="37">
        <f t="shared" si="22"/>
        <v>7321.3478010431136</v>
      </c>
      <c r="AB62" s="37">
        <f t="shared" si="22"/>
        <v>7470.0085593796484</v>
      </c>
    </row>
    <row r="63" spans="1:28" x14ac:dyDescent="0.25">
      <c r="A63" s="4" t="s">
        <v>220</v>
      </c>
      <c r="B63" s="37">
        <f t="shared" ref="B63:AB63" si="23">B43*B15*$F$9</f>
        <v>1634.8266229414817</v>
      </c>
      <c r="C63" s="37">
        <f t="shared" si="23"/>
        <v>1674.7953652151525</v>
      </c>
      <c r="D63" s="37">
        <f t="shared" si="23"/>
        <v>1714.454179051869</v>
      </c>
      <c r="E63" s="37">
        <f t="shared" si="23"/>
        <v>1757.5513697514714</v>
      </c>
      <c r="F63" s="37">
        <f t="shared" si="23"/>
        <v>1801.2061249140149</v>
      </c>
      <c r="G63" s="37">
        <f t="shared" si="23"/>
        <v>1848.0029445691005</v>
      </c>
      <c r="H63" s="37">
        <f t="shared" si="23"/>
        <v>1896.2896778807792</v>
      </c>
      <c r="I63" s="37">
        <f t="shared" si="23"/>
        <v>1942.3661742598179</v>
      </c>
      <c r="J63" s="37">
        <f t="shared" si="23"/>
        <v>1989.5536095082634</v>
      </c>
      <c r="K63" s="37">
        <f t="shared" si="23"/>
        <v>2040.0058441625549</v>
      </c>
      <c r="L63" s="37">
        <f t="shared" si="23"/>
        <v>2091.7804122873381</v>
      </c>
      <c r="M63" s="37">
        <f t="shared" si="23"/>
        <v>2145.5248530398926</v>
      </c>
      <c r="N63" s="37">
        <f t="shared" si="23"/>
        <v>2200.3064661231183</v>
      </c>
      <c r="O63" s="37">
        <f t="shared" si="23"/>
        <v>2256.3043702723207</v>
      </c>
      <c r="P63" s="37">
        <f t="shared" si="23"/>
        <v>2314.1177528291787</v>
      </c>
      <c r="Q63" s="37">
        <f t="shared" si="23"/>
        <v>2373.4522537593452</v>
      </c>
      <c r="R63" s="37">
        <f t="shared" si="23"/>
        <v>2433.8610662239403</v>
      </c>
      <c r="S63" s="37">
        <f t="shared" si="23"/>
        <v>2491.9339537232308</v>
      </c>
      <c r="T63" s="37">
        <f t="shared" si="23"/>
        <v>2550.9280383930686</v>
      </c>
      <c r="U63" s="37">
        <f t="shared" si="23"/>
        <v>2610.1766651806838</v>
      </c>
      <c r="V63" s="37">
        <f t="shared" si="23"/>
        <v>2668.9257095964017</v>
      </c>
      <c r="W63" s="37">
        <f t="shared" si="23"/>
        <v>2728.8034642525786</v>
      </c>
      <c r="X63" s="37">
        <f t="shared" si="23"/>
        <v>2788.4962675714792</v>
      </c>
      <c r="Y63" s="37">
        <f t="shared" si="23"/>
        <v>2848.794198520699</v>
      </c>
      <c r="Z63" s="37">
        <f t="shared" si="23"/>
        <v>2908.6005312564789</v>
      </c>
      <c r="AA63" s="37">
        <f t="shared" si="23"/>
        <v>2968.3369049988023</v>
      </c>
      <c r="AB63" s="37">
        <f t="shared" si="23"/>
        <v>3028.4496360061239</v>
      </c>
    </row>
    <row r="64" spans="1:28" x14ac:dyDescent="0.25">
      <c r="A64" s="4" t="s">
        <v>221</v>
      </c>
      <c r="B64" s="37">
        <f t="shared" ref="B64:AB64" si="24">B44*B15*$F$10</f>
        <v>3894.9002345710501</v>
      </c>
      <c r="C64" s="37">
        <f t="shared" si="24"/>
        <v>4041.4653835149111</v>
      </c>
      <c r="D64" s="37">
        <f t="shared" si="24"/>
        <v>4186.6668740553596</v>
      </c>
      <c r="E64" s="37">
        <f t="shared" si="24"/>
        <v>4335.9230034781876</v>
      </c>
      <c r="F64" s="37">
        <f t="shared" si="24"/>
        <v>4489.3222124692684</v>
      </c>
      <c r="G64" s="37">
        <f t="shared" si="24"/>
        <v>4647.4553784635955</v>
      </c>
      <c r="H64" s="37">
        <f t="shared" si="24"/>
        <v>4811.8916277334711</v>
      </c>
      <c r="I64" s="37">
        <f t="shared" si="24"/>
        <v>4974.1634205128312</v>
      </c>
      <c r="J64" s="37">
        <f t="shared" si="24"/>
        <v>5141.1240774356656</v>
      </c>
      <c r="K64" s="37">
        <f t="shared" si="24"/>
        <v>5313.9945743050885</v>
      </c>
      <c r="L64" s="37">
        <f t="shared" si="24"/>
        <v>5493.7225854195394</v>
      </c>
      <c r="M64" s="37">
        <f t="shared" si="24"/>
        <v>5679.0097650059697</v>
      </c>
      <c r="N64" s="37">
        <f t="shared" si="24"/>
        <v>5871.3767220042428</v>
      </c>
      <c r="O64" s="37">
        <f t="shared" si="24"/>
        <v>6069.8950981873822</v>
      </c>
      <c r="P64" s="37">
        <f t="shared" si="24"/>
        <v>6274.3424688248169</v>
      </c>
      <c r="Q64" s="37">
        <f t="shared" si="24"/>
        <v>6485.0408827524579</v>
      </c>
      <c r="R64" s="37">
        <f t="shared" si="24"/>
        <v>6700.7263469492736</v>
      </c>
      <c r="S64" s="37">
        <f t="shared" si="24"/>
        <v>6913.9732297736209</v>
      </c>
      <c r="T64" s="37">
        <f t="shared" si="24"/>
        <v>7131.7020074173815</v>
      </c>
      <c r="U64" s="37">
        <f t="shared" si="24"/>
        <v>7353.4610613444738</v>
      </c>
      <c r="V64" s="37">
        <f t="shared" si="24"/>
        <v>7578.2910382116797</v>
      </c>
      <c r="W64" s="37">
        <f t="shared" si="24"/>
        <v>7805.1600826113463</v>
      </c>
      <c r="X64" s="37">
        <f t="shared" si="24"/>
        <v>8035.0224961571994</v>
      </c>
      <c r="Y64" s="37">
        <f t="shared" si="24"/>
        <v>8266.2705594106319</v>
      </c>
      <c r="Z64" s="37">
        <f t="shared" si="24"/>
        <v>8498.7916951888383</v>
      </c>
      <c r="AA64" s="37">
        <f t="shared" si="24"/>
        <v>8730.6706062872636</v>
      </c>
      <c r="AB64" s="37">
        <f t="shared" si="24"/>
        <v>8961.6504905466372</v>
      </c>
    </row>
    <row r="65" spans="1:28" x14ac:dyDescent="0.25">
      <c r="A65" s="4" t="s">
        <v>222</v>
      </c>
      <c r="B65" s="37">
        <f t="shared" ref="B65:AB65" si="25">B45*B15*$F$11</f>
        <v>76138.000757239482</v>
      </c>
      <c r="C65" s="37">
        <f t="shared" si="25"/>
        <v>77472.337265913375</v>
      </c>
      <c r="D65" s="37">
        <f t="shared" si="25"/>
        <v>78710.296112126525</v>
      </c>
      <c r="E65" s="37">
        <f t="shared" si="25"/>
        <v>79968.629301615554</v>
      </c>
      <c r="F65" s="37">
        <f t="shared" si="25"/>
        <v>81263.289441598274</v>
      </c>
      <c r="G65" s="37">
        <f t="shared" si="25"/>
        <v>82597.13006522895</v>
      </c>
      <c r="H65" s="37">
        <f t="shared" si="25"/>
        <v>83968.405589535512</v>
      </c>
      <c r="I65" s="37">
        <f t="shared" si="25"/>
        <v>85223.126022538563</v>
      </c>
      <c r="J65" s="37">
        <f t="shared" si="25"/>
        <v>86498.82664662438</v>
      </c>
      <c r="K65" s="37">
        <f t="shared" si="25"/>
        <v>87780.688255425397</v>
      </c>
      <c r="L65" s="37">
        <f t="shared" si="25"/>
        <v>89061.855422920111</v>
      </c>
      <c r="M65" s="37">
        <f t="shared" si="25"/>
        <v>90341.059120476333</v>
      </c>
      <c r="N65" s="37">
        <f t="shared" si="25"/>
        <v>91599.816948818552</v>
      </c>
      <c r="O65" s="37">
        <f t="shared" si="25"/>
        <v>92827.921606012751</v>
      </c>
      <c r="P65" s="37">
        <f t="shared" si="25"/>
        <v>94016.708645200357</v>
      </c>
      <c r="Q65" s="37">
        <f t="shared" si="25"/>
        <v>95150.169839520226</v>
      </c>
      <c r="R65" s="37">
        <f t="shared" si="25"/>
        <v>96218.191702796976</v>
      </c>
      <c r="S65" s="37">
        <f t="shared" si="25"/>
        <v>97106.651068071733</v>
      </c>
      <c r="T65" s="37">
        <f t="shared" si="25"/>
        <v>97912.022900629614</v>
      </c>
      <c r="U65" s="37">
        <f t="shared" si="25"/>
        <v>98632.752807633384</v>
      </c>
      <c r="V65" s="37">
        <f t="shared" si="25"/>
        <v>99243.982570630164</v>
      </c>
      <c r="W65" s="37">
        <f t="shared" si="25"/>
        <v>99739.057164573489</v>
      </c>
      <c r="X65" s="37">
        <f t="shared" si="25"/>
        <v>100115.37943011553</v>
      </c>
      <c r="Y65" s="37">
        <f t="shared" si="25"/>
        <v>100425.75522377083</v>
      </c>
      <c r="Z65" s="37">
        <f t="shared" si="25"/>
        <v>100623.77333240554</v>
      </c>
      <c r="AA65" s="37">
        <f t="shared" si="25"/>
        <v>100706.75966902405</v>
      </c>
      <c r="AB65" s="37">
        <f t="shared" si="25"/>
        <v>100680.60395371393</v>
      </c>
    </row>
    <row r="67" spans="1:28" x14ac:dyDescent="0.25">
      <c r="A67" s="4" t="s">
        <v>328</v>
      </c>
    </row>
    <row r="68" spans="1:28" x14ac:dyDescent="0.25">
      <c r="A68" s="4" t="s">
        <v>329</v>
      </c>
      <c r="B68" s="40">
        <f t="shared" ref="B68:AB68" si="26">B48+B49</f>
        <v>443.14909850002607</v>
      </c>
      <c r="C68" s="40">
        <f t="shared" si="26"/>
        <v>441.2230580467259</v>
      </c>
      <c r="D68" s="40">
        <f t="shared" si="26"/>
        <v>438.77155685692981</v>
      </c>
      <c r="E68" s="40">
        <f t="shared" si="26"/>
        <v>436.33251642497635</v>
      </c>
      <c r="F68" s="40">
        <f t="shared" si="26"/>
        <v>433.8303509489017</v>
      </c>
      <c r="G68" s="40">
        <f t="shared" si="26"/>
        <v>431.31882393305159</v>
      </c>
      <c r="H68" s="40">
        <f t="shared" si="26"/>
        <v>428.77457297235628</v>
      </c>
      <c r="I68" s="40">
        <f t="shared" si="26"/>
        <v>425.4924053361708</v>
      </c>
      <c r="J68" s="40">
        <f t="shared" si="26"/>
        <v>422.17767772809839</v>
      </c>
      <c r="K68" s="40">
        <f t="shared" si="26"/>
        <v>418.7866832045944</v>
      </c>
      <c r="L68" s="40">
        <f t="shared" si="26"/>
        <v>415.3474507571417</v>
      </c>
      <c r="M68" s="40">
        <f t="shared" si="26"/>
        <v>411.83147631144061</v>
      </c>
      <c r="N68" s="40">
        <f t="shared" si="26"/>
        <v>408.2908367128428</v>
      </c>
      <c r="O68" s="40">
        <f t="shared" si="26"/>
        <v>404.62096843199527</v>
      </c>
      <c r="P68" s="40">
        <f t="shared" si="26"/>
        <v>400.81682587659122</v>
      </c>
      <c r="Q68" s="40">
        <f t="shared" si="26"/>
        <v>396.95764817876966</v>
      </c>
      <c r="R68" s="40">
        <f t="shared" si="26"/>
        <v>392.98577239339943</v>
      </c>
      <c r="S68" s="40">
        <f t="shared" si="26"/>
        <v>388.5595677855178</v>
      </c>
      <c r="T68" s="40">
        <f t="shared" si="26"/>
        <v>384.13142567242909</v>
      </c>
      <c r="U68" s="40">
        <f t="shared" si="26"/>
        <v>379.74977086079605</v>
      </c>
      <c r="V68" s="40">
        <f t="shared" si="26"/>
        <v>375.46206013039421</v>
      </c>
      <c r="W68" s="40">
        <f t="shared" si="26"/>
        <v>371.2616272915127</v>
      </c>
      <c r="X68" s="40">
        <f t="shared" si="26"/>
        <v>367.27503295874936</v>
      </c>
      <c r="Y68" s="40">
        <f t="shared" si="26"/>
        <v>363.41945490997432</v>
      </c>
      <c r="Z68" s="40">
        <f t="shared" si="26"/>
        <v>359.68839763826622</v>
      </c>
      <c r="AA68" s="40">
        <f t="shared" si="26"/>
        <v>356.07746577338179</v>
      </c>
      <c r="AB68" s="40">
        <f t="shared" si="26"/>
        <v>352.6359676506595</v>
      </c>
    </row>
    <row r="69" spans="1:28" x14ac:dyDescent="0.25">
      <c r="A69" s="4" t="s">
        <v>330</v>
      </c>
      <c r="B69" s="40">
        <f t="shared" ref="B69:AB69" si="27">B50+B51+B52+B53</f>
        <v>476.76548003698207</v>
      </c>
      <c r="C69" s="40">
        <f t="shared" si="27"/>
        <v>474.30376510214268</v>
      </c>
      <c r="D69" s="40">
        <f t="shared" si="27"/>
        <v>471.29270204344289</v>
      </c>
      <c r="E69" s="40">
        <f t="shared" si="27"/>
        <v>468.27823781217296</v>
      </c>
      <c r="F69" s="40">
        <f t="shared" si="27"/>
        <v>465.18265222742031</v>
      </c>
      <c r="G69" s="40">
        <f t="shared" si="27"/>
        <v>462.0830207790604</v>
      </c>
      <c r="H69" s="40">
        <f t="shared" si="27"/>
        <v>458.9188593974265</v>
      </c>
      <c r="I69" s="40">
        <f t="shared" si="27"/>
        <v>454.9856812841615</v>
      </c>
      <c r="J69" s="40">
        <f t="shared" si="27"/>
        <v>451.0346407580534</v>
      </c>
      <c r="K69" s="40">
        <f t="shared" si="27"/>
        <v>447.03721464585681</v>
      </c>
      <c r="L69" s="40">
        <f t="shared" si="27"/>
        <v>443.01960285096783</v>
      </c>
      <c r="M69" s="40">
        <f t="shared" si="27"/>
        <v>438.98418213516084</v>
      </c>
      <c r="N69" s="40">
        <f t="shared" si="27"/>
        <v>434.93717816234994</v>
      </c>
      <c r="O69" s="40">
        <f t="shared" si="27"/>
        <v>430.82297512056283</v>
      </c>
      <c r="P69" s="40">
        <f t="shared" si="27"/>
        <v>426.5877108294892</v>
      </c>
      <c r="Q69" s="40">
        <f t="shared" si="27"/>
        <v>422.34531813888373</v>
      </c>
      <c r="R69" s="40">
        <f t="shared" si="27"/>
        <v>418.00839649392333</v>
      </c>
      <c r="S69" s="40">
        <f t="shared" si="27"/>
        <v>413.20724357267045</v>
      </c>
      <c r="T69" s="40">
        <f t="shared" si="27"/>
        <v>408.43214227522833</v>
      </c>
      <c r="U69" s="40">
        <f t="shared" si="27"/>
        <v>403.6927124989121</v>
      </c>
      <c r="V69" s="40">
        <f t="shared" si="27"/>
        <v>399.08020412347361</v>
      </c>
      <c r="W69" s="40">
        <f t="shared" si="27"/>
        <v>394.53695867855976</v>
      </c>
      <c r="X69" s="40">
        <f t="shared" si="27"/>
        <v>390.2158696016387</v>
      </c>
      <c r="Y69" s="40">
        <f t="shared" si="27"/>
        <v>386.074191873909</v>
      </c>
      <c r="Z69" s="40">
        <f t="shared" si="27"/>
        <v>382.0354004865722</v>
      </c>
      <c r="AA69" s="40">
        <f t="shared" si="27"/>
        <v>378.13454580582675</v>
      </c>
      <c r="AB69" s="40">
        <f t="shared" si="27"/>
        <v>374.38952194971233</v>
      </c>
    </row>
    <row r="70" spans="1:28" x14ac:dyDescent="0.25">
      <c r="A70" s="4" t="s">
        <v>331</v>
      </c>
      <c r="B70" s="40">
        <f t="shared" ref="B70:AB70" si="28">B54+B55</f>
        <v>436.22484697665783</v>
      </c>
      <c r="C70" s="40">
        <f t="shared" si="28"/>
        <v>433.77826080862314</v>
      </c>
      <c r="D70" s="40">
        <f t="shared" si="28"/>
        <v>430.7835054271851</v>
      </c>
      <c r="E70" s="40">
        <f t="shared" si="28"/>
        <v>427.7832966167515</v>
      </c>
      <c r="F70" s="40">
        <f t="shared" si="28"/>
        <v>424.66723262401268</v>
      </c>
      <c r="G70" s="40">
        <f t="shared" si="28"/>
        <v>421.58681884025032</v>
      </c>
      <c r="H70" s="40">
        <f t="shared" si="28"/>
        <v>418.47608339172035</v>
      </c>
      <c r="I70" s="40">
        <f t="shared" si="28"/>
        <v>414.65178381409908</v>
      </c>
      <c r="J70" s="40">
        <f t="shared" si="28"/>
        <v>410.80811884586376</v>
      </c>
      <c r="K70" s="40">
        <f t="shared" si="28"/>
        <v>406.90070425189651</v>
      </c>
      <c r="L70" s="40">
        <f t="shared" si="28"/>
        <v>402.97169294183601</v>
      </c>
      <c r="M70" s="40">
        <f t="shared" si="28"/>
        <v>398.99136040856479</v>
      </c>
      <c r="N70" s="40">
        <f t="shared" si="28"/>
        <v>395.0168282220925</v>
      </c>
      <c r="O70" s="40">
        <f t="shared" si="28"/>
        <v>390.93038379803113</v>
      </c>
      <c r="P70" s="40">
        <f t="shared" si="28"/>
        <v>386.77023798311569</v>
      </c>
      <c r="Q70" s="40">
        <f t="shared" si="28"/>
        <v>382.58105801462079</v>
      </c>
      <c r="R70" s="40">
        <f t="shared" si="28"/>
        <v>378.34152119026129</v>
      </c>
      <c r="S70" s="40">
        <f t="shared" si="28"/>
        <v>373.65264950031758</v>
      </c>
      <c r="T70" s="40">
        <f t="shared" si="28"/>
        <v>369.00816272249642</v>
      </c>
      <c r="U70" s="40">
        <f t="shared" si="28"/>
        <v>364.46164865769452</v>
      </c>
      <c r="V70" s="40">
        <f t="shared" si="28"/>
        <v>360.01194979660465</v>
      </c>
      <c r="W70" s="40">
        <f t="shared" si="28"/>
        <v>355.72020752937016</v>
      </c>
      <c r="X70" s="40">
        <f t="shared" si="28"/>
        <v>351.59251411255724</v>
      </c>
      <c r="Y70" s="40">
        <f t="shared" si="28"/>
        <v>347.61777870455171</v>
      </c>
      <c r="Z70" s="40">
        <f t="shared" si="28"/>
        <v>343.77730825610098</v>
      </c>
      <c r="AA70" s="40">
        <f t="shared" si="28"/>
        <v>340.05252596001526</v>
      </c>
      <c r="AB70" s="40">
        <f t="shared" si="28"/>
        <v>336.48421614269864</v>
      </c>
    </row>
    <row r="71" spans="1:28" x14ac:dyDescent="0.25">
      <c r="A71" s="4" t="s">
        <v>332</v>
      </c>
      <c r="B71" s="40">
        <f t="shared" ref="B71:AB71" si="29">B58+B59</f>
        <v>75860.721006523527</v>
      </c>
      <c r="C71" s="40">
        <f t="shared" si="29"/>
        <v>77321.56635684635</v>
      </c>
      <c r="D71" s="40">
        <f t="shared" si="29"/>
        <v>78692.397064695979</v>
      </c>
      <c r="E71" s="40">
        <f t="shared" si="29"/>
        <v>80088.676847318886</v>
      </c>
      <c r="F71" s="40">
        <f t="shared" si="29"/>
        <v>81525.107784039647</v>
      </c>
      <c r="G71" s="40">
        <f t="shared" si="29"/>
        <v>83005.286203731128</v>
      </c>
      <c r="H71" s="40">
        <f t="shared" si="29"/>
        <v>84530.291161437519</v>
      </c>
      <c r="I71" s="40">
        <f t="shared" si="29"/>
        <v>85945.697552222933</v>
      </c>
      <c r="J71" s="40">
        <f t="shared" si="29"/>
        <v>87388.246896132361</v>
      </c>
      <c r="K71" s="40">
        <f t="shared" si="29"/>
        <v>88846.463159807492</v>
      </c>
      <c r="L71" s="40">
        <f t="shared" si="29"/>
        <v>90315.712547474352</v>
      </c>
      <c r="M71" s="40">
        <f t="shared" si="29"/>
        <v>91792.647586112405</v>
      </c>
      <c r="N71" s="40">
        <f t="shared" si="29"/>
        <v>93262.982855862298</v>
      </c>
      <c r="O71" s="40">
        <f t="shared" si="29"/>
        <v>94715.834590496554</v>
      </c>
      <c r="P71" s="40">
        <f t="shared" si="29"/>
        <v>96142.957672722638</v>
      </c>
      <c r="Q71" s="40">
        <f t="shared" si="29"/>
        <v>97530.272834082483</v>
      </c>
      <c r="R71" s="40">
        <f t="shared" si="29"/>
        <v>98866.461531853551</v>
      </c>
      <c r="S71" s="40">
        <f t="shared" si="29"/>
        <v>100035.0994553085</v>
      </c>
      <c r="T71" s="40">
        <f t="shared" si="29"/>
        <v>101135.65186525905</v>
      </c>
      <c r="U71" s="40">
        <f t="shared" si="29"/>
        <v>102165.91431868453</v>
      </c>
      <c r="V71" s="40">
        <f t="shared" si="29"/>
        <v>103101.6455144487</v>
      </c>
      <c r="W71" s="40">
        <f t="shared" si="29"/>
        <v>103934.99674107233</v>
      </c>
      <c r="X71" s="40">
        <f t="shared" si="29"/>
        <v>104665.23204848639</v>
      </c>
      <c r="Y71" s="40">
        <f t="shared" si="29"/>
        <v>105337.7301030903</v>
      </c>
      <c r="Z71" s="40">
        <f t="shared" si="29"/>
        <v>105910.03559984104</v>
      </c>
      <c r="AA71" s="40">
        <f t="shared" si="29"/>
        <v>106376.44469365946</v>
      </c>
      <c r="AB71" s="40">
        <f t="shared" si="29"/>
        <v>106741.8710138021</v>
      </c>
    </row>
    <row r="72" spans="1:28" x14ac:dyDescent="0.25">
      <c r="A72" s="4" t="s">
        <v>333</v>
      </c>
      <c r="B72" s="40">
        <f t="shared" ref="B72:AB72" si="30">B60+B61+B62+B63</f>
        <v>74844.655387822786</v>
      </c>
      <c r="C72" s="40">
        <f t="shared" si="30"/>
        <v>76282.769986335683</v>
      </c>
      <c r="D72" s="40">
        <f t="shared" si="30"/>
        <v>77633.292536118461</v>
      </c>
      <c r="E72" s="40">
        <f t="shared" si="30"/>
        <v>79009.400944709181</v>
      </c>
      <c r="F72" s="40">
        <f t="shared" si="30"/>
        <v>80426.41058061074</v>
      </c>
      <c r="G72" s="40">
        <f t="shared" si="30"/>
        <v>81887.829211704229</v>
      </c>
      <c r="H72" s="40">
        <f t="shared" si="30"/>
        <v>83394.5429103887</v>
      </c>
      <c r="I72" s="40">
        <f t="shared" si="30"/>
        <v>84795.016595450637</v>
      </c>
      <c r="J72" s="40">
        <f t="shared" si="30"/>
        <v>86223.909186550663</v>
      </c>
      <c r="K72" s="40">
        <f t="shared" si="30"/>
        <v>87670.370259721851</v>
      </c>
      <c r="L72" s="40">
        <f t="shared" si="30"/>
        <v>89130.479307170754</v>
      </c>
      <c r="M72" s="40">
        <f t="shared" si="30"/>
        <v>90600.722253946486</v>
      </c>
      <c r="N72" s="40">
        <f t="shared" si="30"/>
        <v>92068.34971388134</v>
      </c>
      <c r="O72" s="40">
        <f t="shared" si="30"/>
        <v>93521.742503159097</v>
      </c>
      <c r="P72" s="40">
        <f t="shared" si="30"/>
        <v>94954.071004970741</v>
      </c>
      <c r="Q72" s="40">
        <f t="shared" si="30"/>
        <v>96351.066265478556</v>
      </c>
      <c r="R72" s="40">
        <f t="shared" si="30"/>
        <v>97702.193054624382</v>
      </c>
      <c r="S72" s="40">
        <f t="shared" si="30"/>
        <v>98892.892002023611</v>
      </c>
      <c r="T72" s="40">
        <f t="shared" si="30"/>
        <v>100020.66414569462</v>
      </c>
      <c r="U72" s="40">
        <f t="shared" si="30"/>
        <v>101083.29749248525</v>
      </c>
      <c r="V72" s="40">
        <f t="shared" si="30"/>
        <v>102058.05455450517</v>
      </c>
      <c r="W72" s="40">
        <f t="shared" si="30"/>
        <v>102936.47353428262</v>
      </c>
      <c r="X72" s="40">
        <f t="shared" si="30"/>
        <v>103717.44348655322</v>
      </c>
      <c r="Y72" s="40">
        <f t="shared" si="30"/>
        <v>104443.7259053696</v>
      </c>
      <c r="Z72" s="40">
        <f t="shared" si="30"/>
        <v>105074.8787778136</v>
      </c>
      <c r="AA72" s="40">
        <f t="shared" si="30"/>
        <v>105605.67111582827</v>
      </c>
      <c r="AB72" s="40">
        <f t="shared" si="30"/>
        <v>106039.61302761716</v>
      </c>
    </row>
    <row r="73" spans="1:28" x14ac:dyDescent="0.25">
      <c r="A73" s="4" t="s">
        <v>334</v>
      </c>
      <c r="B73" s="40">
        <f t="shared" ref="B73:AB73" si="31">B64+B65</f>
        <v>80032.900991810529</v>
      </c>
      <c r="C73" s="40">
        <f t="shared" si="31"/>
        <v>81513.802649428282</v>
      </c>
      <c r="D73" s="40">
        <f t="shared" si="31"/>
        <v>82896.962986181883</v>
      </c>
      <c r="E73" s="40">
        <f t="shared" si="31"/>
        <v>84304.552305093748</v>
      </c>
      <c r="F73" s="40">
        <f t="shared" si="31"/>
        <v>85752.611654067543</v>
      </c>
      <c r="G73" s="40">
        <f t="shared" si="31"/>
        <v>87244.585443692544</v>
      </c>
      <c r="H73" s="40">
        <f t="shared" si="31"/>
        <v>88780.297217268977</v>
      </c>
      <c r="I73" s="40">
        <f t="shared" si="31"/>
        <v>90197.289443051399</v>
      </c>
      <c r="J73" s="40">
        <f t="shared" si="31"/>
        <v>91639.950724060051</v>
      </c>
      <c r="K73" s="40">
        <f t="shared" si="31"/>
        <v>93094.682829730489</v>
      </c>
      <c r="L73" s="40">
        <f t="shared" si="31"/>
        <v>94555.578008339653</v>
      </c>
      <c r="M73" s="40">
        <f t="shared" si="31"/>
        <v>96020.068885482309</v>
      </c>
      <c r="N73" s="40">
        <f t="shared" si="31"/>
        <v>97471.193670822802</v>
      </c>
      <c r="O73" s="40">
        <f t="shared" si="31"/>
        <v>98897.81670420013</v>
      </c>
      <c r="P73" s="40">
        <f t="shared" si="31"/>
        <v>100291.05111402518</v>
      </c>
      <c r="Q73" s="40">
        <f t="shared" si="31"/>
        <v>101635.21072227268</v>
      </c>
      <c r="R73" s="40">
        <f t="shared" si="31"/>
        <v>102918.91804974625</v>
      </c>
      <c r="S73" s="40">
        <f t="shared" si="31"/>
        <v>104020.62429784535</v>
      </c>
      <c r="T73" s="40">
        <f t="shared" si="31"/>
        <v>105043.72490804699</v>
      </c>
      <c r="U73" s="40">
        <f t="shared" si="31"/>
        <v>105986.21386897785</v>
      </c>
      <c r="V73" s="40">
        <f t="shared" si="31"/>
        <v>106822.27360884185</v>
      </c>
      <c r="W73" s="40">
        <f t="shared" si="31"/>
        <v>107544.21724718483</v>
      </c>
      <c r="X73" s="40">
        <f t="shared" si="31"/>
        <v>108150.40192627272</v>
      </c>
      <c r="Y73" s="40">
        <f t="shared" si="31"/>
        <v>108692.02578318147</v>
      </c>
      <c r="Z73" s="40">
        <f t="shared" si="31"/>
        <v>109122.56502759438</v>
      </c>
      <c r="AA73" s="40">
        <f t="shared" si="31"/>
        <v>109437.43027531132</v>
      </c>
      <c r="AB73" s="40">
        <f t="shared" si="31"/>
        <v>109642.25444426057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245.67779702956395</v>
      </c>
      <c r="C2" s="37">
        <f>BDbDT_calcs!C48</f>
        <v>244.38171966619731</v>
      </c>
      <c r="D2" s="37">
        <f>BDbDT_calcs!D48</f>
        <v>242.78212334276273</v>
      </c>
      <c r="E2" s="37">
        <f>BDbDT_calcs!E48</f>
        <v>241.2034561586205</v>
      </c>
      <c r="F2" s="37">
        <f>BDbDT_calcs!F48</f>
        <v>239.59505972444825</v>
      </c>
      <c r="G2" s="37">
        <f>BDbDT_calcs!G48</f>
        <v>237.95728127144105</v>
      </c>
      <c r="H2" s="37">
        <f>BDbDT_calcs!H48</f>
        <v>236.29168445201736</v>
      </c>
      <c r="I2" s="37">
        <f>BDbDT_calcs!I48</f>
        <v>234.32766223045553</v>
      </c>
      <c r="J2" s="37">
        <f>BDbDT_calcs!J48</f>
        <v>232.21888437845143</v>
      </c>
      <c r="K2" s="37">
        <f>BDbDT_calcs!K48</f>
        <v>230.16756454449222</v>
      </c>
      <c r="L2" s="37">
        <f>BDbDT_calcs!L48</f>
        <v>227.98905677008128</v>
      </c>
      <c r="M2" s="37">
        <f>BDbDT_calcs!M48</f>
        <v>225.86762752121399</v>
      </c>
      <c r="N2" s="37">
        <f>BDbDT_calcs!N48</f>
        <v>223.82927141911426</v>
      </c>
      <c r="O2" s="37">
        <f>BDbDT_calcs!O48</f>
        <v>221.50348470769327</v>
      </c>
      <c r="P2" s="37">
        <f>BDbDT_calcs!P48</f>
        <v>219.28555858559622</v>
      </c>
      <c r="Q2" s="37">
        <f>BDbDT_calcs!Q48</f>
        <v>216.93594454364805</v>
      </c>
      <c r="R2" s="37">
        <f>BDbDT_calcs!R48</f>
        <v>214.5851739693525</v>
      </c>
      <c r="S2" s="37">
        <f>BDbDT_calcs!S48</f>
        <v>211.94982069530093</v>
      </c>
      <c r="T2" s="37">
        <f>BDbDT_calcs!T48</f>
        <v>209.34239261797759</v>
      </c>
      <c r="U2" s="37">
        <f>BDbDT_calcs!U48</f>
        <v>206.76003544211409</v>
      </c>
      <c r="V2" s="37">
        <f>BDbDT_calcs!V48</f>
        <v>204.1992962491706</v>
      </c>
      <c r="W2" s="37">
        <f>BDbDT_calcs!W48</f>
        <v>201.68314563531209</v>
      </c>
      <c r="X2" s="37">
        <f>BDbDT_calcs!X48</f>
        <v>199.3947256203094</v>
      </c>
      <c r="Y2" s="37">
        <f>BDbDT_calcs!Y48</f>
        <v>197.11870835231221</v>
      </c>
      <c r="Z2" s="37">
        <f>BDbDT_calcs!Z48</f>
        <v>194.98556361332246</v>
      </c>
      <c r="AA2" s="37">
        <f>BDbDT_calcs!AA48</f>
        <v>192.8856304037682</v>
      </c>
      <c r="AB2" s="37">
        <f>BDbDT_calcs!AB48</f>
        <v>190.78927605451085</v>
      </c>
    </row>
    <row r="3" spans="1:28" x14ac:dyDescent="0.25">
      <c r="A3" s="4" t="s">
        <v>216</v>
      </c>
      <c r="B3" s="37">
        <f>BDbDT_calcs!B49</f>
        <v>197.47130147046215</v>
      </c>
      <c r="C3" s="37">
        <f>BDbDT_calcs!C49</f>
        <v>196.84133838052861</v>
      </c>
      <c r="D3" s="37">
        <f>BDbDT_calcs!D49</f>
        <v>195.98943351416708</v>
      </c>
      <c r="E3" s="37">
        <f>BDbDT_calcs!E49</f>
        <v>195.12906026635585</v>
      </c>
      <c r="F3" s="37">
        <f>BDbDT_calcs!F49</f>
        <v>194.23529122445345</v>
      </c>
      <c r="G3" s="37">
        <f>BDbDT_calcs!G49</f>
        <v>193.36154266161051</v>
      </c>
      <c r="H3" s="37">
        <f>BDbDT_calcs!H49</f>
        <v>192.48288852033892</v>
      </c>
      <c r="I3" s="37">
        <f>BDbDT_calcs!I49</f>
        <v>191.1647431057153</v>
      </c>
      <c r="J3" s="37">
        <f>BDbDT_calcs!J49</f>
        <v>189.95879334964698</v>
      </c>
      <c r="K3" s="37">
        <f>BDbDT_calcs!K49</f>
        <v>188.61911866010215</v>
      </c>
      <c r="L3" s="37">
        <f>BDbDT_calcs!L49</f>
        <v>187.35839398706042</v>
      </c>
      <c r="M3" s="37">
        <f>BDbDT_calcs!M49</f>
        <v>185.96384879022665</v>
      </c>
      <c r="N3" s="37">
        <f>BDbDT_calcs!N49</f>
        <v>184.46156529372854</v>
      </c>
      <c r="O3" s="37">
        <f>BDbDT_calcs!O49</f>
        <v>183.11748372430199</v>
      </c>
      <c r="P3" s="37">
        <f>BDbDT_calcs!P49</f>
        <v>181.531267290995</v>
      </c>
      <c r="Q3" s="37">
        <f>BDbDT_calcs!Q49</f>
        <v>180.02170363512164</v>
      </c>
      <c r="R3" s="37">
        <f>BDbDT_calcs!R49</f>
        <v>178.4005984240469</v>
      </c>
      <c r="S3" s="37">
        <f>BDbDT_calcs!S49</f>
        <v>176.60974709021687</v>
      </c>
      <c r="T3" s="37">
        <f>BDbDT_calcs!T49</f>
        <v>174.78903305445149</v>
      </c>
      <c r="U3" s="37">
        <f>BDbDT_calcs!U49</f>
        <v>172.98973541868196</v>
      </c>
      <c r="V3" s="37">
        <f>BDbDT_calcs!V49</f>
        <v>171.26276388122358</v>
      </c>
      <c r="W3" s="37">
        <f>BDbDT_calcs!W49</f>
        <v>169.57848165620064</v>
      </c>
      <c r="X3" s="37">
        <f>BDbDT_calcs!X49</f>
        <v>167.88030733843996</v>
      </c>
      <c r="Y3" s="37">
        <f>BDbDT_calcs!Y49</f>
        <v>166.30074655766211</v>
      </c>
      <c r="Z3" s="37">
        <f>BDbDT_calcs!Z49</f>
        <v>164.70283402494374</v>
      </c>
      <c r="AA3" s="37">
        <f>BDbDT_calcs!AA49</f>
        <v>163.19183536961359</v>
      </c>
      <c r="AB3" s="37">
        <f>BDbDT_calcs!AB49</f>
        <v>161.84669159614862</v>
      </c>
    </row>
    <row r="4" spans="1:28" x14ac:dyDescent="0.25">
      <c r="A4" s="4" t="s">
        <v>217</v>
      </c>
      <c r="B4" s="37">
        <f>BDbDT_calcs!B50</f>
        <v>233.6375654006354</v>
      </c>
      <c r="C4" s="37">
        <f>BDbDT_calcs!C50</f>
        <v>232.62764133178237</v>
      </c>
      <c r="D4" s="37">
        <f>BDbDT_calcs!D50</f>
        <v>231.37828949576939</v>
      </c>
      <c r="E4" s="37">
        <f>BDbDT_calcs!E50</f>
        <v>230.10193238482205</v>
      </c>
      <c r="F4" s="37">
        <f>BDbDT_calcs!F50</f>
        <v>228.82409471175086</v>
      </c>
      <c r="G4" s="37">
        <f>BDbDT_calcs!G50</f>
        <v>227.56919035055327</v>
      </c>
      <c r="H4" s="37">
        <f>BDbDT_calcs!H50</f>
        <v>226.24337503362267</v>
      </c>
      <c r="I4" s="37">
        <f>BDbDT_calcs!I50</f>
        <v>224.58051370802585</v>
      </c>
      <c r="J4" s="37">
        <f>BDbDT_calcs!J50</f>
        <v>222.83615619405097</v>
      </c>
      <c r="K4" s="37">
        <f>BDbDT_calcs!K50</f>
        <v>221.02605456811574</v>
      </c>
      <c r="L4" s="37">
        <f>BDbDT_calcs!L50</f>
        <v>219.12619896786711</v>
      </c>
      <c r="M4" s="37">
        <f>BDbDT_calcs!M50</f>
        <v>217.13623892566113</v>
      </c>
      <c r="N4" s="37">
        <f>BDbDT_calcs!N50</f>
        <v>215.05550637239219</v>
      </c>
      <c r="O4" s="37">
        <f>BDbDT_calcs!O50</f>
        <v>212.8112143678575</v>
      </c>
      <c r="P4" s="37">
        <f>BDbDT_calcs!P50</f>
        <v>210.49810479351243</v>
      </c>
      <c r="Q4" s="37">
        <f>BDbDT_calcs!Q50</f>
        <v>208.09049187625766</v>
      </c>
      <c r="R4" s="37">
        <f>BDbDT_calcs!R50</f>
        <v>205.58634124065011</v>
      </c>
      <c r="S4" s="37">
        <f>BDbDT_calcs!S50</f>
        <v>202.81307112304398</v>
      </c>
      <c r="T4" s="37">
        <f>BDbDT_calcs!T50</f>
        <v>200.06625214278003</v>
      </c>
      <c r="U4" s="37">
        <f>BDbDT_calcs!U50</f>
        <v>197.34304716745757</v>
      </c>
      <c r="V4" s="37">
        <f>BDbDT_calcs!V50</f>
        <v>194.66421776164307</v>
      </c>
      <c r="W4" s="37">
        <f>BDbDT_calcs!W50</f>
        <v>192.07461237346294</v>
      </c>
      <c r="X4" s="37">
        <f>BDbDT_calcs!X50</f>
        <v>189.59515369657052</v>
      </c>
      <c r="Y4" s="37">
        <f>BDbDT_calcs!Y50</f>
        <v>187.17528198338744</v>
      </c>
      <c r="Z4" s="37">
        <f>BDbDT_calcs!Z50</f>
        <v>184.83633859928719</v>
      </c>
      <c r="AA4" s="37">
        <f>BDbDT_calcs!AA50</f>
        <v>182.62419912300703</v>
      </c>
      <c r="AB4" s="37">
        <f>BDbDT_calcs!AB50</f>
        <v>180.4878526339518</v>
      </c>
    </row>
    <row r="5" spans="1:28" x14ac:dyDescent="0.25">
      <c r="A5" s="4" t="s">
        <v>218</v>
      </c>
      <c r="B5" s="37">
        <f>BDbDT_calcs!B51</f>
        <v>179.24519387015951</v>
      </c>
      <c r="C5" s="37">
        <f>BDbDT_calcs!C51</f>
        <v>177.2354989110425</v>
      </c>
      <c r="D5" s="37">
        <f>BDbDT_calcs!D51</f>
        <v>175.05942475293054</v>
      </c>
      <c r="E5" s="37">
        <f>BDbDT_calcs!E51</f>
        <v>172.81893947312</v>
      </c>
      <c r="F5" s="37">
        <f>BDbDT_calcs!F51</f>
        <v>170.51472811695095</v>
      </c>
      <c r="G5" s="37">
        <f>BDbDT_calcs!G51</f>
        <v>168.22368469450203</v>
      </c>
      <c r="H5" s="37">
        <f>BDbDT_calcs!H51</f>
        <v>165.83064190241097</v>
      </c>
      <c r="I5" s="37">
        <f>BDbDT_calcs!I51</f>
        <v>163.20929353737873</v>
      </c>
      <c r="J5" s="37">
        <f>BDbDT_calcs!J51</f>
        <v>160.61527452942772</v>
      </c>
      <c r="K5" s="37">
        <f>BDbDT_calcs!K51</f>
        <v>158.04209518216328</v>
      </c>
      <c r="L5" s="37">
        <f>BDbDT_calcs!L51</f>
        <v>155.56668154599234</v>
      </c>
      <c r="M5" s="37">
        <f>BDbDT_calcs!M51</f>
        <v>153.22728709669565</v>
      </c>
      <c r="N5" s="37">
        <f>BDbDT_calcs!N51</f>
        <v>150.90709979283955</v>
      </c>
      <c r="O5" s="37">
        <f>BDbDT_calcs!O51</f>
        <v>148.72182782927479</v>
      </c>
      <c r="P5" s="37">
        <f>BDbDT_calcs!P51</f>
        <v>146.55437636267371</v>
      </c>
      <c r="Q5" s="37">
        <f>BDbDT_calcs!Q51</f>
        <v>144.48138601767567</v>
      </c>
      <c r="R5" s="37">
        <f>BDbDT_calcs!R51</f>
        <v>142.46291130149848</v>
      </c>
      <c r="S5" s="37">
        <f>BDbDT_calcs!S51</f>
        <v>140.30753581081609</v>
      </c>
      <c r="T5" s="37">
        <f>BDbDT_calcs!T51</f>
        <v>138.20920304139</v>
      </c>
      <c r="U5" s="37">
        <f>BDbDT_calcs!U51</f>
        <v>136.12691073350464</v>
      </c>
      <c r="V5" s="37">
        <f>BDbDT_calcs!V51</f>
        <v>134.13635480628375</v>
      </c>
      <c r="W5" s="37">
        <f>BDbDT_calcs!W51</f>
        <v>132.11791716286521</v>
      </c>
      <c r="X5" s="37">
        <f>BDbDT_calcs!X51</f>
        <v>130.18642371688159</v>
      </c>
      <c r="Y5" s="37">
        <f>BDbDT_calcs!Y51</f>
        <v>128.37960521789597</v>
      </c>
      <c r="Z5" s="37">
        <f>BDbDT_calcs!Z51</f>
        <v>126.57799982036933</v>
      </c>
      <c r="AA5" s="37">
        <f>BDbDT_calcs!AA51</f>
        <v>124.85808690469993</v>
      </c>
      <c r="AB5" s="37">
        <f>BDbDT_calcs!AB51</f>
        <v>123.13952682091023</v>
      </c>
    </row>
    <row r="6" spans="1:28" x14ac:dyDescent="0.25">
      <c r="A6" s="4" t="s">
        <v>219</v>
      </c>
      <c r="B6" s="37">
        <f>BDbDT_calcs!B52</f>
        <v>26.805840697683319</v>
      </c>
      <c r="C6" s="37">
        <f>BDbDT_calcs!C52</f>
        <v>26.960735011709904</v>
      </c>
      <c r="D6" s="37">
        <f>BDbDT_calcs!D52</f>
        <v>27.0860654073728</v>
      </c>
      <c r="E6" s="37">
        <f>BDbDT_calcs!E52</f>
        <v>27.245756062527207</v>
      </c>
      <c r="F6" s="37">
        <f>BDbDT_calcs!F52</f>
        <v>27.408924161450994</v>
      </c>
      <c r="G6" s="37">
        <f>BDbDT_calcs!G52</f>
        <v>27.57575647625805</v>
      </c>
      <c r="H6" s="37">
        <f>BDbDT_calcs!H52</f>
        <v>27.746594507375544</v>
      </c>
      <c r="I6" s="37">
        <f>BDbDT_calcs!I52</f>
        <v>27.873726375507747</v>
      </c>
      <c r="J6" s="37">
        <f>BDbDT_calcs!J52</f>
        <v>28.005683873416093</v>
      </c>
      <c r="K6" s="37">
        <f>BDbDT_calcs!K52</f>
        <v>28.204504008625879</v>
      </c>
      <c r="L6" s="37">
        <f>BDbDT_calcs!L52</f>
        <v>28.344606026501499</v>
      </c>
      <c r="M6" s="37">
        <f>BDbDT_calcs!M52</f>
        <v>28.488998506677778</v>
      </c>
      <c r="N6" s="37">
        <f>BDbDT_calcs!N52</f>
        <v>28.637803378750714</v>
      </c>
      <c r="O6" s="37">
        <f>BDbDT_calcs!O52</f>
        <v>28.791147215487836</v>
      </c>
      <c r="P6" s="37">
        <f>BDbDT_calcs!P52</f>
        <v>28.917554316482878</v>
      </c>
      <c r="Q6" s="37">
        <f>BDbDT_calcs!Q52</f>
        <v>29.080160944349764</v>
      </c>
      <c r="R6" s="37">
        <f>BDbDT_calcs!R52</f>
        <v>29.184130221278028</v>
      </c>
      <c r="S6" s="37">
        <f>BDbDT_calcs!S52</f>
        <v>29.292686786726758</v>
      </c>
      <c r="T6" s="37">
        <f>BDbDT_calcs!T52</f>
        <v>29.437297850812303</v>
      </c>
      <c r="U6" s="37">
        <f>BDbDT_calcs!U52</f>
        <v>29.522706711602225</v>
      </c>
      <c r="V6" s="37">
        <f>BDbDT_calcs!V52</f>
        <v>29.643676429400916</v>
      </c>
      <c r="W6" s="37">
        <f>BDbDT_calcs!W52</f>
        <v>29.768167190336836</v>
      </c>
      <c r="X6" s="37">
        <f>BDbDT_calcs!X52</f>
        <v>29.864003163846469</v>
      </c>
      <c r="Y6" s="37">
        <f>BDbDT_calcs!Y52</f>
        <v>30.026368773552839</v>
      </c>
      <c r="Z6" s="37">
        <f>BDbDT_calcs!Z52</f>
        <v>30.127608058400508</v>
      </c>
      <c r="AA6" s="37">
        <f>BDbDT_calcs!AA52</f>
        <v>30.230946249483654</v>
      </c>
      <c r="AB6" s="37">
        <f>BDbDT_calcs!AB52</f>
        <v>30.336001278869269</v>
      </c>
    </row>
    <row r="7" spans="1:28" x14ac:dyDescent="0.25">
      <c r="A7" s="4" t="s">
        <v>220</v>
      </c>
      <c r="B7" s="37">
        <f>BDbDT_calcs!B53</f>
        <v>37.076880068503861</v>
      </c>
      <c r="C7" s="37">
        <f>BDbDT_calcs!C53</f>
        <v>37.479889847607886</v>
      </c>
      <c r="D7" s="37">
        <f>BDbDT_calcs!D53</f>
        <v>37.768922387370161</v>
      </c>
      <c r="E7" s="37">
        <f>BDbDT_calcs!E53</f>
        <v>38.111609891703687</v>
      </c>
      <c r="F7" s="37">
        <f>BDbDT_calcs!F53</f>
        <v>38.434905237267472</v>
      </c>
      <c r="G7" s="37">
        <f>BDbDT_calcs!G53</f>
        <v>38.714389257747051</v>
      </c>
      <c r="H7" s="37">
        <f>BDbDT_calcs!H53</f>
        <v>39.09824795401726</v>
      </c>
      <c r="I7" s="37">
        <f>BDbDT_calcs!I53</f>
        <v>39.32214766324914</v>
      </c>
      <c r="J7" s="37">
        <f>BDbDT_calcs!J53</f>
        <v>39.577526161158644</v>
      </c>
      <c r="K7" s="37">
        <f>BDbDT_calcs!K53</f>
        <v>39.764560886951941</v>
      </c>
      <c r="L7" s="37">
        <f>BDbDT_calcs!L53</f>
        <v>39.982116310606898</v>
      </c>
      <c r="M7" s="37">
        <f>BDbDT_calcs!M53</f>
        <v>40.131657606126268</v>
      </c>
      <c r="N7" s="37">
        <f>BDbDT_calcs!N53</f>
        <v>40.3367686183675</v>
      </c>
      <c r="O7" s="37">
        <f>BDbDT_calcs!O53</f>
        <v>40.49878570794268</v>
      </c>
      <c r="P7" s="37">
        <f>BDbDT_calcs!P53</f>
        <v>40.617675356820207</v>
      </c>
      <c r="Q7" s="37">
        <f>BDbDT_calcs!Q53</f>
        <v>40.693279300600615</v>
      </c>
      <c r="R7" s="37">
        <f>BDbDT_calcs!R53</f>
        <v>40.775013730496681</v>
      </c>
      <c r="S7" s="37">
        <f>BDbDT_calcs!S53</f>
        <v>40.793949852083635</v>
      </c>
      <c r="T7" s="37">
        <f>BDbDT_calcs!T53</f>
        <v>40.719389240246038</v>
      </c>
      <c r="U7" s="37">
        <f>BDbDT_calcs!U53</f>
        <v>40.700047886347676</v>
      </c>
      <c r="V7" s="37">
        <f>BDbDT_calcs!V53</f>
        <v>40.635955126145902</v>
      </c>
      <c r="W7" s="37">
        <f>BDbDT_calcs!W53</f>
        <v>40.576261951894764</v>
      </c>
      <c r="X7" s="37">
        <f>BDbDT_calcs!X53</f>
        <v>40.570289024340106</v>
      </c>
      <c r="Y7" s="37">
        <f>BDbDT_calcs!Y53</f>
        <v>40.492935899072734</v>
      </c>
      <c r="Z7" s="37">
        <f>BDbDT_calcs!Z53</f>
        <v>40.49345400851518</v>
      </c>
      <c r="AA7" s="37">
        <f>BDbDT_calcs!AA53</f>
        <v>40.421313528636105</v>
      </c>
      <c r="AB7" s="37">
        <f>BDbDT_calcs!AB53</f>
        <v>40.426141215981055</v>
      </c>
    </row>
    <row r="8" spans="1:28" x14ac:dyDescent="0.25">
      <c r="A8" s="4" t="s">
        <v>221</v>
      </c>
      <c r="B8" s="37">
        <f>BDbDT_calcs!B54</f>
        <v>59.819712107590881</v>
      </c>
      <c r="C8" s="37">
        <f>BDbDT_calcs!C54</f>
        <v>60.206219112572413</v>
      </c>
      <c r="D8" s="37">
        <f>BDbDT_calcs!D54</f>
        <v>60.558103065598033</v>
      </c>
      <c r="E8" s="37">
        <f>BDbDT_calcs!E54</f>
        <v>60.932694953857037</v>
      </c>
      <c r="F8" s="37">
        <f>BDbDT_calcs!F54</f>
        <v>61.362119183765579</v>
      </c>
      <c r="G8" s="37">
        <f>BDbDT_calcs!G54</f>
        <v>61.737159823855237</v>
      </c>
      <c r="H8" s="37">
        <f>BDbDT_calcs!H54</f>
        <v>62.10545444832254</v>
      </c>
      <c r="I8" s="37">
        <f>BDbDT_calcs!I54</f>
        <v>62.360177636537848</v>
      </c>
      <c r="J8" s="37">
        <f>BDbDT_calcs!J54</f>
        <v>62.594242244909054</v>
      </c>
      <c r="K8" s="37">
        <f>BDbDT_calcs!K54</f>
        <v>62.805700596718701</v>
      </c>
      <c r="L8" s="37">
        <f>BDbDT_calcs!L54</f>
        <v>62.97909981394622</v>
      </c>
      <c r="M8" s="37">
        <f>BDbDT_calcs!M54</f>
        <v>63.114630884085457</v>
      </c>
      <c r="N8" s="37">
        <f>BDbDT_calcs!N54</f>
        <v>63.212390202678847</v>
      </c>
      <c r="O8" s="37">
        <f>BDbDT_calcs!O54</f>
        <v>63.272440366410393</v>
      </c>
      <c r="P8" s="37">
        <f>BDbDT_calcs!P54</f>
        <v>63.247350519729956</v>
      </c>
      <c r="Q8" s="37">
        <f>BDbDT_calcs!Q54</f>
        <v>63.184155985250868</v>
      </c>
      <c r="R8" s="37">
        <f>BDbDT_calcs!R54</f>
        <v>63.034997736709919</v>
      </c>
      <c r="S8" s="37">
        <f>BDbDT_calcs!S54</f>
        <v>62.82665179511649</v>
      </c>
      <c r="T8" s="37">
        <f>BDbDT_calcs!T54</f>
        <v>62.563795109544337</v>
      </c>
      <c r="U8" s="37">
        <f>BDbDT_calcs!U54</f>
        <v>62.24568066837454</v>
      </c>
      <c r="V8" s="37">
        <f>BDbDT_calcs!V54</f>
        <v>61.934818435448868</v>
      </c>
      <c r="W8" s="37">
        <f>BDbDT_calcs!W54</f>
        <v>61.550804371058817</v>
      </c>
      <c r="X8" s="37">
        <f>BDbDT_calcs!X54</f>
        <v>61.25152285179017</v>
      </c>
      <c r="Y8" s="37">
        <f>BDbDT_calcs!Y54</f>
        <v>60.94103385013301</v>
      </c>
      <c r="Z8" s="37">
        <f>BDbDT_calcs!Z54</f>
        <v>60.634344565660669</v>
      </c>
      <c r="AA8" s="37">
        <f>BDbDT_calcs!AA54</f>
        <v>60.346541378195724</v>
      </c>
      <c r="AB8" s="37">
        <f>BDbDT_calcs!AB54</f>
        <v>60.092825956227017</v>
      </c>
    </row>
    <row r="9" spans="1:28" x14ac:dyDescent="0.25">
      <c r="A9" s="4" t="s">
        <v>222</v>
      </c>
      <c r="B9" s="37">
        <f>BDbDT_calcs!B55</f>
        <v>376.40513486906696</v>
      </c>
      <c r="C9" s="37">
        <f>BDbDT_calcs!C55</f>
        <v>373.57204169605075</v>
      </c>
      <c r="D9" s="37">
        <f>BDbDT_calcs!D55</f>
        <v>370.22540236158704</v>
      </c>
      <c r="E9" s="37">
        <f>BDbDT_calcs!E55</f>
        <v>366.85060166289446</v>
      </c>
      <c r="F9" s="37">
        <f>BDbDT_calcs!F55</f>
        <v>363.30511344024711</v>
      </c>
      <c r="G9" s="37">
        <f>BDbDT_calcs!G55</f>
        <v>359.84965901639509</v>
      </c>
      <c r="H9" s="37">
        <f>BDbDT_calcs!H55</f>
        <v>356.37062894339783</v>
      </c>
      <c r="I9" s="37">
        <f>BDbDT_calcs!I55</f>
        <v>352.29160617756122</v>
      </c>
      <c r="J9" s="37">
        <f>BDbDT_calcs!J55</f>
        <v>348.21387660095473</v>
      </c>
      <c r="K9" s="37">
        <f>BDbDT_calcs!K55</f>
        <v>344.09500365517783</v>
      </c>
      <c r="L9" s="37">
        <f>BDbDT_calcs!L55</f>
        <v>339.99259312788979</v>
      </c>
      <c r="M9" s="37">
        <f>BDbDT_calcs!M55</f>
        <v>335.87672952447934</v>
      </c>
      <c r="N9" s="37">
        <f>BDbDT_calcs!N55</f>
        <v>331.80443801941362</v>
      </c>
      <c r="O9" s="37">
        <f>BDbDT_calcs!O55</f>
        <v>327.65794343162077</v>
      </c>
      <c r="P9" s="37">
        <f>BDbDT_calcs!P55</f>
        <v>323.52288746338576</v>
      </c>
      <c r="Q9" s="37">
        <f>BDbDT_calcs!Q55</f>
        <v>319.39690202936993</v>
      </c>
      <c r="R9" s="37">
        <f>BDbDT_calcs!R55</f>
        <v>315.30652345355139</v>
      </c>
      <c r="S9" s="37">
        <f>BDbDT_calcs!S55</f>
        <v>310.82599770520108</v>
      </c>
      <c r="T9" s="37">
        <f>BDbDT_calcs!T55</f>
        <v>306.44436761295208</v>
      </c>
      <c r="U9" s="37">
        <f>BDbDT_calcs!U55</f>
        <v>302.21596798932001</v>
      </c>
      <c r="V9" s="37">
        <f>BDbDT_calcs!V55</f>
        <v>298.07713136115581</v>
      </c>
      <c r="W9" s="37">
        <f>BDbDT_calcs!W55</f>
        <v>294.16940315831135</v>
      </c>
      <c r="X9" s="37">
        <f>BDbDT_calcs!X55</f>
        <v>290.34099126076705</v>
      </c>
      <c r="Y9" s="37">
        <f>BDbDT_calcs!Y55</f>
        <v>286.6767448544187</v>
      </c>
      <c r="Z9" s="37">
        <f>BDbDT_calcs!Z55</f>
        <v>283.1429636904403</v>
      </c>
      <c r="AA9" s="37">
        <f>BDbDT_calcs!AA55</f>
        <v>279.70598458181951</v>
      </c>
      <c r="AB9" s="37">
        <f>BDbDT_calcs!AB55</f>
        <v>276.39139018647165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38958.061020455367</v>
      </c>
      <c r="C2" s="37">
        <f>BDbDT_calcs!C58</f>
        <v>39758.367778254797</v>
      </c>
      <c r="D2" s="37">
        <f>BDbDT_calcs!D58</f>
        <v>40511.162637569309</v>
      </c>
      <c r="E2" s="37">
        <f>BDbDT_calcs!E58</f>
        <v>41267.062860773593</v>
      </c>
      <c r="F2" s="37">
        <f>BDbDT_calcs!F58</f>
        <v>42029.62774497136</v>
      </c>
      <c r="G2" s="37">
        <f>BDbDT_calcs!G58</f>
        <v>42800.139309492261</v>
      </c>
      <c r="H2" s="37">
        <f>BDbDT_calcs!H58</f>
        <v>43575.712017432343</v>
      </c>
      <c r="I2" s="37">
        <f>BDbDT_calcs!I58</f>
        <v>44277.414641120922</v>
      </c>
      <c r="J2" s="37">
        <f>BDbDT_calcs!J58</f>
        <v>44973.71616375506</v>
      </c>
      <c r="K2" s="37">
        <f>BDbDT_calcs!K58</f>
        <v>45663.847453860843</v>
      </c>
      <c r="L2" s="37">
        <f>BDbDT_calcs!L58</f>
        <v>46343.952561906866</v>
      </c>
      <c r="M2" s="37">
        <f>BDbDT_calcs!M58</f>
        <v>47013.249929038124</v>
      </c>
      <c r="N2" s="37">
        <f>BDbDT_calcs!N58</f>
        <v>47666.917278981091</v>
      </c>
      <c r="O2" s="37">
        <f>BDbDT_calcs!O58</f>
        <v>48303.12238856616</v>
      </c>
      <c r="P2" s="37">
        <f>BDbDT_calcs!P58</f>
        <v>48915.609194602715</v>
      </c>
      <c r="Q2" s="37">
        <f>BDbDT_calcs!Q58</f>
        <v>49503.298316040149</v>
      </c>
      <c r="R2" s="37">
        <f>BDbDT_calcs!R58</f>
        <v>50058.567397535255</v>
      </c>
      <c r="S2" s="37">
        <f>BDbDT_calcs!S58</f>
        <v>50527.275909553166</v>
      </c>
      <c r="T2" s="37">
        <f>BDbDT_calcs!T58</f>
        <v>50960.378850075831</v>
      </c>
      <c r="U2" s="37">
        <f>BDbDT_calcs!U58</f>
        <v>51360.43187502119</v>
      </c>
      <c r="V2" s="37">
        <f>BDbDT_calcs!V58</f>
        <v>51714.875595365338</v>
      </c>
      <c r="W2" s="37">
        <f>BDbDT_calcs!W58</f>
        <v>52026.473013809409</v>
      </c>
      <c r="X2" s="37">
        <f>BDbDT_calcs!X58</f>
        <v>52292.060159324988</v>
      </c>
      <c r="Y2" s="37">
        <f>BDbDT_calcs!Y58</f>
        <v>52532.923396356658</v>
      </c>
      <c r="Z2" s="37">
        <f>BDbDT_calcs!Z58</f>
        <v>52729.613952499727</v>
      </c>
      <c r="AA2" s="37">
        <f>BDbDT_calcs!AA58</f>
        <v>52885.032026974208</v>
      </c>
      <c r="AB2" s="37">
        <f>BDbDT_calcs!AB58</f>
        <v>53003.635702477884</v>
      </c>
    </row>
    <row r="3" spans="1:28" x14ac:dyDescent="0.25">
      <c r="A3" s="4" t="s">
        <v>216</v>
      </c>
      <c r="B3" s="37">
        <f>BDbDT_calcs!B59</f>
        <v>36902.659986068167</v>
      </c>
      <c r="C3" s="37">
        <f>BDbDT_calcs!C59</f>
        <v>37563.198578591553</v>
      </c>
      <c r="D3" s="37">
        <f>BDbDT_calcs!D59</f>
        <v>38181.23442712667</v>
      </c>
      <c r="E3" s="37">
        <f>BDbDT_calcs!E59</f>
        <v>38821.613986545286</v>
      </c>
      <c r="F3" s="37">
        <f>BDbDT_calcs!F59</f>
        <v>39495.480039068287</v>
      </c>
      <c r="G3" s="37">
        <f>BDbDT_calcs!G59</f>
        <v>40205.146894238867</v>
      </c>
      <c r="H3" s="37">
        <f>BDbDT_calcs!H59</f>
        <v>40954.579144005169</v>
      </c>
      <c r="I3" s="37">
        <f>BDbDT_calcs!I59</f>
        <v>41668.282911102011</v>
      </c>
      <c r="J3" s="37">
        <f>BDbDT_calcs!J59</f>
        <v>42414.530732377294</v>
      </c>
      <c r="K3" s="37">
        <f>BDbDT_calcs!K59</f>
        <v>43182.61570594665</v>
      </c>
      <c r="L3" s="37">
        <f>BDbDT_calcs!L59</f>
        <v>43971.759985567485</v>
      </c>
      <c r="M3" s="37">
        <f>BDbDT_calcs!M59</f>
        <v>44779.397657074282</v>
      </c>
      <c r="N3" s="37">
        <f>BDbDT_calcs!N59</f>
        <v>45596.065576881207</v>
      </c>
      <c r="O3" s="37">
        <f>BDbDT_calcs!O59</f>
        <v>46412.712201930393</v>
      </c>
      <c r="P3" s="37">
        <f>BDbDT_calcs!P59</f>
        <v>47227.348478119915</v>
      </c>
      <c r="Q3" s="37">
        <f>BDbDT_calcs!Q59</f>
        <v>48026.974518042334</v>
      </c>
      <c r="R3" s="37">
        <f>BDbDT_calcs!R59</f>
        <v>48807.894134318296</v>
      </c>
      <c r="S3" s="37">
        <f>BDbDT_calcs!S59</f>
        <v>49507.823545755338</v>
      </c>
      <c r="T3" s="37">
        <f>BDbDT_calcs!T59</f>
        <v>50175.273015183207</v>
      </c>
      <c r="U3" s="37">
        <f>BDbDT_calcs!U59</f>
        <v>50805.482443663343</v>
      </c>
      <c r="V3" s="37">
        <f>BDbDT_calcs!V59</f>
        <v>51386.769919083366</v>
      </c>
      <c r="W3" s="37">
        <f>BDbDT_calcs!W59</f>
        <v>51908.523727262931</v>
      </c>
      <c r="X3" s="37">
        <f>BDbDT_calcs!X59</f>
        <v>52373.171889161393</v>
      </c>
      <c r="Y3" s="37">
        <f>BDbDT_calcs!Y59</f>
        <v>52804.806706733645</v>
      </c>
      <c r="Z3" s="37">
        <f>BDbDT_calcs!Z59</f>
        <v>53180.421647341318</v>
      </c>
      <c r="AA3" s="37">
        <f>BDbDT_calcs!AA59</f>
        <v>53491.412666685246</v>
      </c>
      <c r="AB3" s="37">
        <f>BDbDT_calcs!AB59</f>
        <v>53738.235311324221</v>
      </c>
    </row>
    <row r="4" spans="1:28" x14ac:dyDescent="0.25">
      <c r="A4" s="4" t="s">
        <v>217</v>
      </c>
      <c r="B4" s="37">
        <f>BDbDT_calcs!B60</f>
        <v>55558.387364329676</v>
      </c>
      <c r="C4" s="37">
        <f>BDbDT_calcs!C60</f>
        <v>56617.121061142527</v>
      </c>
      <c r="D4" s="37">
        <f>BDbDT_calcs!D60</f>
        <v>57605.227003864704</v>
      </c>
      <c r="E4" s="37">
        <f>BDbDT_calcs!E60</f>
        <v>58606.388292812349</v>
      </c>
      <c r="F4" s="37">
        <f>BDbDT_calcs!F60</f>
        <v>59632.737063361921</v>
      </c>
      <c r="G4" s="37">
        <f>BDbDT_calcs!G60</f>
        <v>60684.719397656983</v>
      </c>
      <c r="H4" s="37">
        <f>BDbDT_calcs!H60</f>
        <v>61764.776276043063</v>
      </c>
      <c r="I4" s="37">
        <f>BDbDT_calcs!I60</f>
        <v>62758.842747878232</v>
      </c>
      <c r="J4" s="37">
        <f>BDbDT_calcs!J60</f>
        <v>63767.701784637684</v>
      </c>
      <c r="K4" s="37">
        <f>BDbDT_calcs!K60</f>
        <v>64780.189791639867</v>
      </c>
      <c r="L4" s="37">
        <f>BDbDT_calcs!L60</f>
        <v>65792.964541051391</v>
      </c>
      <c r="M4" s="37">
        <f>BDbDT_calcs!M60</f>
        <v>66803.553905419249</v>
      </c>
      <c r="N4" s="37">
        <f>BDbDT_calcs!N60</f>
        <v>67799.899794719109</v>
      </c>
      <c r="O4" s="37">
        <f>BDbDT_calcs!O60</f>
        <v>68775.279206943058</v>
      </c>
      <c r="P4" s="37">
        <f>BDbDT_calcs!P60</f>
        <v>69720.79823503262</v>
      </c>
      <c r="Q4" s="37">
        <f>BDbDT_calcs!Q60</f>
        <v>70626.990932399</v>
      </c>
      <c r="R4" s="37">
        <f>BDbDT_calcs!R60</f>
        <v>71484.674418785973</v>
      </c>
      <c r="S4" s="37">
        <f>BDbDT_calcs!S60</f>
        <v>72209.673842477248</v>
      </c>
      <c r="T4" s="37">
        <f>BDbDT_calcs!T60</f>
        <v>72874.313256546462</v>
      </c>
      <c r="U4" s="37">
        <f>BDbDT_calcs!U60</f>
        <v>73478.142896507488</v>
      </c>
      <c r="V4" s="37">
        <f>BDbDT_calcs!V60</f>
        <v>74001.178358628051</v>
      </c>
      <c r="W4" s="37">
        <f>BDbDT_calcs!W60</f>
        <v>74437.328558265857</v>
      </c>
      <c r="X4" s="37">
        <f>BDbDT_calcs!X60</f>
        <v>74787.601188935092</v>
      </c>
      <c r="Y4" s="37">
        <f>BDbDT_calcs!Y60</f>
        <v>75089.647438385218</v>
      </c>
      <c r="Z4" s="37">
        <f>BDbDT_calcs!Z60</f>
        <v>75309.37705543323</v>
      </c>
      <c r="AA4" s="37">
        <f>BDbDT_calcs!AA60</f>
        <v>75441.5098786749</v>
      </c>
      <c r="AB4" s="37">
        <f>BDbDT_calcs!AB60</f>
        <v>75491.836730483046</v>
      </c>
    </row>
    <row r="5" spans="1:28" x14ac:dyDescent="0.25">
      <c r="A5" s="4" t="s">
        <v>218</v>
      </c>
      <c r="B5" s="37">
        <f>BDbDT_calcs!B61</f>
        <v>13857.745574146507</v>
      </c>
      <c r="C5" s="37">
        <f>BDbDT_calcs!C61</f>
        <v>14098.959124641802</v>
      </c>
      <c r="D5" s="37">
        <f>BDbDT_calcs!D61</f>
        <v>14324.805518043227</v>
      </c>
      <c r="E5" s="37">
        <f>BDbDT_calcs!E61</f>
        <v>14553.248820772385</v>
      </c>
      <c r="F5" s="37">
        <f>BDbDT_calcs!F61</f>
        <v>14789.097431904194</v>
      </c>
      <c r="G5" s="37">
        <f>BDbDT_calcs!G61</f>
        <v>15032.834486915093</v>
      </c>
      <c r="H5" s="37">
        <f>BDbDT_calcs!H61</f>
        <v>15284.186405974688</v>
      </c>
      <c r="I5" s="37">
        <f>BDbDT_calcs!I61</f>
        <v>15517.142920660304</v>
      </c>
      <c r="J5" s="37">
        <f>BDbDT_calcs!J61</f>
        <v>15757.047003563888</v>
      </c>
      <c r="K5" s="37">
        <f>BDbDT_calcs!K61</f>
        <v>16002.961771119264</v>
      </c>
      <c r="L5" s="37">
        <f>BDbDT_calcs!L61</f>
        <v>16254.975936670791</v>
      </c>
      <c r="M5" s="37">
        <f>BDbDT_calcs!M61</f>
        <v>16512.322603551751</v>
      </c>
      <c r="N5" s="37">
        <f>BDbDT_calcs!N61</f>
        <v>16775.852184858621</v>
      </c>
      <c r="O5" s="37">
        <f>BDbDT_calcs!O61</f>
        <v>17041.37912975259</v>
      </c>
      <c r="P5" s="37">
        <f>BDbDT_calcs!P61</f>
        <v>17310.822656980672</v>
      </c>
      <c r="Q5" s="37">
        <f>BDbDT_calcs!Q61</f>
        <v>17580.70823264353</v>
      </c>
      <c r="R5" s="37">
        <f>BDbDT_calcs!R61</f>
        <v>17850.637846679394</v>
      </c>
      <c r="S5" s="37">
        <f>BDbDT_calcs!S61</f>
        <v>18101.192117899893</v>
      </c>
      <c r="T5" s="37">
        <f>BDbDT_calcs!T61</f>
        <v>18347.9346711406</v>
      </c>
      <c r="U5" s="37">
        <f>BDbDT_calcs!U61</f>
        <v>18591.119144995551</v>
      </c>
      <c r="V5" s="37">
        <f>BDbDT_calcs!V61</f>
        <v>18828.541223603297</v>
      </c>
      <c r="W5" s="37">
        <f>BDbDT_calcs!W61</f>
        <v>19056.650835850909</v>
      </c>
      <c r="X5" s="37">
        <f>BDbDT_calcs!X61</f>
        <v>19274.088288672443</v>
      </c>
      <c r="Y5" s="37">
        <f>BDbDT_calcs!Y61</f>
        <v>19485.641446924823</v>
      </c>
      <c r="Z5" s="37">
        <f>BDbDT_calcs!Z61</f>
        <v>19685.860970823273</v>
      </c>
      <c r="AA5" s="37">
        <f>BDbDT_calcs!AA61</f>
        <v>19874.476531111461</v>
      </c>
      <c r="AB5" s="37">
        <f>BDbDT_calcs!AB61</f>
        <v>20049.318101748329</v>
      </c>
    </row>
    <row r="6" spans="1:28" x14ac:dyDescent="0.25">
      <c r="A6" s="4" t="s">
        <v>219</v>
      </c>
      <c r="B6" s="37">
        <f>BDbDT_calcs!B62</f>
        <v>3793.6958264051163</v>
      </c>
      <c r="C6" s="37">
        <f>BDbDT_calcs!C62</f>
        <v>3891.8944353362067</v>
      </c>
      <c r="D6" s="37">
        <f>BDbDT_calcs!D62</f>
        <v>3988.8058351586442</v>
      </c>
      <c r="E6" s="37">
        <f>BDbDT_calcs!E62</f>
        <v>4092.2124613729866</v>
      </c>
      <c r="F6" s="37">
        <f>BDbDT_calcs!F62</f>
        <v>4203.3699604306121</v>
      </c>
      <c r="G6" s="37">
        <f>BDbDT_calcs!G62</f>
        <v>4322.2723825630601</v>
      </c>
      <c r="H6" s="37">
        <f>BDbDT_calcs!H62</f>
        <v>4449.2905504901764</v>
      </c>
      <c r="I6" s="37">
        <f>BDbDT_calcs!I62</f>
        <v>4576.6647526522802</v>
      </c>
      <c r="J6" s="37">
        <f>BDbDT_calcs!J62</f>
        <v>4709.6067888408234</v>
      </c>
      <c r="K6" s="37">
        <f>BDbDT_calcs!K62</f>
        <v>4847.2128528001649</v>
      </c>
      <c r="L6" s="37">
        <f>BDbDT_calcs!L62</f>
        <v>4990.7584171612398</v>
      </c>
      <c r="M6" s="37">
        <f>BDbDT_calcs!M62</f>
        <v>5139.3208919355884</v>
      </c>
      <c r="N6" s="37">
        <f>BDbDT_calcs!N62</f>
        <v>5292.2912681804846</v>
      </c>
      <c r="O6" s="37">
        <f>BDbDT_calcs!O62</f>
        <v>5448.7797961911247</v>
      </c>
      <c r="P6" s="37">
        <f>BDbDT_calcs!P62</f>
        <v>5608.3323601282746</v>
      </c>
      <c r="Q6" s="37">
        <f>BDbDT_calcs!Q62</f>
        <v>5769.9148466766856</v>
      </c>
      <c r="R6" s="37">
        <f>BDbDT_calcs!R62</f>
        <v>5933.0197229350679</v>
      </c>
      <c r="S6" s="37">
        <f>BDbDT_calcs!S62</f>
        <v>6090.092087923239</v>
      </c>
      <c r="T6" s="37">
        <f>BDbDT_calcs!T62</f>
        <v>6247.4881796144837</v>
      </c>
      <c r="U6" s="37">
        <f>BDbDT_calcs!U62</f>
        <v>6403.858785801528</v>
      </c>
      <c r="V6" s="37">
        <f>BDbDT_calcs!V62</f>
        <v>6559.4092626774263</v>
      </c>
      <c r="W6" s="37">
        <f>BDbDT_calcs!W62</f>
        <v>6713.690675913278</v>
      </c>
      <c r="X6" s="37">
        <f>BDbDT_calcs!X62</f>
        <v>6867.2577413742119</v>
      </c>
      <c r="Y6" s="37">
        <f>BDbDT_calcs!Y62</f>
        <v>7019.6428215388523</v>
      </c>
      <c r="Z6" s="37">
        <f>BDbDT_calcs!Z62</f>
        <v>7171.0402203006179</v>
      </c>
      <c r="AA6" s="37">
        <f>BDbDT_calcs!AA62</f>
        <v>7321.3478010431136</v>
      </c>
      <c r="AB6" s="37">
        <f>BDbDT_calcs!AB62</f>
        <v>7470.0085593796484</v>
      </c>
    </row>
    <row r="7" spans="1:28" x14ac:dyDescent="0.25">
      <c r="A7" s="4" t="s">
        <v>220</v>
      </c>
      <c r="B7" s="37">
        <f>BDbDT_calcs!B63</f>
        <v>1634.8266229414817</v>
      </c>
      <c r="C7" s="37">
        <f>BDbDT_calcs!C63</f>
        <v>1674.7953652151525</v>
      </c>
      <c r="D7" s="37">
        <f>BDbDT_calcs!D63</f>
        <v>1714.454179051869</v>
      </c>
      <c r="E7" s="37">
        <f>BDbDT_calcs!E63</f>
        <v>1757.5513697514714</v>
      </c>
      <c r="F7" s="37">
        <f>BDbDT_calcs!F63</f>
        <v>1801.2061249140149</v>
      </c>
      <c r="G7" s="37">
        <f>BDbDT_calcs!G63</f>
        <v>1848.0029445691005</v>
      </c>
      <c r="H7" s="37">
        <f>BDbDT_calcs!H63</f>
        <v>1896.2896778807792</v>
      </c>
      <c r="I7" s="37">
        <f>BDbDT_calcs!I63</f>
        <v>1942.3661742598179</v>
      </c>
      <c r="J7" s="37">
        <f>BDbDT_calcs!J63</f>
        <v>1989.5536095082634</v>
      </c>
      <c r="K7" s="37">
        <f>BDbDT_calcs!K63</f>
        <v>2040.0058441625549</v>
      </c>
      <c r="L7" s="37">
        <f>BDbDT_calcs!L63</f>
        <v>2091.7804122873381</v>
      </c>
      <c r="M7" s="37">
        <f>BDbDT_calcs!M63</f>
        <v>2145.5248530398926</v>
      </c>
      <c r="N7" s="37">
        <f>BDbDT_calcs!N63</f>
        <v>2200.3064661231183</v>
      </c>
      <c r="O7" s="37">
        <f>BDbDT_calcs!O63</f>
        <v>2256.3043702723207</v>
      </c>
      <c r="P7" s="37">
        <f>BDbDT_calcs!P63</f>
        <v>2314.1177528291787</v>
      </c>
      <c r="Q7" s="37">
        <f>BDbDT_calcs!Q63</f>
        <v>2373.4522537593452</v>
      </c>
      <c r="R7" s="37">
        <f>BDbDT_calcs!R63</f>
        <v>2433.8610662239403</v>
      </c>
      <c r="S7" s="37">
        <f>BDbDT_calcs!S63</f>
        <v>2491.9339537232308</v>
      </c>
      <c r="T7" s="37">
        <f>BDbDT_calcs!T63</f>
        <v>2550.9280383930686</v>
      </c>
      <c r="U7" s="37">
        <f>BDbDT_calcs!U63</f>
        <v>2610.1766651806838</v>
      </c>
      <c r="V7" s="37">
        <f>BDbDT_calcs!V63</f>
        <v>2668.9257095964017</v>
      </c>
      <c r="W7" s="37">
        <f>BDbDT_calcs!W63</f>
        <v>2728.8034642525786</v>
      </c>
      <c r="X7" s="37">
        <f>BDbDT_calcs!X63</f>
        <v>2788.4962675714792</v>
      </c>
      <c r="Y7" s="37">
        <f>BDbDT_calcs!Y63</f>
        <v>2848.794198520699</v>
      </c>
      <c r="Z7" s="37">
        <f>BDbDT_calcs!Z63</f>
        <v>2908.6005312564789</v>
      </c>
      <c r="AA7" s="37">
        <f>BDbDT_calcs!AA63</f>
        <v>2968.3369049988023</v>
      </c>
      <c r="AB7" s="37">
        <f>BDbDT_calcs!AB63</f>
        <v>3028.4496360061239</v>
      </c>
    </row>
    <row r="8" spans="1:28" x14ac:dyDescent="0.25">
      <c r="A8" s="4" t="s">
        <v>221</v>
      </c>
      <c r="B8" s="37">
        <f>BDbDT_calcs!B64</f>
        <v>3894.9002345710501</v>
      </c>
      <c r="C8" s="37">
        <f>BDbDT_calcs!C64</f>
        <v>4041.4653835149111</v>
      </c>
      <c r="D8" s="37">
        <f>BDbDT_calcs!D64</f>
        <v>4186.6668740553596</v>
      </c>
      <c r="E8" s="37">
        <f>BDbDT_calcs!E64</f>
        <v>4335.9230034781876</v>
      </c>
      <c r="F8" s="37">
        <f>BDbDT_calcs!F64</f>
        <v>4489.3222124692684</v>
      </c>
      <c r="G8" s="37">
        <f>BDbDT_calcs!G64</f>
        <v>4647.4553784635955</v>
      </c>
      <c r="H8" s="37">
        <f>BDbDT_calcs!H64</f>
        <v>4811.8916277334711</v>
      </c>
      <c r="I8" s="37">
        <f>BDbDT_calcs!I64</f>
        <v>4974.1634205128312</v>
      </c>
      <c r="J8" s="37">
        <f>BDbDT_calcs!J64</f>
        <v>5141.1240774356656</v>
      </c>
      <c r="K8" s="37">
        <f>BDbDT_calcs!K64</f>
        <v>5313.9945743050885</v>
      </c>
      <c r="L8" s="37">
        <f>BDbDT_calcs!L64</f>
        <v>5493.7225854195394</v>
      </c>
      <c r="M8" s="37">
        <f>BDbDT_calcs!M64</f>
        <v>5679.0097650059697</v>
      </c>
      <c r="N8" s="37">
        <f>BDbDT_calcs!N64</f>
        <v>5871.3767220042428</v>
      </c>
      <c r="O8" s="37">
        <f>BDbDT_calcs!O64</f>
        <v>6069.8950981873822</v>
      </c>
      <c r="P8" s="37">
        <f>BDbDT_calcs!P64</f>
        <v>6274.3424688248169</v>
      </c>
      <c r="Q8" s="37">
        <f>BDbDT_calcs!Q64</f>
        <v>6485.0408827524579</v>
      </c>
      <c r="R8" s="37">
        <f>BDbDT_calcs!R64</f>
        <v>6700.7263469492736</v>
      </c>
      <c r="S8" s="37">
        <f>BDbDT_calcs!S64</f>
        <v>6913.9732297736209</v>
      </c>
      <c r="T8" s="37">
        <f>BDbDT_calcs!T64</f>
        <v>7131.7020074173815</v>
      </c>
      <c r="U8" s="37">
        <f>BDbDT_calcs!U64</f>
        <v>7353.4610613444738</v>
      </c>
      <c r="V8" s="37">
        <f>BDbDT_calcs!V64</f>
        <v>7578.2910382116797</v>
      </c>
      <c r="W8" s="37">
        <f>BDbDT_calcs!W64</f>
        <v>7805.1600826113463</v>
      </c>
      <c r="X8" s="37">
        <f>BDbDT_calcs!X64</f>
        <v>8035.0224961571994</v>
      </c>
      <c r="Y8" s="37">
        <f>BDbDT_calcs!Y64</f>
        <v>8266.2705594106319</v>
      </c>
      <c r="Z8" s="37">
        <f>BDbDT_calcs!Z64</f>
        <v>8498.7916951888383</v>
      </c>
      <c r="AA8" s="37">
        <f>BDbDT_calcs!AA64</f>
        <v>8730.6706062872636</v>
      </c>
      <c r="AB8" s="37">
        <f>BDbDT_calcs!AB64</f>
        <v>8961.6504905466372</v>
      </c>
    </row>
    <row r="9" spans="1:28" x14ac:dyDescent="0.25">
      <c r="A9" s="4" t="s">
        <v>222</v>
      </c>
      <c r="B9" s="37">
        <f>BDbDT_calcs!B65</f>
        <v>76138.000757239482</v>
      </c>
      <c r="C9" s="37">
        <f>BDbDT_calcs!C65</f>
        <v>77472.337265913375</v>
      </c>
      <c r="D9" s="37">
        <f>BDbDT_calcs!D65</f>
        <v>78710.296112126525</v>
      </c>
      <c r="E9" s="37">
        <f>BDbDT_calcs!E65</f>
        <v>79968.629301615554</v>
      </c>
      <c r="F9" s="37">
        <f>BDbDT_calcs!F65</f>
        <v>81263.289441598274</v>
      </c>
      <c r="G9" s="37">
        <f>BDbDT_calcs!G65</f>
        <v>82597.13006522895</v>
      </c>
      <c r="H9" s="37">
        <f>BDbDT_calcs!H65</f>
        <v>83968.405589535512</v>
      </c>
      <c r="I9" s="37">
        <f>BDbDT_calcs!I65</f>
        <v>85223.126022538563</v>
      </c>
      <c r="J9" s="37">
        <f>BDbDT_calcs!J65</f>
        <v>86498.82664662438</v>
      </c>
      <c r="K9" s="37">
        <f>BDbDT_calcs!K65</f>
        <v>87780.688255425397</v>
      </c>
      <c r="L9" s="37">
        <f>BDbDT_calcs!L65</f>
        <v>89061.855422920111</v>
      </c>
      <c r="M9" s="37">
        <f>BDbDT_calcs!M65</f>
        <v>90341.059120476333</v>
      </c>
      <c r="N9" s="37">
        <f>BDbDT_calcs!N65</f>
        <v>91599.816948818552</v>
      </c>
      <c r="O9" s="37">
        <f>BDbDT_calcs!O65</f>
        <v>92827.921606012751</v>
      </c>
      <c r="P9" s="37">
        <f>BDbDT_calcs!P65</f>
        <v>94016.708645200357</v>
      </c>
      <c r="Q9" s="37">
        <f>BDbDT_calcs!Q65</f>
        <v>95150.169839520226</v>
      </c>
      <c r="R9" s="37">
        <f>BDbDT_calcs!R65</f>
        <v>96218.191702796976</v>
      </c>
      <c r="S9" s="37">
        <f>BDbDT_calcs!S65</f>
        <v>97106.651068071733</v>
      </c>
      <c r="T9" s="37">
        <f>BDbDT_calcs!T65</f>
        <v>97912.022900629614</v>
      </c>
      <c r="U9" s="37">
        <f>BDbDT_calcs!U65</f>
        <v>98632.752807633384</v>
      </c>
      <c r="V9" s="37">
        <f>BDbDT_calcs!V65</f>
        <v>99243.982570630164</v>
      </c>
      <c r="W9" s="37">
        <f>BDbDT_calcs!W65</f>
        <v>99739.057164573489</v>
      </c>
      <c r="X9" s="37">
        <f>BDbDT_calcs!X65</f>
        <v>100115.37943011553</v>
      </c>
      <c r="Y9" s="37">
        <f>BDbDT_calcs!Y65</f>
        <v>100425.75522377083</v>
      </c>
      <c r="Z9" s="37">
        <f>BDbDT_calcs!Z65</f>
        <v>100623.77333240554</v>
      </c>
      <c r="AA9" s="37">
        <f>BDbDT_calcs!AA65</f>
        <v>100706.75966902405</v>
      </c>
      <c r="AB9" s="37">
        <f>BDbDT_calcs!AB65</f>
        <v>100680.60395371393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2026-08-17T20:29:44Z</dcterms:modified>
</cp:coreProperties>
</file>