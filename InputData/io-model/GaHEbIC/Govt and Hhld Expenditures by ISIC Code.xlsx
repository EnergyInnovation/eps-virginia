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by_BEA" sheetId="3" state="visible" r:id="rId3"/>
    <sheet name="2_HH_by_BEA" sheetId="4" state="visible" r:id="rId4"/>
    <sheet name="Src_Stateior_SoI_TotUs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3_Calc_Gov_ISIC" sheetId="11" state="visible" r:id="rId11"/>
    <sheet name="GaHEbIC-government" sheetId="12" state="visible" r:id="rId12"/>
    <sheet name="4_Calc_HH_ISIC" sheetId="13" state="visible" r:id="rId13"/>
    <sheet name="GaHEbIC-household" sheetId="14" state="visible" r:id="rId14"/>
  </sheets>
  <calcPr calcId="191029" fullCalcOnLoad="1"/>
</workbook>
</file>

<file path=xl/sharedStrings.xml><?xml version="1.0" encoding="utf-8"?>
<sst xmlns="http://schemas.openxmlformats.org/spreadsheetml/2006/main" count="565" uniqueCount="565">
  <si>
    <t xml:space="preserve">GaHEbIC-government - BAU Government Expenditures by ISIC Code</t>
  </si>
  <si>
    <t xml:space="preserve"/>
  </si>
  <si>
    <t xml:space="preserve">State: Virginia (VA)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</si>
  <si>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</si>
  <si>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</si>
  <si>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</si>
  <si>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Government final demand by ISIC commodity is the row-sum of stateior's</t>
  </si>
  <si>
    <t xml:space="preserve">Use table across all government final-demand columns for this state:</t>
  </si>
  <si>
    <t xml:space="preserve">  F06* Federal nondefense (consumption + investment)</t>
  </si>
  <si>
    <t xml:space="preserve">  F07* Federal defense (consumption + investment)</t>
  </si>
  <si>
    <t xml:space="preserve">  F10* State and local government (consumption + investment)</t>
  </si>
  <si>
    <t xml:space="preserve">All three families are included per BEA's 'government purchases of</t>
  </si>
  <si>
    <t xml:space="preserve">goods and services' definition. Values are in 2012 USD.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</si>
  <si>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</si>
  <si>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</si>
  <si>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</si>
  <si>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</si>
  <si>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</si>
  <si>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</si>
  <si>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</si>
  <si>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</si>
  <si>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</si>
  <si>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</si>
  <si>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</si>
  <si>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</si>
  <si>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</si>
  <si>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</si>
  <si>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</si>
  <si>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</si>
  <si>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</si>
  <si>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</si>
  <si>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</si>
  <si>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</si>
  <si>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</si>
  <si>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</si>
  <si>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</si>
  <si>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</si>
  <si>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</si>
  <si>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</si>
  <si>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</si>
  <si>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</si>
  <si>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</si>
  <si>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</si>
  <si>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</si>
  <si>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</si>
  <si>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</si>
  <si>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</si>
  <si>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</si>
  <si>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</si>
  <si>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</si>
  <si>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</si>
  <si>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</si>
  <si>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</si>
  <si>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</si>
  <si>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</si>
  <si>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</si>
  <si>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</si>
  <si>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</si>
  <si>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</si>
  <si>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</si>
  <si>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</si>
  <si>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</si>
  <si>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</si>
  <si>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</si>
  <si>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Two outputs (government + household). The ISIC aggregation is FORMULA-</t>
  </si>
  <si>
    <t xml:space="preserve">DRIVEN from the per-BEA vectors via the Crosswalk tab.</t>
  </si>
  <si>
    <t xml:space="preserve">Note: 1_Gov_by_BEA / 2_HH_by_BEA are pipeline VALUES, not derived in-sheet.</t>
  </si>
  <si>
    <t xml:space="preserve">They row-sum the SoI Use matrix over F06*/F07*/F10* (gov) and F01* (hh)</t>
  </si>
  <si>
    <t xml:space="preserve">final-demand columns spanning BOTH the SoI and RoUS regions - but the</t>
  </si>
  <si>
    <t xml:space="preserve">embedded Src_Stateior_SoI_TotUse holds only the SoI block (~93% of gov),</t>
  </si>
  <si>
    <t xml:space="preserve">so they cannot be reproduced in-sheet; the Use tab is context/provenance.</t>
  </si>
  <si>
    <t xml:space="preserve">Tabs:</t>
  </si>
  <si>
    <t xml:space="preserve">  - About / Keys</t>
  </si>
  <si>
    <t xml:space="preserve">  - 1_Gov_by_BEA / 2_HH_by_BEA (pipeline per-BEA values)</t>
  </si>
  <si>
    <t xml:space="preserve">  - Src_Stateior_SoI_TotUse (context)</t>
  </si>
  <si>
    <t xml:space="preserve">  - Crosswalk / splits / NAICS key</t>
  </si>
  <si>
    <t xml:space="preserve">  - 3_Calc_Gov_ISIC / 4_Calc_HH_ISIC - aggregate to 42 ISIC + deflate</t>
  </si>
  <si>
    <t xml:space="preserve">  - GaHEbIC-government / -household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</si>
  <si>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</si>
  <si>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</si>
  <si>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</si>
  <si>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</si>
  <si>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</si>
  <si>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</si>
  <si>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</si>
  <si>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</si>
  <si>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</si>
  <si>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</si>
  <si>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</si>
  <si>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</si>
  <si>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</si>
  <si>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</si>
  <si>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</si>
  <si>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</si>
  <si>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gov_expenditure_USD_2019nominal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</si>
  <si>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</si>
  <si>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</si>
  <si>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</si>
  <si>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</si>
  <si>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</si>
  <si>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</si>
  <si>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</si>
  <si>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</si>
  <si>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</si>
  <si>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</si>
  <si>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</si>
  <si>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</si>
  <si>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</si>
  <si>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</si>
  <si>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</si>
  <si>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</si>
  <si>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</si>
  <si>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</si>
  <si>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</si>
  <si>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</si>
  <si>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</si>
  <si>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</si>
  <si>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</si>
  <si>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</si>
  <si>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</si>
  <si>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</si>
  <si>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</si>
  <si>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</si>
  <si>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</si>
  <si>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</si>
  <si>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</si>
  <si>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</si>
  <si>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</si>
  <si>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</si>
  <si>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</si>
  <si>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</si>
  <si>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</si>
  <si>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</si>
  <si>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</si>
  <si>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</si>
  <si>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</si>
  <si>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</si>
  <si>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</si>
  <si>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</si>
  <si>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</si>
  <si>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</si>
  <si>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</si>
  <si>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</si>
  <si>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</si>
  <si>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</si>
  <si>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</si>
  <si>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</si>
  <si>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</si>
  <si>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</si>
  <si>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</si>
  <si>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</si>
  <si>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</si>
  <si>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</si>
  <si>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</si>
  <si>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</si>
  <si>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</si>
  <si>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</si>
  <si>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</si>
  <si>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</si>
  <si>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</si>
  <si>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</si>
  <si>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</si>
  <si>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</si>
  <si>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</si>
  <si>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</si>
  <si>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</si>
  <si>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</si>
  <si>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</si>
  <si>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hh_expenditure_USD_2019nominal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</si>
  <si>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</si>
  <si>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</si>
  <si>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</si>
  <si>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</si>
  <si>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</si>
  <si>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</si>
  <si>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</si>
  <si>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</si>
  <si>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</si>
  <si>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</si>
  <si>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</si>
  <si>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</si>
  <si>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</si>
  <si>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</si>
  <si>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</si>
  <si>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</si>
  <si>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</si>
  <si>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</si>
  <si>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</si>
  <si>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</si>
  <si>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</si>
  <si>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</si>
  <si>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</si>
  <si>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</si>
  <si>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</si>
  <si>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</si>
  <si>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</si>
  <si>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</si>
  <si>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</si>
  <si>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</si>
  <si>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VA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</si>
  <si>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</si>
  <si>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</si>
  <si>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</si>
  <si>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</si>
  <si>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</si>
  <si>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</si>
  <si>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</si>
  <si>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</si>
  <si>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</si>
  <si>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</si>
  <si>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</si>
  <si>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</si>
  <si>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</si>
  <si>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</si>
  <si>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</si>
  <si>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</si>
  <si>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</si>
  <si>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</si>
  <si>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</si>
  <si>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</si>
  <si>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</si>
  <si>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</si>
  <si>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</si>
  <si>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</si>
  <si>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</si>
  <si>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</si>
  <si>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</si>
  <si>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</si>
  <si>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</si>
  <si>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</si>
  <si>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</si>
  <si>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</si>
  <si>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</si>
  <si>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</si>
  <si>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</si>
  <si>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</si>
  <si>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</si>
  <si>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</si>
  <si>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</si>
  <si>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</si>
  <si>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</si>
  <si>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</si>
  <si>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</si>
  <si>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</si>
  <si>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</si>
  <si>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</si>
  <si>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</si>
  <si>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</si>
  <si>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</si>
  <si>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</si>
  <si>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</si>
  <si>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</si>
  <si>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</si>
  <si>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</si>
  <si>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</si>
  <si>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</si>
  <si>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</si>
  <si>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</si>
  <si>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</si>
  <si>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</si>
  <si>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</si>
  <si>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</si>
  <si>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</si>
  <si>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</si>
  <si>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</si>
  <si>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</si>
  <si>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</si>
  <si>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</si>
  <si>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</si>
  <si>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</si>
  <si>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</si>
  <si>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</si>
  <si>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</si>
  <si>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</si>
  <si>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</si>
  <si>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</si>
  <si>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</si>
  <si>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</si>
  <si>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</si>
  <si>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</si>
  <si>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</si>
  <si>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</si>
  <si>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</si>
  <si>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</si>
  <si>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</si>
  <si>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</si>
  <si>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</si>
  <si>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</si>
  <si>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</si>
  <si>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</si>
  <si>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</si>
  <si>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</si>
  <si>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</si>
  <si>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</si>
  <si>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</si>
  <si>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</si>
  <si>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</si>
  <si>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</si>
  <si>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VA.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</si>
  <si>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</si>
  <si>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</si>
  <si>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</si>
  <si>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</si>
  <si>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</si>
  <si>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</si>
  <si>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</si>
  <si>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</si>
  <si>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</si>
  <si>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</si>
  <si>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</si>
  <si>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</si>
  <si>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</si>
  <si>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</si>
  <si>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</si>
  <si>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</si>
  <si>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</si>
  <si>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</si>
  <si>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</si>
  <si>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</si>
  <si>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</si>
  <si>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</si>
  <si>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</si>
  <si>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</si>
  <si>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</si>
  <si>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</si>
  <si>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</si>
  <si>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</si>
  <si>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</si>
  <si>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</si>
  <si>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</si>
  <si>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</si>
  <si>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</si>
  <si>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</si>
  <si>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</si>
  <si>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</si>
  <si>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</si>
  <si>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</si>
  <si>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</si>
  <si>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</si>
  <si>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</si>
  <si>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</si>
  <si>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</si>
  <si>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</si>
  <si>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</si>
  <si>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</si>
  <si>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</si>
  <si>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</si>
  <si>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</si>
  <si>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</si>
  <si>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</si>
  <si>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</si>
  <si>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</si>
  <si>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</si>
  <si>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</si>
  <si>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</si>
  <si>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</si>
  <si>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</si>
  <si>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</si>
  <si>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</si>
  <si>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</si>
  <si>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</si>
  <si>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</si>
  <si>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</si>
  <si>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</si>
  <si>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</si>
  <si>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</si>
  <si>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</si>
  <si>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</si>
  <si>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</si>
  <si>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</si>
  <si>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</si>
  <si>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</si>
  <si>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</si>
  <si>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</si>
  <si>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</si>
  <si>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</si>
  <si>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</si>
  <si>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</si>
  <si>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</si>
  <si>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</si>
  <si>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</si>
  <si>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</si>
  <si>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</si>
  <si>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</si>
  <si>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</si>
  <si>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</si>
  <si>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</si>
  <si>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</si>
  <si>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</si>
  <si>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</si>
  <si>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</si>
  <si>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</si>
  <si>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</si>
  <si>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</si>
  <si>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</si>
  <si>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</si>
  <si>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</si>
  <si>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</si>
  <si>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</si>
  <si>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</si>
  <si>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</si>
  <si>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</si>
  <si>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</si>
  <si>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</si>
  <si>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</si>
  <si>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</si>
  <si>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</si>
  <si>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</si>
  <si>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</si>
  <si>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</si>
  <si>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</si>
  <si>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</si>
  <si>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</si>
  <si>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</si>
  <si>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</si>
  <si>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</si>
  <si>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</si>
  <si>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</si>
  <si>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</si>
  <si>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</si>
  <si>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</si>
  <si>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</si>
  <si>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</si>
  <si>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</si>
  <si>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</si>
  <si>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</si>
  <si>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</si>
  <si>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</si>
  <si>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</si>
  <si>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</si>
  <si>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</si>
  <si>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</si>
  <si>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</si>
  <si>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</si>
  <si>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</si>
  <si>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</si>
  <si>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</si>
  <si>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</si>
  <si>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</si>
  <si>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</si>
  <si>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</si>
  <si>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</si>
  <si>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</si>
  <si>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</si>
  <si>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</si>
  <si>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</si>
  <si>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</si>
  <si>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</si>
  <si>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</si>
  <si>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</si>
  <si>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</si>
  <si>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</si>
  <si>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</si>
  <si>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</si>
  <si>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2019 $552M + USGS T3 nonfuel 2021 $1300M -&gt; coal share 0.298 (applied to stateior 212 $2613M)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</si>
  <si>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</si>
  <si>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</si>
  <si>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</si>
  <si>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</si>
  <si>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</si>
  <si>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</si>
  <si>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</si>
  <si>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</si>
  <si>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</si>
  <si>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</si>
  <si>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</si>
  <si>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</si>
  <si>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</si>
  <si>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</si>
  <si>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</si>
  <si>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</si>
  <si>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</si>
  <si>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</si>
  <si>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VA.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</si>
  <si>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</si>
  <si>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</si>
  <si>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</si>
  <si>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</si>
  <si>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</si>
  <si>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</si>
  <si>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</si>
  <si>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</si>
  <si>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</si>
  <si>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</si>
  <si>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</si>
  <si>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</si>
  <si>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</si>
  <si>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</si>
  <si>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</si>
  <si>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</si>
  <si>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</si>
  <si>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</si>
  <si>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</si>
  <si>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</si>
  <si>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</si>
  <si>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</si>
  <si>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</si>
  <si>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</si>
  <si>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</si>
  <si>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</si>
  <si>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</si>
  <si>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</si>
  <si>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</si>
  <si>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</si>
  <si>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</si>
  <si>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</si>
  <si>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</si>
  <si>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</si>
  <si>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</si>
  <si>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</si>
  <si>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</si>
  <si>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</si>
  <si>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</si>
  <si>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</si>
  <si>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</si>
  <si>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</si>
  <si>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</si>
  <si>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</si>
  <si>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</si>
  <si>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</si>
  <si>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</si>
  <si>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</si>
  <si>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</si>
  <si>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</si>
  <si>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</si>
  <si>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</si>
  <si>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</si>
  <si>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</si>
  <si>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</si>
  <si>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</si>
  <si>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</si>
  <si>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</si>
  <si>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</si>
  <si>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</si>
  <si>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</si>
  <si>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</si>
  <si>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</si>
  <si>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</si>
  <si>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</si>
  <si>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</si>
  <si>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</si>
  <si>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</si>
  <si>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</si>
  <si>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</si>
  <si>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</si>
  <si>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</si>
  <si>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</si>
  <si>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</si>
  <si>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</si>
  <si>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</si>
  <si>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</si>
  <si>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</si>
  <si>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</si>
  <si>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</si>
  <si>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</si>
  <si>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</si>
  <si>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</si>
  <si>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</si>
  <si>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</si>
  <si>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</si>
  <si>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</si>
  <si>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</si>
  <si>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</si>
  <si>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Government Expenditures</t>
  </si>
  <si>
    <t xml:space="preserve">Household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</si>
</sst>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1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70</v>
      </c>
    </row>
    <row r="97">
      <c r="A97" t="s">
        <v>1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76</v>
      </c>
    </row>
    <row r="104">
      <c r="A104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78</v>
      </c>
      <c r="B1" t="s">
        <v>79</v>
      </c>
      <c r="C1" t="s">
        <v>80</v>
      </c>
      <c r="D1" t="s">
        <v>81</v>
      </c>
    </row>
    <row r="2">
      <c r="A2" t="s">
        <v>82</v>
      </c>
      <c r="B2" t="s">
        <v>83</v>
      </c>
      <c r="C2" t="n">
        <v>1.12266</v>
      </c>
      <c r="D2" t="s">
        <v>84</v>
      </c>
    </row>
    <row r="3">
      <c r="A3" t="s">
        <v>85</v>
      </c>
      <c r="B3" t="s">
        <v>86</v>
      </c>
      <c r="C3" t="n">
        <v>2019</v>
      </c>
      <c r="D3" t="s">
        <v>87</v>
      </c>
    </row>
    <row r="4">
      <c r="A4" t="s">
        <v>88</v>
      </c>
      <c r="B4" t="s">
        <v>89</v>
      </c>
      <c r="C4" t="n">
        <v>0.000000001</v>
      </c>
      <c r="D4" t="s">
        <v>90</v>
      </c>
    </row>
    <row r="5">
      <c r="A5" t="s">
        <v>88</v>
      </c>
      <c r="B5" t="s">
        <v>91</v>
      </c>
      <c r="C5" t="n">
        <v>1</v>
      </c>
      <c r="D5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94</v>
      </c>
    </row>
    <row r="2">
      <c r="A2" t="s">
        <v>95</v>
      </c>
      <c r="B2" t="n">
        <v>0</v>
      </c>
    </row>
    <row r="3">
      <c r="A3" t="s">
        <v>96</v>
      </c>
      <c r="B3" t="n">
        <v>0</v>
      </c>
    </row>
    <row r="4">
      <c r="A4" t="s">
        <v>97</v>
      </c>
      <c r="B4" t="n">
        <v>0</v>
      </c>
    </row>
    <row r="5">
      <c r="A5" t="s">
        <v>98</v>
      </c>
      <c r="B5" t="n">
        <v>0</v>
      </c>
    </row>
    <row r="6">
      <c r="A6" t="s">
        <v>99</v>
      </c>
      <c r="B6" t="n">
        <v>0</v>
      </c>
    </row>
    <row r="7">
      <c r="A7" t="s">
        <v>100</v>
      </c>
      <c r="B7" t="n">
        <v>0</v>
      </c>
    </row>
    <row r="8">
      <c r="A8" t="s">
        <v>101</v>
      </c>
      <c r="B8" t="n">
        <v>9223849340.29859</v>
      </c>
    </row>
    <row r="9">
      <c r="A9" t="s">
        <v>102</v>
      </c>
      <c r="B9" t="n">
        <v>1152823.89347478</v>
      </c>
    </row>
    <row r="10">
      <c r="A10" t="s">
        <v>103</v>
      </c>
      <c r="B10" t="n">
        <v>0</v>
      </c>
    </row>
    <row r="11">
      <c r="A11" t="s">
        <v>104</v>
      </c>
      <c r="B11" t="n">
        <v>0</v>
      </c>
    </row>
    <row r="12">
      <c r="A12" t="s">
        <v>105</v>
      </c>
      <c r="B12" t="n">
        <v>19577734.943868</v>
      </c>
    </row>
    <row r="13">
      <c r="A13" t="s">
        <v>106</v>
      </c>
      <c r="B13" t="n">
        <v>253106245.729554</v>
      </c>
    </row>
    <row r="14">
      <c r="A14" t="s">
        <v>107</v>
      </c>
      <c r="B14" t="n">
        <v>1490703612.80596</v>
      </c>
    </row>
    <row r="15">
      <c r="A15" t="s">
        <v>108</v>
      </c>
      <c r="B15" t="n">
        <v>44288919.5070697</v>
      </c>
    </row>
    <row r="16">
      <c r="A16" t="s">
        <v>109</v>
      </c>
      <c r="B16" t="n">
        <v>691855204.913531</v>
      </c>
    </row>
    <row r="17">
      <c r="A17" t="s">
        <v>110</v>
      </c>
      <c r="B17" t="n">
        <v>1800027310.10978</v>
      </c>
    </row>
    <row r="18">
      <c r="A18" t="s">
        <v>111</v>
      </c>
      <c r="B18" t="n">
        <v>47509687.0025165</v>
      </c>
    </row>
    <row r="19">
      <c r="A19" t="s">
        <v>112</v>
      </c>
      <c r="B19" t="n">
        <v>19996711.3710356</v>
      </c>
    </row>
    <row r="20">
      <c r="A20" t="s">
        <v>113</v>
      </c>
      <c r="B20" t="n">
        <v>0</v>
      </c>
    </row>
    <row r="21">
      <c r="A21" t="s">
        <v>114</v>
      </c>
      <c r="B21" t="n">
        <v>1256569.93274127</v>
      </c>
    </row>
    <row r="22">
      <c r="A22" t="s">
        <v>115</v>
      </c>
      <c r="B22" t="n">
        <v>0</v>
      </c>
    </row>
    <row r="23">
      <c r="A23" t="s">
        <v>116</v>
      </c>
      <c r="B23" t="n">
        <v>0</v>
      </c>
    </row>
    <row r="24">
      <c r="A24" t="s">
        <v>117</v>
      </c>
      <c r="B24" t="n">
        <v>0</v>
      </c>
    </row>
    <row r="25">
      <c r="A25" t="s">
        <v>118</v>
      </c>
      <c r="B25" t="n">
        <v>0</v>
      </c>
    </row>
    <row r="26">
      <c r="A26" t="s">
        <v>119</v>
      </c>
      <c r="B26" t="n">
        <v>0</v>
      </c>
    </row>
    <row r="27">
      <c r="A27" t="s">
        <v>120</v>
      </c>
      <c r="B27" t="n">
        <v>528769.131346595</v>
      </c>
    </row>
    <row r="28">
      <c r="A28" t="s">
        <v>121</v>
      </c>
      <c r="B28" t="n">
        <v>1320557446.95818</v>
      </c>
    </row>
    <row r="29">
      <c r="A29" t="s">
        <v>122</v>
      </c>
      <c r="B29" t="n">
        <v>0</v>
      </c>
    </row>
    <row r="30">
      <c r="A30" t="s">
        <v>123</v>
      </c>
      <c r="B30" t="n">
        <v>0</v>
      </c>
    </row>
    <row r="31">
      <c r="A31" t="s">
        <v>124</v>
      </c>
      <c r="B31" t="n">
        <v>0</v>
      </c>
    </row>
    <row r="32">
      <c r="A32" t="s">
        <v>125</v>
      </c>
      <c r="B32" t="n">
        <v>0</v>
      </c>
    </row>
    <row r="33">
      <c r="A33" t="s">
        <v>126</v>
      </c>
      <c r="B33" t="n">
        <v>5059131.54248949</v>
      </c>
    </row>
    <row r="34">
      <c r="A34" t="s">
        <v>127</v>
      </c>
      <c r="B34" t="n">
        <v>20985901.9616841</v>
      </c>
    </row>
    <row r="35">
      <c r="A35" t="s">
        <v>128</v>
      </c>
      <c r="B35" t="n">
        <v>83286.2837434134</v>
      </c>
    </row>
    <row r="36">
      <c r="A36" t="s">
        <v>129</v>
      </c>
      <c r="B36" t="n">
        <v>37727673.1624794</v>
      </c>
    </row>
    <row r="37">
      <c r="A37" t="s">
        <v>130</v>
      </c>
      <c r="B37" t="n">
        <v>0</v>
      </c>
    </row>
    <row r="38">
      <c r="A38" t="s">
        <v>131</v>
      </c>
      <c r="B38" t="n">
        <v>0</v>
      </c>
    </row>
    <row r="39">
      <c r="A39" t="s">
        <v>132</v>
      </c>
      <c r="B39" t="n">
        <v>0</v>
      </c>
    </row>
    <row r="40">
      <c r="A40" t="s">
        <v>133</v>
      </c>
      <c r="B40" t="n">
        <v>0</v>
      </c>
    </row>
    <row r="41">
      <c r="A41" t="s">
        <v>134</v>
      </c>
      <c r="B41" t="n">
        <v>404135000.043356</v>
      </c>
    </row>
    <row r="42">
      <c r="A42" t="s">
        <v>135</v>
      </c>
      <c r="B42" t="n">
        <v>0</v>
      </c>
    </row>
    <row r="43">
      <c r="A43" t="s">
        <v>136</v>
      </c>
      <c r="B43" t="n">
        <v>0</v>
      </c>
    </row>
    <row r="44">
      <c r="A44" t="s">
        <v>137</v>
      </c>
      <c r="B44" t="n">
        <v>1740019624.2735</v>
      </c>
    </row>
    <row r="45">
      <c r="A45" t="s">
        <v>138</v>
      </c>
      <c r="B45" t="n">
        <v>0</v>
      </c>
    </row>
    <row r="46">
      <c r="A46" t="s">
        <v>139</v>
      </c>
      <c r="B46" t="n">
        <v>0</v>
      </c>
    </row>
    <row r="47">
      <c r="A47" t="s">
        <v>140</v>
      </c>
      <c r="B47" t="n">
        <v>0</v>
      </c>
    </row>
    <row r="48">
      <c r="A48" t="s">
        <v>141</v>
      </c>
      <c r="B48" t="n">
        <v>0</v>
      </c>
    </row>
    <row r="49">
      <c r="A49" t="s">
        <v>142</v>
      </c>
      <c r="B49" t="n">
        <v>0</v>
      </c>
    </row>
    <row r="50">
      <c r="A50" t="s">
        <v>143</v>
      </c>
      <c r="B50" t="n">
        <v>0</v>
      </c>
    </row>
    <row r="51">
      <c r="A51" t="s">
        <v>144</v>
      </c>
      <c r="B51" t="n">
        <v>0</v>
      </c>
    </row>
    <row r="52">
      <c r="A52" t="s">
        <v>145</v>
      </c>
      <c r="B52" t="n">
        <v>0</v>
      </c>
    </row>
    <row r="53">
      <c r="A53" t="s">
        <v>146</v>
      </c>
      <c r="B53" t="n">
        <v>8017851431.18735</v>
      </c>
    </row>
    <row r="54">
      <c r="A54" t="s">
        <v>147</v>
      </c>
      <c r="B54" t="n">
        <v>7836349550.96414</v>
      </c>
    </row>
    <row r="55">
      <c r="A55" t="s">
        <v>148</v>
      </c>
      <c r="B55" t="n">
        <v>0</v>
      </c>
    </row>
    <row r="56">
      <c r="A56" t="s">
        <v>149</v>
      </c>
      <c r="B56" t="n">
        <v>0</v>
      </c>
    </row>
    <row r="57">
      <c r="A57" t="s">
        <v>150</v>
      </c>
      <c r="B57" t="n">
        <v>0</v>
      </c>
    </row>
    <row r="58">
      <c r="A58" t="s">
        <v>151</v>
      </c>
      <c r="B58" t="n">
        <v>0</v>
      </c>
    </row>
    <row r="59">
      <c r="A59" t="s">
        <v>152</v>
      </c>
      <c r="B59" t="n">
        <v>0</v>
      </c>
    </row>
    <row r="60">
      <c r="A60" t="s">
        <v>153</v>
      </c>
      <c r="B60" t="n">
        <v>0</v>
      </c>
    </row>
    <row r="61">
      <c r="A61" t="s">
        <v>154</v>
      </c>
      <c r="B61" t="n">
        <v>0</v>
      </c>
    </row>
    <row r="62">
      <c r="A62" t="s">
        <v>155</v>
      </c>
      <c r="B62" t="n">
        <v>0</v>
      </c>
    </row>
    <row r="63">
      <c r="A63" t="s">
        <v>156</v>
      </c>
      <c r="B63" t="n">
        <v>0</v>
      </c>
    </row>
    <row r="64">
      <c r="A64" t="s">
        <v>157</v>
      </c>
      <c r="B64" t="n">
        <v>0</v>
      </c>
    </row>
    <row r="65">
      <c r="A65" t="s">
        <v>158</v>
      </c>
      <c r="B65" t="n">
        <v>0</v>
      </c>
    </row>
    <row r="66">
      <c r="A66" t="s">
        <v>159</v>
      </c>
      <c r="B66" t="n">
        <v>0</v>
      </c>
    </row>
    <row r="67">
      <c r="A67" t="s">
        <v>160</v>
      </c>
      <c r="B67" t="n">
        <v>0</v>
      </c>
    </row>
    <row r="68">
      <c r="A68" t="s">
        <v>161</v>
      </c>
      <c r="B68" t="n">
        <v>30882877560.257</v>
      </c>
    </row>
    <row r="69">
      <c r="A69" t="s">
        <v>162</v>
      </c>
      <c r="B69" t="n">
        <v>129292947025.987</v>
      </c>
    </row>
    <row r="70">
      <c r="A70" t="s">
        <v>163</v>
      </c>
      <c r="B70" t="n">
        <v>0</v>
      </c>
    </row>
    <row r="71">
      <c r="A71" t="s">
        <v>164</v>
      </c>
      <c r="B71" t="n">
        <v>45711146339.7434</v>
      </c>
    </row>
    <row r="72">
      <c r="A72" t="s">
        <v>165</v>
      </c>
      <c r="B72" t="n">
        <v>0</v>
      </c>
    </row>
    <row r="73">
      <c r="A73" t="s">
        <v>166</v>
      </c>
      <c r="B73" t="n">
        <v>-371212842.999064</v>
      </c>
    </row>
    <row r="74">
      <c r="A74" t="s">
        <v>167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168</v>
      </c>
    </row>
    <row r="2">
      <c r="A2" t="s">
        <v>95</v>
      </c>
      <c r="B2" t="n">
        <v>906787804.176231</v>
      </c>
    </row>
    <row r="3">
      <c r="A3" t="s">
        <v>96</v>
      </c>
      <c r="B3" t="n">
        <v>144664393.018457</v>
      </c>
    </row>
    <row r="4">
      <c r="A4" t="s">
        <v>97</v>
      </c>
      <c r="B4" t="n">
        <v>0</v>
      </c>
    </row>
    <row r="5">
      <c r="A5" t="s">
        <v>98</v>
      </c>
      <c r="B5" t="n">
        <v>1023259.54223713</v>
      </c>
    </row>
    <row r="6">
      <c r="A6" t="s">
        <v>99</v>
      </c>
      <c r="B6" t="n">
        <v>0</v>
      </c>
    </row>
    <row r="7">
      <c r="A7" t="s">
        <v>100</v>
      </c>
      <c r="B7" t="n">
        <v>7049177403.47548</v>
      </c>
    </row>
    <row r="8">
      <c r="A8" t="s">
        <v>101</v>
      </c>
      <c r="B8" t="n">
        <v>0</v>
      </c>
    </row>
    <row r="9">
      <c r="A9" t="s">
        <v>102</v>
      </c>
      <c r="B9" t="n">
        <v>107876063.095447</v>
      </c>
    </row>
    <row r="10">
      <c r="A10" t="s">
        <v>103</v>
      </c>
      <c r="B10" t="n">
        <v>277138364.147874</v>
      </c>
    </row>
    <row r="11">
      <c r="A11" t="s">
        <v>104</v>
      </c>
      <c r="B11" t="n">
        <v>10806707.2167842</v>
      </c>
    </row>
    <row r="12">
      <c r="A12" t="s">
        <v>105</v>
      </c>
      <c r="B12" t="n">
        <v>360955914.711816</v>
      </c>
    </row>
    <row r="13">
      <c r="A13" t="s">
        <v>106</v>
      </c>
      <c r="B13" t="n">
        <v>219661955.610109</v>
      </c>
    </row>
    <row r="14">
      <c r="A14" t="s">
        <v>107</v>
      </c>
      <c r="B14" t="n">
        <v>1991089684.02486</v>
      </c>
    </row>
    <row r="15">
      <c r="A15" t="s">
        <v>108</v>
      </c>
      <c r="B15" t="n">
        <v>1038535934.92857</v>
      </c>
    </row>
    <row r="16">
      <c r="A16" t="s">
        <v>109</v>
      </c>
      <c r="B16" t="n">
        <v>3900765770.13406</v>
      </c>
    </row>
    <row r="17">
      <c r="A17" t="s">
        <v>110</v>
      </c>
      <c r="B17" t="n">
        <v>885864916.217653</v>
      </c>
    </row>
    <row r="18">
      <c r="A18" t="s">
        <v>111</v>
      </c>
      <c r="B18" t="n">
        <v>1327219765.39384</v>
      </c>
    </row>
    <row r="19">
      <c r="A19" t="s">
        <v>112</v>
      </c>
      <c r="B19" t="n">
        <v>2193950209.45636</v>
      </c>
    </row>
    <row r="20">
      <c r="A20" t="s">
        <v>113</v>
      </c>
      <c r="B20" t="n">
        <v>34235026215.5503</v>
      </c>
    </row>
    <row r="21">
      <c r="A21" t="s">
        <v>114</v>
      </c>
      <c r="B21" t="n">
        <v>627962719.05596</v>
      </c>
    </row>
    <row r="22">
      <c r="A22" t="s">
        <v>115</v>
      </c>
      <c r="B22" t="n">
        <v>3773333235.72995</v>
      </c>
    </row>
    <row r="23">
      <c r="A23" t="s">
        <v>116</v>
      </c>
      <c r="B23" t="n">
        <v>438776702.29855</v>
      </c>
    </row>
    <row r="24">
      <c r="A24" t="s">
        <v>117</v>
      </c>
      <c r="B24" t="n">
        <v>58295095.5068213</v>
      </c>
    </row>
    <row r="25">
      <c r="A25" t="s">
        <v>118</v>
      </c>
      <c r="B25" t="n">
        <v>892232018.629018</v>
      </c>
    </row>
    <row r="26">
      <c r="A26" t="s">
        <v>119</v>
      </c>
      <c r="B26" t="n">
        <v>4695478400.67799</v>
      </c>
    </row>
    <row r="27">
      <c r="A27" t="s">
        <v>120</v>
      </c>
      <c r="B27" t="n">
        <v>1022440379.23832</v>
      </c>
    </row>
    <row r="28">
      <c r="A28" t="s">
        <v>121</v>
      </c>
      <c r="B28" t="n">
        <v>11742911124.8387</v>
      </c>
    </row>
    <row r="29">
      <c r="A29" t="s">
        <v>122</v>
      </c>
      <c r="B29" t="n">
        <v>6927529864.86218</v>
      </c>
    </row>
    <row r="30">
      <c r="A30" t="s">
        <v>123</v>
      </c>
      <c r="B30" t="n">
        <v>6569344752.29795</v>
      </c>
    </row>
    <row r="31">
      <c r="A31" t="s">
        <v>124</v>
      </c>
      <c r="B31" t="n">
        <v>7332195951.94564</v>
      </c>
    </row>
    <row r="32">
      <c r="A32" t="s">
        <v>125</v>
      </c>
      <c r="B32" t="n">
        <v>18359590224.599</v>
      </c>
    </row>
    <row r="33">
      <c r="A33" t="s">
        <v>126</v>
      </c>
      <c r="B33" t="n">
        <v>4066025284.06048</v>
      </c>
    </row>
    <row r="34">
      <c r="A34" t="s">
        <v>127</v>
      </c>
      <c r="B34" t="n">
        <v>187212595.697144</v>
      </c>
    </row>
    <row r="35">
      <c r="A35" t="s">
        <v>128</v>
      </c>
      <c r="B35" t="n">
        <v>874371375.691439</v>
      </c>
    </row>
    <row r="36">
      <c r="A36" t="s">
        <v>129</v>
      </c>
      <c r="B36" t="n">
        <v>1659063840.60404</v>
      </c>
    </row>
    <row r="37">
      <c r="A37" t="s">
        <v>130</v>
      </c>
      <c r="B37" t="n">
        <v>1435949118.45825</v>
      </c>
    </row>
    <row r="38">
      <c r="A38" t="s">
        <v>131</v>
      </c>
      <c r="B38" t="n">
        <v>27157272.4217844</v>
      </c>
    </row>
    <row r="39">
      <c r="A39" t="s">
        <v>132</v>
      </c>
      <c r="B39" t="n">
        <v>463058274.540577</v>
      </c>
    </row>
    <row r="40">
      <c r="A40" t="s">
        <v>133</v>
      </c>
      <c r="B40" t="n">
        <v>6723566.76889363</v>
      </c>
    </row>
    <row r="41">
      <c r="A41" t="s">
        <v>134</v>
      </c>
      <c r="B41" t="n">
        <v>2359554908.03865</v>
      </c>
    </row>
    <row r="42">
      <c r="A42" t="s">
        <v>135</v>
      </c>
      <c r="B42" t="n">
        <v>284516486.998531</v>
      </c>
    </row>
    <row r="43">
      <c r="A43" t="s">
        <v>136</v>
      </c>
      <c r="B43" t="n">
        <v>7739820193.32717</v>
      </c>
    </row>
    <row r="44">
      <c r="A44" t="s">
        <v>137</v>
      </c>
      <c r="B44" t="n">
        <v>1650018123.08387</v>
      </c>
    </row>
    <row r="45">
      <c r="A45" t="s">
        <v>138</v>
      </c>
      <c r="B45" t="n">
        <v>7768597139.70141</v>
      </c>
    </row>
    <row r="46">
      <c r="A46" t="s">
        <v>139</v>
      </c>
      <c r="B46" t="n">
        <v>2302385327.11856</v>
      </c>
    </row>
    <row r="47">
      <c r="A47" t="s">
        <v>140</v>
      </c>
      <c r="B47" t="n">
        <v>6822147830.5406</v>
      </c>
    </row>
    <row r="48">
      <c r="A48" t="s">
        <v>141</v>
      </c>
      <c r="B48" t="n">
        <v>8496982038.65054</v>
      </c>
    </row>
    <row r="49">
      <c r="A49" t="s">
        <v>142</v>
      </c>
      <c r="B49" t="n">
        <v>61200556893.6184</v>
      </c>
    </row>
    <row r="50">
      <c r="A50" t="s">
        <v>143</v>
      </c>
      <c r="B50" t="n">
        <v>177770498.981341</v>
      </c>
    </row>
    <row r="51">
      <c r="A51" t="s">
        <v>144</v>
      </c>
      <c r="B51" t="n">
        <v>1985480548.70607</v>
      </c>
    </row>
    <row r="52">
      <c r="A52" t="s">
        <v>145</v>
      </c>
      <c r="B52" t="n">
        <v>2506636940.74154</v>
      </c>
    </row>
    <row r="53">
      <c r="A53" t="s">
        <v>146</v>
      </c>
      <c r="B53" t="n">
        <v>0</v>
      </c>
    </row>
    <row r="54">
      <c r="A54" t="s">
        <v>147</v>
      </c>
      <c r="B54" t="n">
        <v>2643279194.6701</v>
      </c>
    </row>
    <row r="55">
      <c r="A55" t="s">
        <v>148</v>
      </c>
      <c r="B55" t="n">
        <v>0</v>
      </c>
    </row>
    <row r="56">
      <c r="A56" t="s">
        <v>149</v>
      </c>
      <c r="B56" t="n">
        <v>2649305444.52657</v>
      </c>
    </row>
    <row r="57">
      <c r="A57" t="s">
        <v>150</v>
      </c>
      <c r="B57" t="n">
        <v>699735851.393339</v>
      </c>
    </row>
    <row r="58">
      <c r="A58" t="s">
        <v>151</v>
      </c>
      <c r="B58" t="n">
        <v>8444009925.57753</v>
      </c>
    </row>
    <row r="59">
      <c r="A59" t="s">
        <v>152</v>
      </c>
      <c r="B59" t="n">
        <v>34198217310.35</v>
      </c>
    </row>
    <row r="60">
      <c r="A60" t="s">
        <v>153</v>
      </c>
      <c r="B60" t="n">
        <v>34007045988.9832</v>
      </c>
    </row>
    <row r="61">
      <c r="A61" t="s">
        <v>154</v>
      </c>
      <c r="B61" t="n">
        <v>7668955646.13865</v>
      </c>
    </row>
    <row r="62">
      <c r="A62" t="s">
        <v>155</v>
      </c>
      <c r="B62" t="n">
        <v>7442550573.85642</v>
      </c>
    </row>
    <row r="63">
      <c r="A63" t="s">
        <v>156</v>
      </c>
      <c r="B63" t="n">
        <v>1993578402.1584</v>
      </c>
    </row>
    <row r="64">
      <c r="A64" t="s">
        <v>157</v>
      </c>
      <c r="B64" t="n">
        <v>3968769923.22075</v>
      </c>
    </row>
    <row r="65">
      <c r="A65" t="s">
        <v>158</v>
      </c>
      <c r="B65" t="n">
        <v>3396185512.31092</v>
      </c>
    </row>
    <row r="66">
      <c r="A66" t="s">
        <v>159</v>
      </c>
      <c r="B66" t="n">
        <v>20691405049.9989</v>
      </c>
    </row>
    <row r="67">
      <c r="A67" t="s">
        <v>160</v>
      </c>
      <c r="B67" t="n">
        <v>19987907564.5836</v>
      </c>
    </row>
    <row r="68">
      <c r="A68" t="s">
        <v>161</v>
      </c>
      <c r="B68" t="n">
        <v>0</v>
      </c>
    </row>
    <row r="69">
      <c r="A69" t="s">
        <v>162</v>
      </c>
      <c r="B69" t="n">
        <v>0</v>
      </c>
    </row>
    <row r="70">
      <c r="A70" t="s">
        <v>163</v>
      </c>
      <c r="B70" t="n">
        <v>445030283.877981</v>
      </c>
    </row>
    <row r="71">
      <c r="A71" t="s">
        <v>164</v>
      </c>
      <c r="B71" t="n">
        <v>0</v>
      </c>
    </row>
    <row r="72">
      <c r="A72" t="s">
        <v>165</v>
      </c>
      <c r="B72" t="n">
        <v>1280081369.66224</v>
      </c>
    </row>
    <row r="73">
      <c r="A73" t="s">
        <v>166</v>
      </c>
      <c r="B73" t="n">
        <v>2182245073.73627</v>
      </c>
    </row>
    <row r="74">
      <c r="A74" t="s">
        <v>167</v>
      </c>
      <c r="B74" t="n">
        <v>-1971965185.84052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169</v>
      </c>
    </row>
    <row r="2">
      <c r="A2" t="s">
        <v>170</v>
      </c>
    </row>
    <row r="3">
      <c r="A3" t="s">
        <v>171</v>
      </c>
    </row>
    <row r="4">
      <c r="A4" t="s">
        <v>172</v>
      </c>
    </row>
    <row r="5">
      <c r="A5" t="s">
        <v>173</v>
      </c>
    </row>
    <row r="6">
      <c r="A6" t="s">
        <v>174</v>
      </c>
    </row>
    <row r="7">
      <c r="A7" t="s">
        <v>1</v>
      </c>
    </row>
    <row r="9">
      <c r="A9" t="s">
        <v>175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  <c r="G9" t="s">
        <v>100</v>
      </c>
      <c r="H9" t="s">
        <v>101</v>
      </c>
      <c r="I9" t="s">
        <v>102</v>
      </c>
      <c r="J9" t="s">
        <v>103</v>
      </c>
      <c r="K9" t="s">
        <v>104</v>
      </c>
      <c r="L9" t="s">
        <v>105</v>
      </c>
      <c r="M9" t="s">
        <v>106</v>
      </c>
      <c r="N9" t="s">
        <v>107</v>
      </c>
      <c r="O9" t="s">
        <v>108</v>
      </c>
      <c r="P9" t="s">
        <v>109</v>
      </c>
      <c r="Q9" t="s">
        <v>110</v>
      </c>
      <c r="R9" t="s">
        <v>111</v>
      </c>
      <c r="S9" t="s">
        <v>112</v>
      </c>
      <c r="T9" t="s">
        <v>113</v>
      </c>
      <c r="U9" t="s">
        <v>114</v>
      </c>
      <c r="V9" t="s">
        <v>115</v>
      </c>
      <c r="W9" t="s">
        <v>116</v>
      </c>
      <c r="X9" t="s">
        <v>117</v>
      </c>
      <c r="Y9" t="s">
        <v>118</v>
      </c>
      <c r="Z9" t="s">
        <v>119</v>
      </c>
      <c r="AA9" t="s">
        <v>120</v>
      </c>
      <c r="AB9" t="s">
        <v>121</v>
      </c>
      <c r="AC9" t="s">
        <v>122</v>
      </c>
      <c r="AD9" t="s">
        <v>123</v>
      </c>
      <c r="AE9" t="s">
        <v>124</v>
      </c>
      <c r="AF9" t="s">
        <v>125</v>
      </c>
      <c r="AG9" t="s">
        <v>126</v>
      </c>
      <c r="AH9" t="s">
        <v>127</v>
      </c>
      <c r="AI9" t="s">
        <v>128</v>
      </c>
      <c r="AJ9" t="s">
        <v>129</v>
      </c>
      <c r="AK9" t="s">
        <v>130</v>
      </c>
      <c r="AL9" t="s">
        <v>131</v>
      </c>
      <c r="AM9" t="s">
        <v>132</v>
      </c>
      <c r="AN9" t="s">
        <v>133</v>
      </c>
      <c r="AO9" t="s">
        <v>134</v>
      </c>
      <c r="AP9" t="s">
        <v>135</v>
      </c>
      <c r="AQ9" t="s">
        <v>136</v>
      </c>
      <c r="AR9" t="s">
        <v>137</v>
      </c>
      <c r="AS9" t="s">
        <v>138</v>
      </c>
      <c r="AT9" t="s">
        <v>139</v>
      </c>
      <c r="AU9" t="s">
        <v>140</v>
      </c>
      <c r="AV9" t="s">
        <v>141</v>
      </c>
      <c r="AW9" t="s">
        <v>142</v>
      </c>
      <c r="AX9" t="s">
        <v>143</v>
      </c>
      <c r="AY9" t="s">
        <v>144</v>
      </c>
      <c r="AZ9" t="s">
        <v>145</v>
      </c>
      <c r="BA9" t="s">
        <v>146</v>
      </c>
      <c r="BB9" t="s">
        <v>147</v>
      </c>
      <c r="BC9" t="s">
        <v>148</v>
      </c>
      <c r="BD9" t="s">
        <v>149</v>
      </c>
      <c r="BE9" t="s">
        <v>150</v>
      </c>
      <c r="BF9" t="s">
        <v>151</v>
      </c>
      <c r="BG9" t="s">
        <v>152</v>
      </c>
      <c r="BH9" t="s">
        <v>153</v>
      </c>
      <c r="BI9" t="s">
        <v>154</v>
      </c>
      <c r="BJ9" t="s">
        <v>155</v>
      </c>
      <c r="BK9" t="s">
        <v>156</v>
      </c>
      <c r="BL9" t="s">
        <v>157</v>
      </c>
      <c r="BM9" t="s">
        <v>158</v>
      </c>
      <c r="BN9" t="s">
        <v>159</v>
      </c>
      <c r="BO9" t="s">
        <v>160</v>
      </c>
      <c r="BP9" t="s">
        <v>161</v>
      </c>
      <c r="BQ9" t="s">
        <v>162</v>
      </c>
      <c r="BR9" t="s">
        <v>163</v>
      </c>
      <c r="BS9" t="s">
        <v>164</v>
      </c>
      <c r="BT9" t="s">
        <v>165</v>
      </c>
      <c r="BU9" t="s">
        <v>176</v>
      </c>
      <c r="BV9" t="s">
        <v>177</v>
      </c>
      <c r="BW9" t="s">
        <v>178</v>
      </c>
      <c r="BX9" t="s">
        <v>179</v>
      </c>
      <c r="BY9" t="s">
        <v>180</v>
      </c>
      <c r="BZ9" t="s">
        <v>181</v>
      </c>
      <c r="CA9" t="s">
        <v>182</v>
      </c>
      <c r="CB9" t="s">
        <v>183</v>
      </c>
      <c r="CC9" t="s">
        <v>184</v>
      </c>
      <c r="CD9" t="s">
        <v>185</v>
      </c>
      <c r="CE9" t="s">
        <v>186</v>
      </c>
      <c r="CF9" t="s">
        <v>187</v>
      </c>
      <c r="CG9" t="s">
        <v>188</v>
      </c>
      <c r="CH9" t="s">
        <v>189</v>
      </c>
      <c r="CI9" t="s">
        <v>190</v>
      </c>
      <c r="CJ9" t="s">
        <v>191</v>
      </c>
      <c r="CK9" t="s">
        <v>192</v>
      </c>
      <c r="CL9" t="s">
        <v>193</v>
      </c>
      <c r="CM9" t="s">
        <v>194</v>
      </c>
      <c r="CN9" t="s">
        <v>195</v>
      </c>
    </row>
    <row r="10">
      <c r="A10" t="s">
        <v>95</v>
      </c>
      <c r="B10" t="n">
        <v>173463410.448806</v>
      </c>
      <c r="C10" t="n">
        <v>1111815.99976368</v>
      </c>
      <c r="D10" t="n">
        <v>0</v>
      </c>
      <c r="E10" t="n">
        <v>105527.892824293</v>
      </c>
      <c r="F10" t="n">
        <v>5963.66165917075</v>
      </c>
      <c r="G10" t="n">
        <v>0</v>
      </c>
      <c r="H10" t="n">
        <v>9279042.01222385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648077.534229839</v>
      </c>
      <c r="T10" t="n">
        <v>3291039429.33868</v>
      </c>
      <c r="U10" t="n">
        <v>10384080.5167364</v>
      </c>
      <c r="V10" t="n">
        <v>0</v>
      </c>
      <c r="W10" t="n">
        <v>0</v>
      </c>
      <c r="X10" t="n">
        <v>0</v>
      </c>
      <c r="Y10" t="n">
        <v>0</v>
      </c>
      <c r="Z10" t="n">
        <v>22945730.5952636</v>
      </c>
      <c r="AA10" t="n">
        <v>0</v>
      </c>
      <c r="AB10" t="n">
        <v>3133910.96000936</v>
      </c>
      <c r="AC10" t="n">
        <v>4878333.2244903</v>
      </c>
      <c r="AD10" t="n">
        <v>5889351.72662545</v>
      </c>
      <c r="AE10" t="n">
        <v>981663.64529813</v>
      </c>
      <c r="AF10" t="n">
        <v>2082709.98580379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268244.082767778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5274.30191726976</v>
      </c>
      <c r="AT10" t="n">
        <v>0</v>
      </c>
      <c r="AU10" t="n">
        <v>0</v>
      </c>
      <c r="AV10" t="n">
        <v>0</v>
      </c>
      <c r="AW10" t="n">
        <v>0</v>
      </c>
      <c r="AX10" t="n">
        <v>16626.4210434089</v>
      </c>
      <c r="AY10" t="n">
        <v>0</v>
      </c>
      <c r="AZ10" t="n">
        <v>4176.06560932499</v>
      </c>
      <c r="BA10" t="n">
        <v>0</v>
      </c>
      <c r="BB10" t="n">
        <v>11555712.4835828</v>
      </c>
      <c r="BC10" t="n">
        <v>179892.450572061</v>
      </c>
      <c r="BD10" t="n">
        <v>15604711.2069599</v>
      </c>
      <c r="BE10" t="n">
        <v>0</v>
      </c>
      <c r="BF10" t="n">
        <v>1547495.58294326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3542991.71386948</v>
      </c>
      <c r="BM10" t="n">
        <v>320808.588087023</v>
      </c>
      <c r="BN10" t="n">
        <v>77302743.6406019</v>
      </c>
      <c r="BO10" t="n">
        <v>159281.632562235</v>
      </c>
      <c r="BP10" t="n">
        <v>391958.817776268</v>
      </c>
      <c r="BQ10" t="n">
        <v>1675470.48166079</v>
      </c>
      <c r="BR10" t="n">
        <v>0</v>
      </c>
      <c r="BS10" t="n">
        <v>30456334.3025011</v>
      </c>
      <c r="BT10" t="n">
        <v>0</v>
      </c>
      <c r="BU10" t="n">
        <v>902986923.512436</v>
      </c>
      <c r="BV10" t="n">
        <v>0</v>
      </c>
      <c r="BW10" t="n">
        <v>0</v>
      </c>
      <c r="BX10" t="n">
        <v>0</v>
      </c>
      <c r="BY10" t="n">
        <v>0</v>
      </c>
      <c r="BZ10" t="n">
        <v>-125975331.577247</v>
      </c>
      <c r="CA10" t="n">
        <v>659058070.040633</v>
      </c>
      <c r="CB10" t="n">
        <v>-1563510385.03983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96</v>
      </c>
      <c r="B11" t="n">
        <v>92021614.1132347</v>
      </c>
      <c r="C11" t="n">
        <v>23385851.3121132</v>
      </c>
      <c r="D11" t="n">
        <v>0</v>
      </c>
      <c r="E11" t="n">
        <v>847658.887108056</v>
      </c>
      <c r="F11" t="n">
        <v>0</v>
      </c>
      <c r="G11" t="n">
        <v>0</v>
      </c>
      <c r="H11" t="n">
        <v>0</v>
      </c>
      <c r="I11" t="n">
        <v>157558805.42994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1705718.92053654</v>
      </c>
      <c r="S11" t="n">
        <v>1664783.90255289</v>
      </c>
      <c r="T11" t="n">
        <v>444460330.328399</v>
      </c>
      <c r="U11" t="n">
        <v>0</v>
      </c>
      <c r="V11" t="n">
        <v>299842.600391524</v>
      </c>
      <c r="W11" t="n">
        <v>22926906.9442111</v>
      </c>
      <c r="X11" t="n">
        <v>308806.696900602</v>
      </c>
      <c r="Y11" t="n">
        <v>0</v>
      </c>
      <c r="Z11" t="n">
        <v>1883611.69909116</v>
      </c>
      <c r="AA11" t="n">
        <v>34233877.210658</v>
      </c>
      <c r="AB11" t="n">
        <v>0</v>
      </c>
      <c r="AC11" t="n">
        <v>0</v>
      </c>
      <c r="AD11" t="n">
        <v>16613686.2182545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22941.6788762126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5745794.32200292</v>
      </c>
      <c r="BC11" t="n">
        <v>294413.946909578</v>
      </c>
      <c r="BD11" t="n">
        <v>64384.1308793456</v>
      </c>
      <c r="BE11" t="n">
        <v>0</v>
      </c>
      <c r="BF11" t="n">
        <v>904493.637668708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3272880.96102843</v>
      </c>
      <c r="BM11" t="n">
        <v>6509978.36684601</v>
      </c>
      <c r="BN11" t="n">
        <v>114185229.404178</v>
      </c>
      <c r="BO11" t="n">
        <v>2240053.53410468</v>
      </c>
      <c r="BP11" t="n">
        <v>0</v>
      </c>
      <c r="BQ11" t="n">
        <v>1262375.43014148</v>
      </c>
      <c r="BR11" t="n">
        <v>875490.898253554</v>
      </c>
      <c r="BS11" t="n">
        <v>57815677.5872217</v>
      </c>
      <c r="BT11" t="n">
        <v>0</v>
      </c>
      <c r="BU11" t="n">
        <v>113926415.904989</v>
      </c>
      <c r="BV11" t="n">
        <v>0</v>
      </c>
      <c r="BW11" t="n">
        <v>0</v>
      </c>
      <c r="BX11" t="n">
        <v>0</v>
      </c>
      <c r="BY11" t="n">
        <v>0</v>
      </c>
      <c r="BZ11" t="n">
        <v>17648755.7293081</v>
      </c>
      <c r="CA11" t="n">
        <v>114196741.708921</v>
      </c>
      <c r="CB11" t="n">
        <v>-696470718.834133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97</v>
      </c>
      <c r="B12" t="n">
        <v>0</v>
      </c>
      <c r="C12" t="n">
        <v>0</v>
      </c>
      <c r="D12" t="n">
        <v>776322.007121314</v>
      </c>
      <c r="E12" t="n">
        <v>0</v>
      </c>
      <c r="F12" t="n">
        <v>4384.71592983304</v>
      </c>
      <c r="G12" t="n">
        <v>34098544.7731026</v>
      </c>
      <c r="H12" t="n">
        <v>0</v>
      </c>
      <c r="I12" t="n">
        <v>34969.9611736427</v>
      </c>
      <c r="J12" t="n">
        <v>0.187574571190678</v>
      </c>
      <c r="K12" t="n">
        <v>0.229852097415739</v>
      </c>
      <c r="L12" t="n">
        <v>0</v>
      </c>
      <c r="M12" t="n">
        <v>0</v>
      </c>
      <c r="N12" t="n">
        <v>0</v>
      </c>
      <c r="O12" t="n">
        <v>0</v>
      </c>
      <c r="P12" t="n">
        <v>0.107795360037553</v>
      </c>
      <c r="Q12" t="n">
        <v>0</v>
      </c>
      <c r="R12" t="n">
        <v>0</v>
      </c>
      <c r="S12" t="n">
        <v>0</v>
      </c>
      <c r="T12" t="n">
        <v>0.537745114521166</v>
      </c>
      <c r="U12" t="n">
        <v>0</v>
      </c>
      <c r="V12" t="n">
        <v>0</v>
      </c>
      <c r="W12" t="n">
        <v>21184.386759207</v>
      </c>
      <c r="X12" t="n">
        <v>0.159494172965456</v>
      </c>
      <c r="Y12" t="n">
        <v>331574154.89472</v>
      </c>
      <c r="Z12" t="n">
        <v>1535342.98142795</v>
      </c>
      <c r="AA12" t="n">
        <v>0</v>
      </c>
      <c r="AB12" t="n">
        <v>18940.3007063137</v>
      </c>
      <c r="AC12" t="n">
        <v>28009.4903246883</v>
      </c>
      <c r="AD12" t="n">
        <v>0</v>
      </c>
      <c r="AE12" t="n">
        <v>0.276278537447848</v>
      </c>
      <c r="AF12" t="n">
        <v>38460.1889635257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6805.98118203667</v>
      </c>
      <c r="AM12" t="n">
        <v>0</v>
      </c>
      <c r="AN12" t="n">
        <v>550860.897096281</v>
      </c>
      <c r="AO12" t="n">
        <v>289343.167947141</v>
      </c>
      <c r="AP12" t="n">
        <v>0</v>
      </c>
      <c r="AQ12" t="n">
        <v>19962.533039777</v>
      </c>
      <c r="AR12" t="n">
        <v>92395.9412035979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162991.740069371</v>
      </c>
      <c r="AY12" t="n">
        <v>0</v>
      </c>
      <c r="AZ12" t="n">
        <v>0</v>
      </c>
      <c r="BA12" t="n">
        <v>0.658942831371956</v>
      </c>
      <c r="BB12" t="n">
        <v>39861.4612025214</v>
      </c>
      <c r="BC12" t="n">
        <v>34042.7878088423</v>
      </c>
      <c r="BD12" t="n">
        <v>0</v>
      </c>
      <c r="BE12" t="n">
        <v>18789.3087339722</v>
      </c>
      <c r="BF12" t="n">
        <v>1374393.59677643</v>
      </c>
      <c r="BG12" t="n">
        <v>0.21682344851739</v>
      </c>
      <c r="BH12" t="n">
        <v>0</v>
      </c>
      <c r="BI12" t="n">
        <v>0.198769858683359</v>
      </c>
      <c r="BJ12" t="n">
        <v>0</v>
      </c>
      <c r="BK12" t="n">
        <v>0</v>
      </c>
      <c r="BL12" t="n">
        <v>136191.424874807</v>
      </c>
      <c r="BM12" t="n">
        <v>0.167999685991787</v>
      </c>
      <c r="BN12" t="n">
        <v>0.217058742210359</v>
      </c>
      <c r="BO12" t="n">
        <v>60746.5336122507</v>
      </c>
      <c r="BP12" t="n">
        <v>0</v>
      </c>
      <c r="BQ12" t="n">
        <v>0</v>
      </c>
      <c r="BR12" t="n">
        <v>6145156.53528443</v>
      </c>
      <c r="BS12" t="n">
        <v>0</v>
      </c>
      <c r="BT12" t="n">
        <v>19657361.2008893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217.578749307591</v>
      </c>
      <c r="CA12" t="n">
        <v>3407.79008906232</v>
      </c>
      <c r="CB12" t="n">
        <v>-396710877.362346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98</v>
      </c>
      <c r="B13" t="n">
        <v>2253567.50749107</v>
      </c>
      <c r="C13" t="n">
        <v>0</v>
      </c>
      <c r="D13" t="n">
        <v>4530.52683785652</v>
      </c>
      <c r="E13" t="n">
        <v>27588987.5398206</v>
      </c>
      <c r="F13" t="n">
        <v>42348.0991300609</v>
      </c>
      <c r="G13" t="n">
        <v>22638934.4564084</v>
      </c>
      <c r="H13" t="n">
        <v>77305584.5550642</v>
      </c>
      <c r="I13" t="n">
        <v>44633.8217671016</v>
      </c>
      <c r="J13" t="n">
        <v>43238704.3283429</v>
      </c>
      <c r="K13" t="n">
        <v>18664962.4488594</v>
      </c>
      <c r="L13" t="n">
        <v>1420637.92051221</v>
      </c>
      <c r="M13" t="n">
        <v>352817.731319946</v>
      </c>
      <c r="N13" t="n">
        <v>31251.0134607847</v>
      </c>
      <c r="O13" t="n">
        <v>751548.972810147</v>
      </c>
      <c r="P13" t="n">
        <v>419038.579385974</v>
      </c>
      <c r="Q13" t="n">
        <v>658860.486194881</v>
      </c>
      <c r="R13" t="n">
        <v>54365.0773655866</v>
      </c>
      <c r="S13" t="n">
        <v>376679.223972356</v>
      </c>
      <c r="T13" t="n">
        <v>22176143.6915223</v>
      </c>
      <c r="U13" t="n">
        <v>210058.747122407</v>
      </c>
      <c r="V13" t="n">
        <v>0</v>
      </c>
      <c r="W13" t="n">
        <v>5027190.41637163</v>
      </c>
      <c r="X13" t="n">
        <v>0</v>
      </c>
      <c r="Y13" t="n">
        <v>1458884.62877325</v>
      </c>
      <c r="Z13" t="n">
        <v>13655003.9657157</v>
      </c>
      <c r="AA13" t="n">
        <v>529755.358246473</v>
      </c>
      <c r="AB13" t="n">
        <v>149901.738015425</v>
      </c>
      <c r="AC13" t="n">
        <v>0</v>
      </c>
      <c r="AD13" t="n">
        <v>0</v>
      </c>
      <c r="AE13" t="n">
        <v>0</v>
      </c>
      <c r="AF13" t="n">
        <v>22297.9173806055</v>
      </c>
      <c r="AG13" t="n">
        <v>0</v>
      </c>
      <c r="AH13" t="n">
        <v>446902.75208055</v>
      </c>
      <c r="AI13" t="n">
        <v>0</v>
      </c>
      <c r="AJ13" t="n">
        <v>17305.918980163</v>
      </c>
      <c r="AK13" t="n">
        <v>2523.17574764557</v>
      </c>
      <c r="AL13" t="n">
        <v>0</v>
      </c>
      <c r="AM13" t="n">
        <v>3660.2904652901</v>
      </c>
      <c r="AN13" t="n">
        <v>7323.92549793679</v>
      </c>
      <c r="AO13" t="n">
        <v>39238.7434358643</v>
      </c>
      <c r="AP13" t="n">
        <v>22671.9982444846</v>
      </c>
      <c r="AQ13" t="n">
        <v>931082.932349275</v>
      </c>
      <c r="AR13" t="n">
        <v>2857889.96666582</v>
      </c>
      <c r="AS13" t="n">
        <v>0</v>
      </c>
      <c r="AT13" t="n">
        <v>0</v>
      </c>
      <c r="AU13" t="n">
        <v>0</v>
      </c>
      <c r="AV13" t="n">
        <v>0</v>
      </c>
      <c r="AW13" t="n">
        <v>22402.0293102004</v>
      </c>
      <c r="AX13" t="n">
        <v>0</v>
      </c>
      <c r="AY13" t="n">
        <v>0</v>
      </c>
      <c r="AZ13" t="n">
        <v>0</v>
      </c>
      <c r="BA13" t="n">
        <v>0</v>
      </c>
      <c r="BB13" t="n">
        <v>14109480.1357069</v>
      </c>
      <c r="BC13" t="n">
        <v>196982.717873437</v>
      </c>
      <c r="BD13" t="n">
        <v>4622632.15338307</v>
      </c>
      <c r="BE13" t="n">
        <v>156686.259915208</v>
      </c>
      <c r="BF13" t="n">
        <v>1366854.31014722</v>
      </c>
      <c r="BG13" t="n">
        <v>0</v>
      </c>
      <c r="BH13" t="n">
        <v>53218.0808959155</v>
      </c>
      <c r="BI13" t="n">
        <v>124022.240883338</v>
      </c>
      <c r="BJ13" t="n">
        <v>511952.337091837</v>
      </c>
      <c r="BK13" t="n">
        <v>711116.899732783</v>
      </c>
      <c r="BL13" t="n">
        <v>1858374.09776946</v>
      </c>
      <c r="BM13" t="n">
        <v>442126.604275939</v>
      </c>
      <c r="BN13" t="n">
        <v>2914684.64002936</v>
      </c>
      <c r="BO13" t="n">
        <v>5948957.4482619</v>
      </c>
      <c r="BP13" t="n">
        <v>0</v>
      </c>
      <c r="BQ13" t="n">
        <v>27640609.1044248</v>
      </c>
      <c r="BR13" t="n">
        <v>0</v>
      </c>
      <c r="BS13" t="n">
        <v>26989065.9635129</v>
      </c>
      <c r="BT13" t="n">
        <v>13112469.5111219</v>
      </c>
      <c r="BU13" t="n">
        <v>984312.914405131</v>
      </c>
      <c r="BV13" t="n">
        <v>0</v>
      </c>
      <c r="BW13" t="n">
        <v>860614.166787285</v>
      </c>
      <c r="BX13" t="n">
        <v>0</v>
      </c>
      <c r="BY13" t="n">
        <v>0</v>
      </c>
      <c r="BZ13" t="n">
        <v>16402655.5919404</v>
      </c>
      <c r="CA13" t="n">
        <v>2067825316.73217</v>
      </c>
      <c r="CB13" t="n">
        <v>-109730002.678129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99</v>
      </c>
      <c r="B14" t="n">
        <v>0</v>
      </c>
      <c r="C14" t="n">
        <v>0</v>
      </c>
      <c r="D14" t="n">
        <v>2595658.93893638</v>
      </c>
      <c r="E14" t="n">
        <v>9914069.99362973</v>
      </c>
      <c r="F14" t="n">
        <v>1877952.35137988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390545.961787717</v>
      </c>
      <c r="BC14" t="n">
        <v>34504.1328305375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236520425.204048</v>
      </c>
      <c r="BW14" t="n">
        <v>2101679.38424572</v>
      </c>
      <c r="BX14" t="n">
        <v>0</v>
      </c>
      <c r="BY14" t="n">
        <v>0</v>
      </c>
      <c r="BZ14" t="n">
        <v>-12083.9120839269</v>
      </c>
      <c r="CA14" t="n">
        <v>47188997.7197276</v>
      </c>
      <c r="CB14" t="n">
        <v>-1711543.77580142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100</v>
      </c>
      <c r="B15" t="n">
        <v>22407635.7212074</v>
      </c>
      <c r="C15" t="n">
        <v>131607.337436493</v>
      </c>
      <c r="D15" t="n">
        <v>644125.190385297</v>
      </c>
      <c r="E15" t="n">
        <v>26768016.578666</v>
      </c>
      <c r="F15" t="n">
        <v>291876.376938124</v>
      </c>
      <c r="G15" t="n">
        <v>191979085.000532</v>
      </c>
      <c r="H15" t="n">
        <v>63428119.632212</v>
      </c>
      <c r="I15" t="n">
        <v>15412083.4924482</v>
      </c>
      <c r="J15" t="n">
        <v>21615836.552606</v>
      </c>
      <c r="K15" t="n">
        <v>11241857.5943235</v>
      </c>
      <c r="L15" t="n">
        <v>17823490.7065199</v>
      </c>
      <c r="M15" t="n">
        <v>7434266.56262752</v>
      </c>
      <c r="N15" t="n">
        <v>3620477.82228914</v>
      </c>
      <c r="O15" t="n">
        <v>3582556.0794283</v>
      </c>
      <c r="P15" t="n">
        <v>9992719.84779901</v>
      </c>
      <c r="Q15" t="n">
        <v>23165760.470569</v>
      </c>
      <c r="R15" t="n">
        <v>4122945.33926017</v>
      </c>
      <c r="S15" t="n">
        <v>2222176.74856333</v>
      </c>
      <c r="T15" t="n">
        <v>143525004.805879</v>
      </c>
      <c r="U15" t="n">
        <v>7304766.43148969</v>
      </c>
      <c r="V15" t="n">
        <v>66414.0378870136</v>
      </c>
      <c r="W15" t="n">
        <v>31140132.2736413</v>
      </c>
      <c r="X15" t="n">
        <v>5712948.41526851</v>
      </c>
      <c r="Y15" t="n">
        <v>4242290.37511818</v>
      </c>
      <c r="Z15" t="n">
        <v>26162602.875068</v>
      </c>
      <c r="AA15" t="n">
        <v>33080296.2606664</v>
      </c>
      <c r="AB15" t="n">
        <v>74557287.943333</v>
      </c>
      <c r="AC15" t="n">
        <v>32111971.160379</v>
      </c>
      <c r="AD15" t="n">
        <v>73094802.7389957</v>
      </c>
      <c r="AE15" t="n">
        <v>64959066.1362312</v>
      </c>
      <c r="AF15" t="n">
        <v>83856866.6831465</v>
      </c>
      <c r="AG15" t="n">
        <v>9960444.39186332</v>
      </c>
      <c r="AH15" t="n">
        <v>398735.993574004</v>
      </c>
      <c r="AI15" t="n">
        <v>2148730.87732147</v>
      </c>
      <c r="AJ15" t="n">
        <v>20954677.7282449</v>
      </c>
      <c r="AK15" t="n">
        <v>1882805.10250762</v>
      </c>
      <c r="AL15" t="n">
        <v>1579254.08931958</v>
      </c>
      <c r="AM15" t="n">
        <v>8862133.86307646</v>
      </c>
      <c r="AN15" t="n">
        <v>15136439.6813761</v>
      </c>
      <c r="AO15" t="n">
        <v>3220492.88586168</v>
      </c>
      <c r="AP15" t="n">
        <v>1038149.19265092</v>
      </c>
      <c r="AQ15" t="n">
        <v>31725158.6778019</v>
      </c>
      <c r="AR15" t="n">
        <v>22800819.215546</v>
      </c>
      <c r="AS15" t="n">
        <v>22413632.6298451</v>
      </c>
      <c r="AT15" t="n">
        <v>3827181.93560425</v>
      </c>
      <c r="AU15" t="n">
        <v>2450432.80440128</v>
      </c>
      <c r="AV15" t="n">
        <v>31040764.0498998</v>
      </c>
      <c r="AW15" t="n">
        <v>1470557.24002564</v>
      </c>
      <c r="AX15" t="n">
        <v>151589897.616856</v>
      </c>
      <c r="AY15" t="n">
        <v>6073170.38044347</v>
      </c>
      <c r="AZ15" t="n">
        <v>3534152.23190912</v>
      </c>
      <c r="BA15" t="n">
        <v>16775101.5334638</v>
      </c>
      <c r="BB15" t="n">
        <v>61441176.601975</v>
      </c>
      <c r="BC15" t="n">
        <v>47609757.9368836</v>
      </c>
      <c r="BD15" t="n">
        <v>27777217.5221681</v>
      </c>
      <c r="BE15" t="n">
        <v>7155949.92321213</v>
      </c>
      <c r="BF15" t="n">
        <v>29174736.4188204</v>
      </c>
      <c r="BG15" t="n">
        <v>27272467.1100016</v>
      </c>
      <c r="BH15" t="n">
        <v>39820199.3591364</v>
      </c>
      <c r="BI15" t="n">
        <v>22161741.6360552</v>
      </c>
      <c r="BJ15" t="n">
        <v>7095347.88755196</v>
      </c>
      <c r="BK15" t="n">
        <v>4640505.03990741</v>
      </c>
      <c r="BL15" t="n">
        <v>15147590.286826</v>
      </c>
      <c r="BM15" t="n">
        <v>30673927.9891382</v>
      </c>
      <c r="BN15" t="n">
        <v>128017266.500253</v>
      </c>
      <c r="BO15" t="n">
        <v>59219293.7833693</v>
      </c>
      <c r="BP15" t="n">
        <v>56258529.2363315</v>
      </c>
      <c r="BQ15" t="n">
        <v>26126434.928669</v>
      </c>
      <c r="BR15" t="n">
        <v>49630433.7647292</v>
      </c>
      <c r="BS15" t="n">
        <v>158740587.700038</v>
      </c>
      <c r="BT15" t="n">
        <v>15321842.0582282</v>
      </c>
      <c r="BU15" t="n">
        <v>1936857164.04515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105168213.710093</v>
      </c>
      <c r="CB15" t="n">
        <v>-51886425.0440532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101</v>
      </c>
      <c r="B16" t="n">
        <v>14562635.5774483</v>
      </c>
      <c r="C16" t="n">
        <v>196609.354619362</v>
      </c>
      <c r="D16" t="n">
        <v>53734.5035845465</v>
      </c>
      <c r="E16" t="n">
        <v>86182980.6049608</v>
      </c>
      <c r="F16" t="n">
        <v>4039714.14760718</v>
      </c>
      <c r="G16" t="n">
        <v>144551091.08805</v>
      </c>
      <c r="H16" t="n">
        <v>7680110.68681864</v>
      </c>
      <c r="I16" t="n">
        <v>11015248.2073614</v>
      </c>
      <c r="J16" t="n">
        <v>19030455.9596466</v>
      </c>
      <c r="K16" t="n">
        <v>9215975.2093241</v>
      </c>
      <c r="L16" t="n">
        <v>20244490.7702633</v>
      </c>
      <c r="M16" t="n">
        <v>10596983.2904919</v>
      </c>
      <c r="N16" t="n">
        <v>4932040.15195451</v>
      </c>
      <c r="O16" t="n">
        <v>3019263.55050897</v>
      </c>
      <c r="P16" t="n">
        <v>10235212.5127573</v>
      </c>
      <c r="Q16" t="n">
        <v>13495380.2980948</v>
      </c>
      <c r="R16" t="n">
        <v>3538507.10949583</v>
      </c>
      <c r="S16" t="n">
        <v>3050808.517145</v>
      </c>
      <c r="T16" t="n">
        <v>126420401.25685</v>
      </c>
      <c r="U16" t="n">
        <v>3644411.83198692</v>
      </c>
      <c r="V16" t="n">
        <v>56450.7747285818</v>
      </c>
      <c r="W16" t="n">
        <v>23281641.0483685</v>
      </c>
      <c r="X16" t="n">
        <v>5842830.98881384</v>
      </c>
      <c r="Y16" t="n">
        <v>23011707.9979486</v>
      </c>
      <c r="Z16" t="n">
        <v>15590267.7089469</v>
      </c>
      <c r="AA16" t="n">
        <v>21259935.6141834</v>
      </c>
      <c r="AB16" t="n">
        <v>73354499.1024011</v>
      </c>
      <c r="AC16" t="n">
        <v>38456356.2704836</v>
      </c>
      <c r="AD16" t="n">
        <v>30213155.6940021</v>
      </c>
      <c r="AE16" t="n">
        <v>63311751.3634082</v>
      </c>
      <c r="AF16" t="n">
        <v>72669571.8991986</v>
      </c>
      <c r="AG16" t="n">
        <v>8954247.20048025</v>
      </c>
      <c r="AH16" t="n">
        <v>54057523.9249989</v>
      </c>
      <c r="AI16" t="n">
        <v>2266950.19008957</v>
      </c>
      <c r="AJ16" t="n">
        <v>9635633.45321719</v>
      </c>
      <c r="AK16" t="n">
        <v>9014299.91166078</v>
      </c>
      <c r="AL16" t="n">
        <v>3909830.6304454</v>
      </c>
      <c r="AM16" t="n">
        <v>28952398.7417803</v>
      </c>
      <c r="AN16" t="n">
        <v>20771705.0565626</v>
      </c>
      <c r="AO16" t="n">
        <v>2039834.47975108</v>
      </c>
      <c r="AP16" t="n">
        <v>648339.262521875</v>
      </c>
      <c r="AQ16" t="n">
        <v>47590261.7586015</v>
      </c>
      <c r="AR16" t="n">
        <v>22867544.6015153</v>
      </c>
      <c r="AS16" t="n">
        <v>157025205.346924</v>
      </c>
      <c r="AT16" t="n">
        <v>20213886.6788517</v>
      </c>
      <c r="AU16" t="n">
        <v>12091504.2358453</v>
      </c>
      <c r="AV16" t="n">
        <v>5701310.54131054</v>
      </c>
      <c r="AW16" t="n">
        <v>2463979028.19138</v>
      </c>
      <c r="AX16" t="n">
        <v>703085763.678609</v>
      </c>
      <c r="AY16" t="n">
        <v>15671160.1917891</v>
      </c>
      <c r="AZ16" t="n">
        <v>3991457.60164885</v>
      </c>
      <c r="BA16" t="n">
        <v>6091247.23367484</v>
      </c>
      <c r="BB16" t="n">
        <v>95944014.994895</v>
      </c>
      <c r="BC16" t="n">
        <v>29037989.1119428</v>
      </c>
      <c r="BD16" t="n">
        <v>31258495.5419223</v>
      </c>
      <c r="BE16" t="n">
        <v>2762004.18191594</v>
      </c>
      <c r="BF16" t="n">
        <v>40705633.0680519</v>
      </c>
      <c r="BG16" t="n">
        <v>18731631.1591437</v>
      </c>
      <c r="BH16" t="n">
        <v>23756604.9236912</v>
      </c>
      <c r="BI16" t="n">
        <v>15198432.6137395</v>
      </c>
      <c r="BJ16" t="n">
        <v>12766265.7245548</v>
      </c>
      <c r="BK16" t="n">
        <v>4045414.8844558</v>
      </c>
      <c r="BL16" t="n">
        <v>10435473.619924</v>
      </c>
      <c r="BM16" t="n">
        <v>57422059.8272615</v>
      </c>
      <c r="BN16" t="n">
        <v>59773415.7925015</v>
      </c>
      <c r="BO16" t="n">
        <v>117877099.132808</v>
      </c>
      <c r="BP16" t="n">
        <v>541227433.223481</v>
      </c>
      <c r="BQ16" t="n">
        <v>38463304.4823731</v>
      </c>
      <c r="BR16" t="n">
        <v>46411801.7033669</v>
      </c>
      <c r="BS16" t="n">
        <v>939304911.768781</v>
      </c>
      <c r="BT16" t="n">
        <v>931657544.790189</v>
      </c>
      <c r="BU16" t="n">
        <v>0</v>
      </c>
      <c r="BV16" t="n">
        <v>14206591191.5023</v>
      </c>
      <c r="BW16" t="n">
        <v>0</v>
      </c>
      <c r="BX16" t="n">
        <v>0</v>
      </c>
      <c r="BY16" t="n">
        <v>17535421708.2184</v>
      </c>
      <c r="BZ16" t="n">
        <v>0</v>
      </c>
      <c r="CA16" t="n">
        <v>2804195.01050752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587168691.832282</v>
      </c>
      <c r="CI16" t="n">
        <v>0</v>
      </c>
      <c r="CJ16" t="n">
        <v>0</v>
      </c>
      <c r="CK16" t="n">
        <v>0</v>
      </c>
      <c r="CL16" t="n">
        <v>8636680648.46631</v>
      </c>
      <c r="CM16" t="n">
        <v>0</v>
      </c>
      <c r="CN16" t="n">
        <v>0</v>
      </c>
    </row>
    <row r="17">
      <c r="A17" t="s">
        <v>102</v>
      </c>
      <c r="B17" t="n">
        <v>2497764.76995722</v>
      </c>
      <c r="C17" t="n">
        <v>261204.486766911</v>
      </c>
      <c r="D17" t="n">
        <v>0</v>
      </c>
      <c r="E17" t="n">
        <v>1797307.18328303</v>
      </c>
      <c r="F17" t="n">
        <v>219729.604042485</v>
      </c>
      <c r="G17" t="n">
        <v>55308.6548755024</v>
      </c>
      <c r="H17" t="n">
        <v>602701730.777306</v>
      </c>
      <c r="I17" t="n">
        <v>452913646.27398</v>
      </c>
      <c r="J17" t="n">
        <v>1829923.43842177</v>
      </c>
      <c r="K17" t="n">
        <v>1735737.48052547</v>
      </c>
      <c r="L17" t="n">
        <v>1468326.86202669</v>
      </c>
      <c r="M17" t="n">
        <v>5006807.24335792</v>
      </c>
      <c r="N17" t="n">
        <v>1175684.46029588</v>
      </c>
      <c r="O17" t="n">
        <v>5147357.71402019</v>
      </c>
      <c r="P17" t="n">
        <v>18967215.8346801</v>
      </c>
      <c r="Q17" t="n">
        <v>3212269.77017776</v>
      </c>
      <c r="R17" t="n">
        <v>89417675.3910588</v>
      </c>
      <c r="S17" t="n">
        <v>5668430.40801289</v>
      </c>
      <c r="T17" t="n">
        <v>11491633.8342459</v>
      </c>
      <c r="U17" t="n">
        <v>1182312.92587905</v>
      </c>
      <c r="V17" t="n">
        <v>0</v>
      </c>
      <c r="W17" t="n">
        <v>44641240.808894</v>
      </c>
      <c r="X17" t="n">
        <v>18201.9656972394</v>
      </c>
      <c r="Y17" t="n">
        <v>0</v>
      </c>
      <c r="Z17" t="n">
        <v>950752.952258403</v>
      </c>
      <c r="AA17" t="n">
        <v>25982085.1962023</v>
      </c>
      <c r="AB17" t="n">
        <v>56016927.2738656</v>
      </c>
      <c r="AC17" t="n">
        <v>1842559.44206647</v>
      </c>
      <c r="AD17" t="n">
        <v>8168046.577852</v>
      </c>
      <c r="AE17" t="n">
        <v>2245329.68948857</v>
      </c>
      <c r="AF17" t="n">
        <v>8729921.09743538</v>
      </c>
      <c r="AG17" t="n">
        <v>0</v>
      </c>
      <c r="AH17" t="n">
        <v>24932327.8776759</v>
      </c>
      <c r="AI17" t="n">
        <v>0</v>
      </c>
      <c r="AJ17" t="n">
        <v>1427110.35012303</v>
      </c>
      <c r="AK17" t="n">
        <v>0</v>
      </c>
      <c r="AL17" t="n">
        <v>22263.8761036344</v>
      </c>
      <c r="AM17" t="n">
        <v>594506.542160968</v>
      </c>
      <c r="AN17" t="n">
        <v>1559414.37519768</v>
      </c>
      <c r="AO17" t="n">
        <v>299666.743838634</v>
      </c>
      <c r="AP17" t="n">
        <v>355249.031355307</v>
      </c>
      <c r="AQ17" t="n">
        <v>7535102.30849882</v>
      </c>
      <c r="AR17" t="n">
        <v>13576791.7629347</v>
      </c>
      <c r="AS17" t="n">
        <v>3824954.67456312</v>
      </c>
      <c r="AT17" t="n">
        <v>43046.0377065242</v>
      </c>
      <c r="AU17" t="n">
        <v>0</v>
      </c>
      <c r="AV17" t="n">
        <v>0</v>
      </c>
      <c r="AW17" t="n">
        <v>334470.739570624</v>
      </c>
      <c r="AX17" t="n">
        <v>59239460.5674274</v>
      </c>
      <c r="AY17" t="n">
        <v>3711933.69389005</v>
      </c>
      <c r="AZ17" t="n">
        <v>163458.104255601</v>
      </c>
      <c r="BA17" t="n">
        <v>1626465.62607934</v>
      </c>
      <c r="BB17" t="n">
        <v>16533267.1794627</v>
      </c>
      <c r="BC17" t="n">
        <v>75377.6704712155</v>
      </c>
      <c r="BD17" t="n">
        <v>16215339.6250751</v>
      </c>
      <c r="BE17" t="n">
        <v>320753.482228147</v>
      </c>
      <c r="BF17" t="n">
        <v>401045.623723946</v>
      </c>
      <c r="BG17" t="n">
        <v>5098726.15145802</v>
      </c>
      <c r="BH17" t="n">
        <v>4939474.98278578</v>
      </c>
      <c r="BI17" t="n">
        <v>62866.934834775</v>
      </c>
      <c r="BJ17" t="n">
        <v>6606439.07405177</v>
      </c>
      <c r="BK17" t="n">
        <v>59415.4655335566</v>
      </c>
      <c r="BL17" t="n">
        <v>1456960.16174747</v>
      </c>
      <c r="BM17" t="n">
        <v>10329566.4057653</v>
      </c>
      <c r="BN17" t="n">
        <v>11364636.2316899</v>
      </c>
      <c r="BO17" t="n">
        <v>6185576.55498961</v>
      </c>
      <c r="BP17" t="n">
        <v>816227.909061687</v>
      </c>
      <c r="BQ17" t="n">
        <v>1478156.98753164</v>
      </c>
      <c r="BR17" t="n">
        <v>123265.630070536</v>
      </c>
      <c r="BS17" t="n">
        <v>36228270.2037012</v>
      </c>
      <c r="BT17" t="n">
        <v>2576223.11069082</v>
      </c>
      <c r="BU17" t="n">
        <v>69939280.4631247</v>
      </c>
      <c r="BV17" t="n">
        <v>4908836.33363802</v>
      </c>
      <c r="BW17" t="n">
        <v>0</v>
      </c>
      <c r="BX17" t="n">
        <v>0</v>
      </c>
      <c r="BY17" t="n">
        <v>82727281.9012259</v>
      </c>
      <c r="BZ17" t="n">
        <v>15625310.0197492</v>
      </c>
      <c r="CA17" t="n">
        <v>162242488.247093</v>
      </c>
      <c r="CB17" t="n">
        <v>-538954669.399245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115514.430614421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103</v>
      </c>
      <c r="B18" t="n">
        <v>111666.894473289</v>
      </c>
      <c r="C18" t="n">
        <v>356618.886301102</v>
      </c>
      <c r="D18" t="n">
        <v>267583.666868626</v>
      </c>
      <c r="E18" t="n">
        <v>7212016.53439236</v>
      </c>
      <c r="F18" t="n">
        <v>1048629.01914497</v>
      </c>
      <c r="G18" t="n">
        <v>904132.745374095</v>
      </c>
      <c r="H18" t="n">
        <v>1255802158.20335</v>
      </c>
      <c r="I18" t="n">
        <v>22246238.5327318</v>
      </c>
      <c r="J18" t="n">
        <v>208160171.523606</v>
      </c>
      <c r="K18" t="n">
        <v>12150170.2793842</v>
      </c>
      <c r="L18" t="n">
        <v>15934194.8896754</v>
      </c>
      <c r="M18" t="n">
        <v>13769881.0488368</v>
      </c>
      <c r="N18" t="n">
        <v>1957593.90228793</v>
      </c>
      <c r="O18" t="n">
        <v>21347814.478842</v>
      </c>
      <c r="P18" t="n">
        <v>57638712.7826432</v>
      </c>
      <c r="Q18" t="n">
        <v>6386872.82008265</v>
      </c>
      <c r="R18" t="n">
        <v>6337622.24270989</v>
      </c>
      <c r="S18" t="n">
        <v>5006815.70405813</v>
      </c>
      <c r="T18" t="n">
        <v>164139396.607029</v>
      </c>
      <c r="U18" t="n">
        <v>645780.542536272</v>
      </c>
      <c r="V18" t="n">
        <v>0</v>
      </c>
      <c r="W18" t="n">
        <v>6262754.07212927</v>
      </c>
      <c r="X18" t="n">
        <v>11239.3340189108</v>
      </c>
      <c r="Y18" t="n">
        <v>2903820.71404065</v>
      </c>
      <c r="Z18" t="n">
        <v>7337668.79336732</v>
      </c>
      <c r="AA18" t="n">
        <v>33613987.0447003</v>
      </c>
      <c r="AB18" t="n">
        <v>1174061.7914753</v>
      </c>
      <c r="AC18" t="n">
        <v>4099548.2021954</v>
      </c>
      <c r="AD18" t="n">
        <v>1042448.08837659</v>
      </c>
      <c r="AE18" t="n">
        <v>5854647.89035597</v>
      </c>
      <c r="AF18" t="n">
        <v>7570198.32789895</v>
      </c>
      <c r="AG18" t="n">
        <v>0</v>
      </c>
      <c r="AH18" t="n">
        <v>221968.533063506</v>
      </c>
      <c r="AI18" t="n">
        <v>0</v>
      </c>
      <c r="AJ18" t="n">
        <v>1531097.74336493</v>
      </c>
      <c r="AK18" t="n">
        <v>0</v>
      </c>
      <c r="AL18" t="n">
        <v>0</v>
      </c>
      <c r="AM18" t="n">
        <v>210485.116717378</v>
      </c>
      <c r="AN18" t="n">
        <v>1395938.89446077</v>
      </c>
      <c r="AO18" t="n">
        <v>17866.0316085871</v>
      </c>
      <c r="AP18" t="n">
        <v>5484.05433520512</v>
      </c>
      <c r="AQ18" t="n">
        <v>36836573.4936967</v>
      </c>
      <c r="AR18" t="n">
        <v>12072730.1140459</v>
      </c>
      <c r="AS18" t="n">
        <v>583152.219535908</v>
      </c>
      <c r="AT18" t="n">
        <v>250417.447486002</v>
      </c>
      <c r="AU18" t="n">
        <v>419175.574885374</v>
      </c>
      <c r="AV18" t="n">
        <v>0</v>
      </c>
      <c r="AW18" t="n">
        <v>2029203.31690136</v>
      </c>
      <c r="AX18" t="n">
        <v>724624.725396258</v>
      </c>
      <c r="AY18" t="n">
        <v>7265966.40852023</v>
      </c>
      <c r="AZ18" t="n">
        <v>0</v>
      </c>
      <c r="BA18" t="n">
        <v>8780700.07964402</v>
      </c>
      <c r="BB18" t="n">
        <v>128144015.884913</v>
      </c>
      <c r="BC18" t="n">
        <v>1085253.69104397</v>
      </c>
      <c r="BD18" t="n">
        <v>19924089.0844814</v>
      </c>
      <c r="BE18" t="n">
        <v>4021470.94402377</v>
      </c>
      <c r="BF18" t="n">
        <v>1111508.1491781</v>
      </c>
      <c r="BG18" t="n">
        <v>37287844.1491529</v>
      </c>
      <c r="BH18" t="n">
        <v>37195709.7984815</v>
      </c>
      <c r="BI18" t="n">
        <v>2194034.04231826</v>
      </c>
      <c r="BJ18" t="n">
        <v>6117380.12408157</v>
      </c>
      <c r="BK18" t="n">
        <v>132812.942052231</v>
      </c>
      <c r="BL18" t="n">
        <v>1581416.45898661</v>
      </c>
      <c r="BM18" t="n">
        <v>1317557.01724469</v>
      </c>
      <c r="BN18" t="n">
        <v>40668184.4171446</v>
      </c>
      <c r="BO18" t="n">
        <v>31554434.6130258</v>
      </c>
      <c r="BP18" t="n">
        <v>2778037.86146359</v>
      </c>
      <c r="BQ18" t="n">
        <v>27574295.2548778</v>
      </c>
      <c r="BR18" t="n">
        <v>0</v>
      </c>
      <c r="BS18" t="n">
        <v>33495377.6536229</v>
      </c>
      <c r="BT18" t="n">
        <v>33112812.5565729</v>
      </c>
      <c r="BU18" t="n">
        <v>242322980.33657</v>
      </c>
      <c r="BV18" t="n">
        <v>0</v>
      </c>
      <c r="BW18" t="n">
        <v>0</v>
      </c>
      <c r="BX18" t="n">
        <v>0</v>
      </c>
      <c r="BY18" t="n">
        <v>0</v>
      </c>
      <c r="BZ18" t="n">
        <v>24311589.5581796</v>
      </c>
      <c r="CA18" t="n">
        <v>163967115.099537</v>
      </c>
      <c r="CB18" t="n">
        <v>-689134955.865238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104</v>
      </c>
      <c r="B19" t="n">
        <v>608382.206948768</v>
      </c>
      <c r="C19" t="n">
        <v>0</v>
      </c>
      <c r="D19" t="n">
        <v>702593.65498576</v>
      </c>
      <c r="E19" t="n">
        <v>5234992.88095677</v>
      </c>
      <c r="F19" t="n">
        <v>467311.256860418</v>
      </c>
      <c r="G19" t="n">
        <v>28314.8796277659</v>
      </c>
      <c r="H19" t="n">
        <v>68698697.2236047</v>
      </c>
      <c r="I19" t="n">
        <v>4639064.53520549</v>
      </c>
      <c r="J19" t="n">
        <v>14204454.3232905</v>
      </c>
      <c r="K19" t="n">
        <v>334716827.983201</v>
      </c>
      <c r="L19" t="n">
        <v>452141612.05723</v>
      </c>
      <c r="M19" t="n">
        <v>180823322.06925</v>
      </c>
      <c r="N19" t="n">
        <v>24420357.2749254</v>
      </c>
      <c r="O19" t="n">
        <v>120210098.19341</v>
      </c>
      <c r="P19" t="n">
        <v>227761041.447967</v>
      </c>
      <c r="Q19" t="n">
        <v>101065932.985203</v>
      </c>
      <c r="R19" t="n">
        <v>38857402.5260741</v>
      </c>
      <c r="S19" t="n">
        <v>25801254.8284669</v>
      </c>
      <c r="T19" t="n">
        <v>63436515.3631055</v>
      </c>
      <c r="U19" t="n">
        <v>911238.870115979</v>
      </c>
      <c r="V19" t="n">
        <v>0</v>
      </c>
      <c r="W19" t="n">
        <v>9862330.32532954</v>
      </c>
      <c r="X19" t="n">
        <v>114074.123267036</v>
      </c>
      <c r="Y19" t="n">
        <v>21842.6677033802</v>
      </c>
      <c r="Z19" t="n">
        <v>234266.182766426</v>
      </c>
      <c r="AA19" t="n">
        <v>18560815.054698</v>
      </c>
      <c r="AB19" t="n">
        <v>4805847.43480803</v>
      </c>
      <c r="AC19" t="n">
        <v>87768.0496469664</v>
      </c>
      <c r="AD19" t="n">
        <v>0</v>
      </c>
      <c r="AE19" t="n">
        <v>0</v>
      </c>
      <c r="AF19" t="n">
        <v>6788648.17105201</v>
      </c>
      <c r="AG19" t="n">
        <v>0</v>
      </c>
      <c r="AH19" t="n">
        <v>5290335.11288282</v>
      </c>
      <c r="AI19" t="n">
        <v>0</v>
      </c>
      <c r="AJ19" t="n">
        <v>0</v>
      </c>
      <c r="AK19" t="n">
        <v>0</v>
      </c>
      <c r="AL19" t="n">
        <v>0</v>
      </c>
      <c r="AM19" t="n">
        <v>1325475.19749642</v>
      </c>
      <c r="AN19" t="n">
        <v>0</v>
      </c>
      <c r="AO19" t="n">
        <v>96933.3549618006</v>
      </c>
      <c r="AP19" t="n">
        <v>45593.0468868401</v>
      </c>
      <c r="AQ19" t="n">
        <v>3664843.95155824</v>
      </c>
      <c r="AR19" t="n">
        <v>7986029.1919049</v>
      </c>
      <c r="AS19" t="n">
        <v>0</v>
      </c>
      <c r="AT19" t="n">
        <v>0</v>
      </c>
      <c r="AU19" t="n">
        <v>0</v>
      </c>
      <c r="AV19" t="n">
        <v>0</v>
      </c>
      <c r="AW19" t="n">
        <v>9947.72686487742</v>
      </c>
      <c r="AX19" t="n">
        <v>20965521.3056282</v>
      </c>
      <c r="AY19" t="n">
        <v>793465.69138044</v>
      </c>
      <c r="AZ19" t="n">
        <v>0</v>
      </c>
      <c r="BA19" t="n">
        <v>0</v>
      </c>
      <c r="BB19" t="n">
        <v>35110037.7634515</v>
      </c>
      <c r="BC19" t="n">
        <v>897630.601302587</v>
      </c>
      <c r="BD19" t="n">
        <v>9937329.21731487</v>
      </c>
      <c r="BE19" t="n">
        <v>2854924.65885909</v>
      </c>
      <c r="BF19" t="n">
        <v>1923903.5554472</v>
      </c>
      <c r="BG19" t="n">
        <v>2344698.12040576</v>
      </c>
      <c r="BH19" t="n">
        <v>221466.81197688</v>
      </c>
      <c r="BI19" t="n">
        <v>171277.797164453</v>
      </c>
      <c r="BJ19" t="n">
        <v>3045406.39909483</v>
      </c>
      <c r="BK19" t="n">
        <v>206073.915786229</v>
      </c>
      <c r="BL19" t="n">
        <v>2693072.41056583</v>
      </c>
      <c r="BM19" t="n">
        <v>352478.243505141</v>
      </c>
      <c r="BN19" t="n">
        <v>1268031.84600242</v>
      </c>
      <c r="BO19" t="n">
        <v>13906577.0526465</v>
      </c>
      <c r="BP19" t="n">
        <v>12230397.6518355</v>
      </c>
      <c r="BQ19" t="n">
        <v>18320917.7182218</v>
      </c>
      <c r="BR19" t="n">
        <v>0</v>
      </c>
      <c r="BS19" t="n">
        <v>1108988.68337528</v>
      </c>
      <c r="BT19" t="n">
        <v>5892455.50332355</v>
      </c>
      <c r="BU19" t="n">
        <v>8656074.47347716</v>
      </c>
      <c r="BV19" t="n">
        <v>0</v>
      </c>
      <c r="BW19" t="n">
        <v>0</v>
      </c>
      <c r="BX19" t="n">
        <v>0</v>
      </c>
      <c r="BY19" t="n">
        <v>0</v>
      </c>
      <c r="BZ19" t="n">
        <v>15116557.2375177</v>
      </c>
      <c r="CA19" t="n">
        <v>108227165.020117</v>
      </c>
      <c r="CB19" t="n">
        <v>-1043799252.06864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105</v>
      </c>
      <c r="B20" t="n">
        <v>10478898.2207515</v>
      </c>
      <c r="C20" t="n">
        <v>644635.856579165</v>
      </c>
      <c r="D20" t="n">
        <v>1648206.95230468</v>
      </c>
      <c r="E20" t="n">
        <v>12760145.7898218</v>
      </c>
      <c r="F20" t="n">
        <v>845739.340821407</v>
      </c>
      <c r="G20" t="n">
        <v>11855695.3536982</v>
      </c>
      <c r="H20" t="n">
        <v>1162859182.04491</v>
      </c>
      <c r="I20" t="n">
        <v>52170352.3615072</v>
      </c>
      <c r="J20" t="n">
        <v>18328301.7971249</v>
      </c>
      <c r="K20" t="n">
        <v>16749695.7412031</v>
      </c>
      <c r="L20" t="n">
        <v>264457590.91563</v>
      </c>
      <c r="M20" t="n">
        <v>140276136.63908</v>
      </c>
      <c r="N20" t="n">
        <v>30256212.918056</v>
      </c>
      <c r="O20" t="n">
        <v>73822204.4810005</v>
      </c>
      <c r="P20" t="n">
        <v>156011327.070599</v>
      </c>
      <c r="Q20" t="n">
        <v>176234637.200959</v>
      </c>
      <c r="R20" t="n">
        <v>54117241.1078087</v>
      </c>
      <c r="S20" t="n">
        <v>19068082.313375</v>
      </c>
      <c r="T20" t="n">
        <v>484276399.12937</v>
      </c>
      <c r="U20" t="n">
        <v>6971523.3430925</v>
      </c>
      <c r="V20" t="n">
        <v>155036.386031702</v>
      </c>
      <c r="W20" t="n">
        <v>59476235.471979</v>
      </c>
      <c r="X20" t="n">
        <v>6010797.63552917</v>
      </c>
      <c r="Y20" t="n">
        <v>2158861.48641217</v>
      </c>
      <c r="Z20" t="n">
        <v>34154558.8456626</v>
      </c>
      <c r="AA20" t="n">
        <v>94830488.9018795</v>
      </c>
      <c r="AB20" t="n">
        <v>22988295.8848673</v>
      </c>
      <c r="AC20" t="n">
        <v>4813408.94414477</v>
      </c>
      <c r="AD20" t="n">
        <v>3308143.03610547</v>
      </c>
      <c r="AE20" t="n">
        <v>2279145.40494416</v>
      </c>
      <c r="AF20" t="n">
        <v>21273419.021093</v>
      </c>
      <c r="AG20" t="n">
        <v>4147583.66835786</v>
      </c>
      <c r="AH20" t="n">
        <v>4812813.79203938</v>
      </c>
      <c r="AI20" t="n">
        <v>25880845.6554623</v>
      </c>
      <c r="AJ20" t="n">
        <v>15662493.6640724</v>
      </c>
      <c r="AK20" t="n">
        <v>3392307.62339817</v>
      </c>
      <c r="AL20" t="n">
        <v>2934640.74708287</v>
      </c>
      <c r="AM20" t="n">
        <v>4776854.13599594</v>
      </c>
      <c r="AN20" t="n">
        <v>10110376.5814801</v>
      </c>
      <c r="AO20" t="n">
        <v>4357511.72048133</v>
      </c>
      <c r="AP20" t="n">
        <v>178472.515433975</v>
      </c>
      <c r="AQ20" t="n">
        <v>120120823.573561</v>
      </c>
      <c r="AR20" t="n">
        <v>22535097.1291046</v>
      </c>
      <c r="AS20" t="n">
        <v>5704022.23106117</v>
      </c>
      <c r="AT20" t="n">
        <v>1145313.55636273</v>
      </c>
      <c r="AU20" t="n">
        <v>0</v>
      </c>
      <c r="AV20" t="n">
        <v>1709416.87410984</v>
      </c>
      <c r="AW20" t="n">
        <v>298887.08575706</v>
      </c>
      <c r="AX20" t="n">
        <v>18588393.3512617</v>
      </c>
      <c r="AY20" t="n">
        <v>13836317.6664094</v>
      </c>
      <c r="AZ20" t="n">
        <v>396383.665666307</v>
      </c>
      <c r="BA20" t="n">
        <v>96169023.0898746</v>
      </c>
      <c r="BB20" t="n">
        <v>115538618.601726</v>
      </c>
      <c r="BC20" t="n">
        <v>10295386.3298149</v>
      </c>
      <c r="BD20" t="n">
        <v>43795663.0098356</v>
      </c>
      <c r="BE20" t="n">
        <v>33349331.6106852</v>
      </c>
      <c r="BF20" t="n">
        <v>4620777.53714979</v>
      </c>
      <c r="BG20" t="n">
        <v>4325293.25752053</v>
      </c>
      <c r="BH20" t="n">
        <v>14865350.6024784</v>
      </c>
      <c r="BI20" t="n">
        <v>304667.510759456</v>
      </c>
      <c r="BJ20" t="n">
        <v>28087417.9660095</v>
      </c>
      <c r="BK20" t="n">
        <v>347883.735506133</v>
      </c>
      <c r="BL20" t="n">
        <v>5008022.42321447</v>
      </c>
      <c r="BM20" t="n">
        <v>16065604.9733429</v>
      </c>
      <c r="BN20" t="n">
        <v>42713359.6334653</v>
      </c>
      <c r="BO20" t="n">
        <v>72060076.8965413</v>
      </c>
      <c r="BP20" t="n">
        <v>240974278.154924</v>
      </c>
      <c r="BQ20" t="n">
        <v>48687472.4031616</v>
      </c>
      <c r="BR20" t="n">
        <v>8541201.06537762</v>
      </c>
      <c r="BS20" t="n">
        <v>53113452.1275494</v>
      </c>
      <c r="BT20" t="n">
        <v>43547037.042726</v>
      </c>
      <c r="BU20" t="n">
        <v>303369021.555747</v>
      </c>
      <c r="BV20" t="n">
        <v>0</v>
      </c>
      <c r="BW20" t="n">
        <v>121250966.684269</v>
      </c>
      <c r="BX20" t="n">
        <v>0</v>
      </c>
      <c r="BY20" t="n">
        <v>0</v>
      </c>
      <c r="BZ20" t="n">
        <v>56315337.8303875</v>
      </c>
      <c r="CA20" t="n">
        <v>468983345.777314</v>
      </c>
      <c r="CB20" t="n">
        <v>-1697975404.25383</v>
      </c>
      <c r="CC20" t="n">
        <v>0</v>
      </c>
      <c r="CD20" t="n">
        <v>0</v>
      </c>
      <c r="CE20" t="n">
        <v>1395220.39286607</v>
      </c>
      <c r="CF20" t="n">
        <v>0</v>
      </c>
      <c r="CG20" t="n">
        <v>0</v>
      </c>
      <c r="CH20" t="n">
        <v>0</v>
      </c>
      <c r="CI20" t="n">
        <v>9250235.91040192</v>
      </c>
      <c r="CJ20" t="n">
        <v>0</v>
      </c>
      <c r="CK20" t="n">
        <v>0</v>
      </c>
      <c r="CL20" t="n">
        <v>0</v>
      </c>
      <c r="CM20" t="n">
        <v>4221281.97282119</v>
      </c>
      <c r="CN20" t="n">
        <v>0</v>
      </c>
    </row>
    <row r="21">
      <c r="A21" t="s">
        <v>106</v>
      </c>
      <c r="B21" t="n">
        <v>16792734.9548526</v>
      </c>
      <c r="C21" t="n">
        <v>217789.546871128</v>
      </c>
      <c r="D21" t="n">
        <v>1717174.20651665</v>
      </c>
      <c r="E21" t="n">
        <v>57892968.9169183</v>
      </c>
      <c r="F21" t="n">
        <v>5163162.45194822</v>
      </c>
      <c r="G21" t="n">
        <v>26414176.1111205</v>
      </c>
      <c r="H21" t="n">
        <v>505526605.251406</v>
      </c>
      <c r="I21" t="n">
        <v>9195650.26935432</v>
      </c>
      <c r="J21" t="n">
        <v>1464337.08658278</v>
      </c>
      <c r="K21" t="n">
        <v>3866763.08094705</v>
      </c>
      <c r="L21" t="n">
        <v>41804322.5365955</v>
      </c>
      <c r="M21" t="n">
        <v>244547482.559589</v>
      </c>
      <c r="N21" t="n">
        <v>2620212.72181507</v>
      </c>
      <c r="O21" t="n">
        <v>22942563.8985725</v>
      </c>
      <c r="P21" t="n">
        <v>249950554.590363</v>
      </c>
      <c r="Q21" t="n">
        <v>59306801.134185</v>
      </c>
      <c r="R21" t="n">
        <v>1636291.51239105</v>
      </c>
      <c r="S21" t="n">
        <v>4561500.36730624</v>
      </c>
      <c r="T21" t="n">
        <v>167776863.202217</v>
      </c>
      <c r="U21" t="n">
        <v>512313.136105928</v>
      </c>
      <c r="V21" t="n">
        <v>3203.15406552768</v>
      </c>
      <c r="W21" t="n">
        <v>18287306.5282162</v>
      </c>
      <c r="X21" t="n">
        <v>14614217.9484244</v>
      </c>
      <c r="Y21" t="n">
        <v>123606.967491546</v>
      </c>
      <c r="Z21" t="n">
        <v>18508636.0523478</v>
      </c>
      <c r="AA21" t="n">
        <v>27794683.5746974</v>
      </c>
      <c r="AB21" t="n">
        <v>28711288.7518286</v>
      </c>
      <c r="AC21" t="n">
        <v>3241417.96571928</v>
      </c>
      <c r="AD21" t="n">
        <v>1991482.95594273</v>
      </c>
      <c r="AE21" t="n">
        <v>1938177.23405787</v>
      </c>
      <c r="AF21" t="n">
        <v>8489171.17291726</v>
      </c>
      <c r="AG21" t="n">
        <v>93211.8401130836</v>
      </c>
      <c r="AH21" t="n">
        <v>583117.746718915</v>
      </c>
      <c r="AI21" t="n">
        <v>1800470.46904314</v>
      </c>
      <c r="AJ21" t="n">
        <v>4654283.89702158</v>
      </c>
      <c r="AK21" t="n">
        <v>492616.403528746</v>
      </c>
      <c r="AL21" t="n">
        <v>205622.635537864</v>
      </c>
      <c r="AM21" t="n">
        <v>101348067.869629</v>
      </c>
      <c r="AN21" t="n">
        <v>20188449.6888603</v>
      </c>
      <c r="AO21" t="n">
        <v>515594.156435418</v>
      </c>
      <c r="AP21" t="n">
        <v>132663.302153911</v>
      </c>
      <c r="AQ21" t="n">
        <v>13080471.6934202</v>
      </c>
      <c r="AR21" t="n">
        <v>7557209.54105831</v>
      </c>
      <c r="AS21" t="n">
        <v>87462.1089493732</v>
      </c>
      <c r="AT21" t="n">
        <v>232177.997786233</v>
      </c>
      <c r="AU21" t="n">
        <v>7087813.16049932</v>
      </c>
      <c r="AV21" t="n">
        <v>0</v>
      </c>
      <c r="AW21" t="n">
        <v>525084.324166878</v>
      </c>
      <c r="AX21" t="n">
        <v>769923.174854218</v>
      </c>
      <c r="AY21" t="n">
        <v>6177467.38906215</v>
      </c>
      <c r="AZ21" t="n">
        <v>180313.410532604</v>
      </c>
      <c r="BA21" t="n">
        <v>119636335.948976</v>
      </c>
      <c r="BB21" t="n">
        <v>69856336.0178547</v>
      </c>
      <c r="BC21" t="n">
        <v>7213401.12980708</v>
      </c>
      <c r="BD21" t="n">
        <v>90499652.165328</v>
      </c>
      <c r="BE21" t="n">
        <v>65604714.532163</v>
      </c>
      <c r="BF21" t="n">
        <v>22671498.6622386</v>
      </c>
      <c r="BG21" t="n">
        <v>14945916.279063</v>
      </c>
      <c r="BH21" t="n">
        <v>8255336.3700192</v>
      </c>
      <c r="BI21" t="n">
        <v>1651226.28220816</v>
      </c>
      <c r="BJ21" t="n">
        <v>1870689.66872904</v>
      </c>
      <c r="BK21" t="n">
        <v>224004.333377305</v>
      </c>
      <c r="BL21" t="n">
        <v>1717999.68077105</v>
      </c>
      <c r="BM21" t="n">
        <v>740412.557442677</v>
      </c>
      <c r="BN21" t="n">
        <v>8306169.87317663</v>
      </c>
      <c r="BO21" t="n">
        <v>111420755.049259</v>
      </c>
      <c r="BP21" t="n">
        <v>51093567.6231556</v>
      </c>
      <c r="BQ21" t="n">
        <v>10476466.2055459</v>
      </c>
      <c r="BR21" t="n">
        <v>2614838.61486728</v>
      </c>
      <c r="BS21" t="n">
        <v>75100361.0880076</v>
      </c>
      <c r="BT21" t="n">
        <v>28562180.9838141</v>
      </c>
      <c r="BU21" t="n">
        <v>189455148.481313</v>
      </c>
      <c r="BV21" t="n">
        <v>0</v>
      </c>
      <c r="BW21" t="n">
        <v>1683326067.72284</v>
      </c>
      <c r="BX21" t="n">
        <v>0</v>
      </c>
      <c r="BY21" t="n">
        <v>0</v>
      </c>
      <c r="BZ21" t="n">
        <v>41473378.3586252</v>
      </c>
      <c r="CA21" t="n">
        <v>840170661.89865</v>
      </c>
      <c r="CB21" t="n">
        <v>-3044035178.70012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10300268.9652337</v>
      </c>
      <c r="CJ21" t="n">
        <v>0</v>
      </c>
      <c r="CK21" t="n">
        <v>0</v>
      </c>
      <c r="CL21" t="n">
        <v>0</v>
      </c>
      <c r="CM21" t="n">
        <v>176883145.971694</v>
      </c>
      <c r="CN21" t="n">
        <v>0</v>
      </c>
    </row>
    <row r="22">
      <c r="A22" t="s">
        <v>107</v>
      </c>
      <c r="B22" t="n">
        <v>86577.0725031608</v>
      </c>
      <c r="C22" t="n">
        <v>0</v>
      </c>
      <c r="D22" t="n">
        <v>15444.0468767062</v>
      </c>
      <c r="E22" t="n">
        <v>511778.228390977</v>
      </c>
      <c r="F22" t="n">
        <v>191138.145040859</v>
      </c>
      <c r="G22" t="n">
        <v>1017832.78310039</v>
      </c>
      <c r="H22" t="n">
        <v>106422599.977462</v>
      </c>
      <c r="I22" t="n">
        <v>16969004.4330097</v>
      </c>
      <c r="J22" t="n">
        <v>4812652.92502979</v>
      </c>
      <c r="K22" t="n">
        <v>3982986.89065147</v>
      </c>
      <c r="L22" t="n">
        <v>36676067.5777847</v>
      </c>
      <c r="M22" t="n">
        <v>32958388.1657747</v>
      </c>
      <c r="N22" t="n">
        <v>170428652.889223</v>
      </c>
      <c r="O22" t="n">
        <v>18906397.1793451</v>
      </c>
      <c r="P22" t="n">
        <v>129287580.636049</v>
      </c>
      <c r="Q22" t="n">
        <v>203256277.825311</v>
      </c>
      <c r="R22" t="n">
        <v>9127767.51984109</v>
      </c>
      <c r="S22" t="n">
        <v>6880879.64387732</v>
      </c>
      <c r="T22" t="n">
        <v>96451095.784896</v>
      </c>
      <c r="U22" t="n">
        <v>4004077.16180926</v>
      </c>
      <c r="V22" t="n">
        <v>40475.6211266671</v>
      </c>
      <c r="W22" t="n">
        <v>-149283.335042784</v>
      </c>
      <c r="X22" t="n">
        <v>5909378.14678567</v>
      </c>
      <c r="Y22" t="n">
        <v>596292.575797709</v>
      </c>
      <c r="Z22" t="n">
        <v>15879840.8426347</v>
      </c>
      <c r="AA22" t="n">
        <v>22120219.3852592</v>
      </c>
      <c r="AB22" t="n">
        <v>447260659.085503</v>
      </c>
      <c r="AC22" t="n">
        <v>13742026.232926</v>
      </c>
      <c r="AD22" t="n">
        <v>7860923.07459117</v>
      </c>
      <c r="AE22" t="n">
        <v>11551433.9339772</v>
      </c>
      <c r="AF22" t="n">
        <v>20188159.3727213</v>
      </c>
      <c r="AG22" t="n">
        <v>103649.13617199</v>
      </c>
      <c r="AH22" t="n">
        <v>561873.109946036</v>
      </c>
      <c r="AI22" t="n">
        <v>8997.07893847744</v>
      </c>
      <c r="AJ22" t="n">
        <v>3024794.51179503</v>
      </c>
      <c r="AK22" t="n">
        <v>31629.1224970554</v>
      </c>
      <c r="AL22" t="n">
        <v>34028.1168881236</v>
      </c>
      <c r="AM22" t="n">
        <v>1055684.60701875</v>
      </c>
      <c r="AN22" t="n">
        <v>2382297.38244696</v>
      </c>
      <c r="AO22" t="n">
        <v>21790165.0478386</v>
      </c>
      <c r="AP22" t="n">
        <v>2972548.71924012</v>
      </c>
      <c r="AQ22" t="n">
        <v>217149469.829861</v>
      </c>
      <c r="AR22" t="n">
        <v>126729111.995409</v>
      </c>
      <c r="AS22" t="n">
        <v>11352822.4655182</v>
      </c>
      <c r="AT22" t="n">
        <v>7901292.3394124</v>
      </c>
      <c r="AU22" t="n">
        <v>537884.947881044</v>
      </c>
      <c r="AV22" t="n">
        <v>59591509.8332337</v>
      </c>
      <c r="AW22" t="n">
        <v>8916.13309547504</v>
      </c>
      <c r="AX22" t="n">
        <v>6956535.47152389</v>
      </c>
      <c r="AY22" t="n">
        <v>1567611.33500212</v>
      </c>
      <c r="AZ22" t="n">
        <v>16776249.877685</v>
      </c>
      <c r="BA22" t="n">
        <v>235811398.888636</v>
      </c>
      <c r="BB22" t="n">
        <v>239597962.596021</v>
      </c>
      <c r="BC22" t="n">
        <v>131025992.596146</v>
      </c>
      <c r="BD22" t="n">
        <v>144836922.683416</v>
      </c>
      <c r="BE22" t="n">
        <v>11629785.5540283</v>
      </c>
      <c r="BF22" t="n">
        <v>9134443.1192613</v>
      </c>
      <c r="BG22" t="n">
        <v>96321794.6097679</v>
      </c>
      <c r="BH22" t="n">
        <v>9125672.40310941</v>
      </c>
      <c r="BI22" t="n">
        <v>1933608.20138264</v>
      </c>
      <c r="BJ22" t="n">
        <v>8741479.59415224</v>
      </c>
      <c r="BK22" t="n">
        <v>312812.979650003</v>
      </c>
      <c r="BL22" t="n">
        <v>1745329.05413767</v>
      </c>
      <c r="BM22" t="n">
        <v>3121541.11028984</v>
      </c>
      <c r="BN22" t="n">
        <v>2907323.91571363</v>
      </c>
      <c r="BO22" t="n">
        <v>68104273.5525202</v>
      </c>
      <c r="BP22" t="n">
        <v>372850195.797908</v>
      </c>
      <c r="BQ22" t="n">
        <v>132409146.118091</v>
      </c>
      <c r="BR22" t="n">
        <v>0</v>
      </c>
      <c r="BS22" t="n">
        <v>32759038.4368838</v>
      </c>
      <c r="BT22" t="n">
        <v>15854702.8224167</v>
      </c>
      <c r="BU22" t="n">
        <v>1961536498.56806</v>
      </c>
      <c r="BV22" t="n">
        <v>0</v>
      </c>
      <c r="BW22" t="n">
        <v>1396369715.33415</v>
      </c>
      <c r="BX22" t="n">
        <v>0</v>
      </c>
      <c r="BY22" t="n">
        <v>5095009.55349656</v>
      </c>
      <c r="BZ22" t="n">
        <v>18305213.6242856</v>
      </c>
      <c r="CA22" t="n">
        <v>1048465872.06069</v>
      </c>
      <c r="CB22" t="n">
        <v>-6925367585.85517</v>
      </c>
      <c r="CC22" t="n">
        <v>0</v>
      </c>
      <c r="CD22" t="n">
        <v>0</v>
      </c>
      <c r="CE22" t="n">
        <v>880888299.963217</v>
      </c>
      <c r="CF22" t="n">
        <v>0</v>
      </c>
      <c r="CG22" t="n">
        <v>0</v>
      </c>
      <c r="CH22" t="n">
        <v>0</v>
      </c>
      <c r="CI22" t="n">
        <v>343745627.916701</v>
      </c>
      <c r="CJ22" t="n">
        <v>0</v>
      </c>
      <c r="CK22" t="n">
        <v>0</v>
      </c>
      <c r="CL22" t="n">
        <v>0</v>
      </c>
      <c r="CM22" t="n">
        <v>191310235.463738</v>
      </c>
      <c r="CN22" t="n">
        <v>0</v>
      </c>
    </row>
    <row r="23">
      <c r="A23" t="s">
        <v>108</v>
      </c>
      <c r="B23" t="n">
        <v>17210761.1657749</v>
      </c>
      <c r="C23" t="n">
        <v>293117.719730899</v>
      </c>
      <c r="D23" t="n">
        <v>30720.5033376835</v>
      </c>
      <c r="E23" t="n">
        <v>1190085.99455837</v>
      </c>
      <c r="F23" t="n">
        <v>696445.436522415</v>
      </c>
      <c r="G23" t="n">
        <v>305229.239272011</v>
      </c>
      <c r="H23" t="n">
        <v>630425775.948855</v>
      </c>
      <c r="I23" t="n">
        <v>10944521.1504774</v>
      </c>
      <c r="J23" t="n">
        <v>1524569.32737023</v>
      </c>
      <c r="K23" t="n">
        <v>8151060.75449508</v>
      </c>
      <c r="L23" t="n">
        <v>27307070.6191414</v>
      </c>
      <c r="M23" t="n">
        <v>110762295.006926</v>
      </c>
      <c r="N23" t="n">
        <v>16642288.3097395</v>
      </c>
      <c r="O23" t="n">
        <v>114046764.682062</v>
      </c>
      <c r="P23" t="n">
        <v>45022421.6359888</v>
      </c>
      <c r="Q23" t="n">
        <v>28099454.3010649</v>
      </c>
      <c r="R23" t="n">
        <v>2288682.56591041</v>
      </c>
      <c r="S23" t="n">
        <v>5175726.5447006</v>
      </c>
      <c r="T23" t="n">
        <v>75692100.6407622</v>
      </c>
      <c r="U23" t="n">
        <v>1090208.6676884</v>
      </c>
      <c r="V23" t="n">
        <v>9408.46245476363</v>
      </c>
      <c r="W23" t="n">
        <v>8021132.94113428</v>
      </c>
      <c r="X23" t="n">
        <v>982906.147650926</v>
      </c>
      <c r="Y23" t="n">
        <v>414425.275527509</v>
      </c>
      <c r="Z23" t="n">
        <v>5083731.39054459</v>
      </c>
      <c r="AA23" t="n">
        <v>16872398.1862302</v>
      </c>
      <c r="AB23" t="n">
        <v>10672963.8223482</v>
      </c>
      <c r="AC23" t="n">
        <v>5963268.00375565</v>
      </c>
      <c r="AD23" t="n">
        <v>1941080.74117417</v>
      </c>
      <c r="AE23" t="n">
        <v>20200826.1916503</v>
      </c>
      <c r="AF23" t="n">
        <v>4164945.5754279</v>
      </c>
      <c r="AG23" t="n">
        <v>36287.8650992726</v>
      </c>
      <c r="AH23" t="n">
        <v>1601448.10721754</v>
      </c>
      <c r="AI23" t="n">
        <v>190938.935872875</v>
      </c>
      <c r="AJ23" t="n">
        <v>743424.381868636</v>
      </c>
      <c r="AK23" t="n">
        <v>1775118.09409835</v>
      </c>
      <c r="AL23" t="n">
        <v>11287.4351755444</v>
      </c>
      <c r="AM23" t="n">
        <v>1271335.79483823</v>
      </c>
      <c r="AN23" t="n">
        <v>1659299.06811282</v>
      </c>
      <c r="AO23" t="n">
        <v>28228.8823574555</v>
      </c>
      <c r="AP23" t="n">
        <v>0</v>
      </c>
      <c r="AQ23" t="n">
        <v>54388043.9701385</v>
      </c>
      <c r="AR23" t="n">
        <v>3280057.83736931</v>
      </c>
      <c r="AS23" t="n">
        <v>2870232.67961198</v>
      </c>
      <c r="AT23" t="n">
        <v>671191.08135827</v>
      </c>
      <c r="AU23" t="n">
        <v>484687.015997882</v>
      </c>
      <c r="AV23" t="n">
        <v>0</v>
      </c>
      <c r="AW23" t="n">
        <v>68494.3713028955</v>
      </c>
      <c r="AX23" t="n">
        <v>21156378.6196885</v>
      </c>
      <c r="AY23" t="n">
        <v>1947237.41647757</v>
      </c>
      <c r="AZ23" t="n">
        <v>0</v>
      </c>
      <c r="BA23" t="n">
        <v>154568681.160107</v>
      </c>
      <c r="BB23" t="n">
        <v>150604803.95737</v>
      </c>
      <c r="BC23" t="n">
        <v>1195660.49431478</v>
      </c>
      <c r="BD23" t="n">
        <v>47265533.019167</v>
      </c>
      <c r="BE23" t="n">
        <v>16813140.4689451</v>
      </c>
      <c r="BF23" t="n">
        <v>5614370.88019903</v>
      </c>
      <c r="BG23" t="n">
        <v>187698.707768849</v>
      </c>
      <c r="BH23" t="n">
        <v>13129493.7059899</v>
      </c>
      <c r="BI23" t="n">
        <v>18987259.5036241</v>
      </c>
      <c r="BJ23" t="n">
        <v>4836353.63109428</v>
      </c>
      <c r="BK23" t="n">
        <v>665320.828484071</v>
      </c>
      <c r="BL23" t="n">
        <v>4905349.91840054</v>
      </c>
      <c r="BM23" t="n">
        <v>12718055.9413382</v>
      </c>
      <c r="BN23" t="n">
        <v>8283397.12853726</v>
      </c>
      <c r="BO23" t="n">
        <v>69575324.4355316</v>
      </c>
      <c r="BP23" t="n">
        <v>68284133.187036</v>
      </c>
      <c r="BQ23" t="n">
        <v>148716018.427032</v>
      </c>
      <c r="BR23" t="n">
        <v>3726017.88322805</v>
      </c>
      <c r="BS23" t="n">
        <v>22213508.93376</v>
      </c>
      <c r="BT23" t="n">
        <v>33776166.4018932</v>
      </c>
      <c r="BU23" t="n">
        <v>837452870.858399</v>
      </c>
      <c r="BV23" t="n">
        <v>0</v>
      </c>
      <c r="BW23" t="n">
        <v>388916993.427411</v>
      </c>
      <c r="BX23" t="n">
        <v>0</v>
      </c>
      <c r="BY23" t="n">
        <v>121385224.333385</v>
      </c>
      <c r="BZ23" t="n">
        <v>28495965.9827815</v>
      </c>
      <c r="CA23" t="n">
        <v>266597737.577752</v>
      </c>
      <c r="CB23" t="n">
        <v>-2692897091.46589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12543340.8271451</v>
      </c>
      <c r="CJ23" t="n">
        <v>0</v>
      </c>
      <c r="CK23" t="n">
        <v>0</v>
      </c>
      <c r="CL23" t="n">
        <v>0</v>
      </c>
      <c r="CM23" t="n">
        <v>20474716.7205932</v>
      </c>
      <c r="CN23" t="n">
        <v>0</v>
      </c>
    </row>
    <row r="24">
      <c r="A24" t="s">
        <v>109</v>
      </c>
      <c r="B24" t="n">
        <v>6968777.8793865</v>
      </c>
      <c r="C24" t="n">
        <v>322450.527607823</v>
      </c>
      <c r="D24" t="n">
        <v>181603.395809704</v>
      </c>
      <c r="E24" t="n">
        <v>11683947.5073031</v>
      </c>
      <c r="F24" t="n">
        <v>591455.605510224</v>
      </c>
      <c r="G24" t="n">
        <v>538995.062202322</v>
      </c>
      <c r="H24" t="n">
        <v>32672511.2426986</v>
      </c>
      <c r="I24" t="n">
        <v>39929672.6538349</v>
      </c>
      <c r="J24" t="n">
        <v>6514125.61319387</v>
      </c>
      <c r="K24" t="n">
        <v>3731002.77017944</v>
      </c>
      <c r="L24" t="n">
        <v>12822475.3639075</v>
      </c>
      <c r="M24" t="n">
        <v>79092386.9970847</v>
      </c>
      <c r="N24" t="n">
        <v>6133571.21987371</v>
      </c>
      <c r="O24" t="n">
        <v>7861902.636299</v>
      </c>
      <c r="P24" t="n">
        <v>1174894271.91474</v>
      </c>
      <c r="Q24" t="n">
        <v>46280979.289756</v>
      </c>
      <c r="R24" t="n">
        <v>7412274.66776969</v>
      </c>
      <c r="S24" t="n">
        <v>4807983.63129647</v>
      </c>
      <c r="T24" t="n">
        <v>201125542.348309</v>
      </c>
      <c r="U24" t="n">
        <v>1231815.22413479</v>
      </c>
      <c r="V24" t="n">
        <v>2871.64056648254</v>
      </c>
      <c r="W24" t="n">
        <v>17634658.0234785</v>
      </c>
      <c r="X24" t="n">
        <v>1423917.76550978</v>
      </c>
      <c r="Y24" t="n">
        <v>363010.857999821</v>
      </c>
      <c r="Z24" t="n">
        <v>6806499.21381305</v>
      </c>
      <c r="AA24" t="n">
        <v>11052864.5842468</v>
      </c>
      <c r="AB24" t="n">
        <v>91985999.2355058</v>
      </c>
      <c r="AC24" t="n">
        <v>75591087.0690456</v>
      </c>
      <c r="AD24" t="n">
        <v>32869352.4630383</v>
      </c>
      <c r="AE24" t="n">
        <v>7244232.61896671</v>
      </c>
      <c r="AF24" t="n">
        <v>51609941.7032434</v>
      </c>
      <c r="AG24" t="n">
        <v>0</v>
      </c>
      <c r="AH24" t="n">
        <v>978630.584108767</v>
      </c>
      <c r="AI24" t="n">
        <v>0</v>
      </c>
      <c r="AJ24" t="n">
        <v>66846833.7009175</v>
      </c>
      <c r="AK24" t="n">
        <v>4527842.29439824</v>
      </c>
      <c r="AL24" t="n">
        <v>4441.41413131315</v>
      </c>
      <c r="AM24" t="n">
        <v>1570350.26431228</v>
      </c>
      <c r="AN24" t="n">
        <v>25282079.9756562</v>
      </c>
      <c r="AO24" t="n">
        <v>1624183.6309271</v>
      </c>
      <c r="AP24" t="n">
        <v>705335.495765565</v>
      </c>
      <c r="AQ24" t="n">
        <v>15563475.0594017</v>
      </c>
      <c r="AR24" t="n">
        <v>5169700.10780802</v>
      </c>
      <c r="AS24" t="n">
        <v>2687984.06275099</v>
      </c>
      <c r="AT24" t="n">
        <v>175286.788875155</v>
      </c>
      <c r="AU24" t="n">
        <v>0</v>
      </c>
      <c r="AV24" t="n">
        <v>0</v>
      </c>
      <c r="AW24" t="n">
        <v>0</v>
      </c>
      <c r="AX24" t="n">
        <v>0</v>
      </c>
      <c r="AY24" t="n">
        <v>19966496.353269</v>
      </c>
      <c r="AZ24" t="n">
        <v>0</v>
      </c>
      <c r="BA24" t="n">
        <v>3946663.51524629</v>
      </c>
      <c r="BB24" t="n">
        <v>76999109.1310835</v>
      </c>
      <c r="BC24" t="n">
        <v>13272741.3829898</v>
      </c>
      <c r="BD24" t="n">
        <v>237905455.788687</v>
      </c>
      <c r="BE24" t="n">
        <v>15993753.5768258</v>
      </c>
      <c r="BF24" t="n">
        <v>6625654.27890206</v>
      </c>
      <c r="BG24" t="n">
        <v>10314386.6269264</v>
      </c>
      <c r="BH24" t="n">
        <v>24469143.7426314</v>
      </c>
      <c r="BI24" t="n">
        <v>2009509.50831161</v>
      </c>
      <c r="BJ24" t="n">
        <v>28679731.8524692</v>
      </c>
      <c r="BK24" t="n">
        <v>561584.233160161</v>
      </c>
      <c r="BL24" t="n">
        <v>1158628.74602634</v>
      </c>
      <c r="BM24" t="n">
        <v>2024133.91790872</v>
      </c>
      <c r="BN24" t="n">
        <v>18662590.2727948</v>
      </c>
      <c r="BO24" t="n">
        <v>202456964.413127</v>
      </c>
      <c r="BP24" t="n">
        <v>303121847.578373</v>
      </c>
      <c r="BQ24" t="n">
        <v>5248852.69707436</v>
      </c>
      <c r="BR24" t="n">
        <v>132419951.120881</v>
      </c>
      <c r="BS24" t="n">
        <v>107863177.837099</v>
      </c>
      <c r="BT24" t="n">
        <v>11924377.7197888</v>
      </c>
      <c r="BU24" t="n">
        <v>2973884763.30412</v>
      </c>
      <c r="BV24" t="n">
        <v>0</v>
      </c>
      <c r="BW24" t="n">
        <v>2317101631.78746</v>
      </c>
      <c r="BX24" t="n">
        <v>0</v>
      </c>
      <c r="BY24" t="n">
        <v>0</v>
      </c>
      <c r="BZ24" t="n">
        <v>89295056.4722833</v>
      </c>
      <c r="CA24" t="n">
        <v>923496143.791058</v>
      </c>
      <c r="CB24" t="n">
        <v>-6347668211.01217</v>
      </c>
      <c r="CC24" t="n">
        <v>0</v>
      </c>
      <c r="CD24" t="n">
        <v>0</v>
      </c>
      <c r="CE24" t="n">
        <v>57191243.2149665</v>
      </c>
      <c r="CF24" t="n">
        <v>0</v>
      </c>
      <c r="CG24" t="n">
        <v>0</v>
      </c>
      <c r="CH24" t="n">
        <v>0</v>
      </c>
      <c r="CI24" t="n">
        <v>58973979.9949399</v>
      </c>
      <c r="CJ24" t="n">
        <v>0</v>
      </c>
      <c r="CK24" t="n">
        <v>0</v>
      </c>
      <c r="CL24" t="n">
        <v>0</v>
      </c>
      <c r="CM24" t="n">
        <v>491421720.938605</v>
      </c>
      <c r="CN24" t="n">
        <v>0</v>
      </c>
    </row>
    <row r="25">
      <c r="A25" t="s">
        <v>110</v>
      </c>
      <c r="B25" t="n">
        <v>0</v>
      </c>
      <c r="C25" t="n">
        <v>41429.4691922576</v>
      </c>
      <c r="D25" t="n">
        <v>0</v>
      </c>
      <c r="E25" t="n">
        <v>73892.2383009095</v>
      </c>
      <c r="F25" t="n">
        <v>0</v>
      </c>
      <c r="G25" t="n">
        <v>0</v>
      </c>
      <c r="H25" t="n">
        <v>345689.608175498</v>
      </c>
      <c r="I25" t="n">
        <v>162110.671982417</v>
      </c>
      <c r="J25" t="n">
        <v>0</v>
      </c>
      <c r="K25" t="n">
        <v>0</v>
      </c>
      <c r="L25" t="n">
        <v>475344.650873522</v>
      </c>
      <c r="M25" t="n">
        <v>894164.026907349</v>
      </c>
      <c r="N25" t="n">
        <v>0</v>
      </c>
      <c r="O25" t="n">
        <v>0</v>
      </c>
      <c r="P25" t="n">
        <v>3297356.01774387</v>
      </c>
      <c r="Q25" t="n">
        <v>1617227083.13296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513169.453823592</v>
      </c>
      <c r="AD25" t="n">
        <v>0</v>
      </c>
      <c r="AE25" t="n">
        <v>0</v>
      </c>
      <c r="AF25" t="n">
        <v>0</v>
      </c>
      <c r="AG25" t="n">
        <v>16789942.1149037</v>
      </c>
      <c r="AH25" t="n">
        <v>12063599.6928818</v>
      </c>
      <c r="AI25" t="n">
        <v>16092219.6478524</v>
      </c>
      <c r="AJ25" t="n">
        <v>60950.6351709025</v>
      </c>
      <c r="AK25" t="n">
        <v>706477.280352815</v>
      </c>
      <c r="AL25" t="n">
        <v>0</v>
      </c>
      <c r="AM25" t="n">
        <v>46004886.5795324</v>
      </c>
      <c r="AN25" t="n">
        <v>0</v>
      </c>
      <c r="AO25" t="n">
        <v>0</v>
      </c>
      <c r="AP25" t="n">
        <v>0</v>
      </c>
      <c r="AQ25" t="n">
        <v>25238.7757138277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23961281.4270193</v>
      </c>
      <c r="BC25" t="n">
        <v>702989.395837812</v>
      </c>
      <c r="BD25" t="n">
        <v>936123.439604983</v>
      </c>
      <c r="BE25" t="n">
        <v>720582.277290491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150662.847702499</v>
      </c>
      <c r="BM25" t="n">
        <v>0</v>
      </c>
      <c r="BN25" t="n">
        <v>0</v>
      </c>
      <c r="BO25" t="n">
        <v>2373009.24199252</v>
      </c>
      <c r="BP25" t="n">
        <v>1215135438.51465</v>
      </c>
      <c r="BQ25" t="n">
        <v>70823569.544156</v>
      </c>
      <c r="BR25" t="n">
        <v>27548.963674757</v>
      </c>
      <c r="BS25" t="n">
        <v>0</v>
      </c>
      <c r="BT25" t="n">
        <v>618269.528539667</v>
      </c>
      <c r="BU25" t="n">
        <v>352926157.700468</v>
      </c>
      <c r="BV25" t="n">
        <v>0</v>
      </c>
      <c r="BW25" t="n">
        <v>718758307.912403</v>
      </c>
      <c r="BX25" t="n">
        <v>0</v>
      </c>
      <c r="BY25" t="n">
        <v>0</v>
      </c>
      <c r="BZ25" t="n">
        <v>546975309.270132</v>
      </c>
      <c r="CA25" t="n">
        <v>908699970.086815</v>
      </c>
      <c r="CB25" t="n">
        <v>-1903642149.12834</v>
      </c>
      <c r="CC25" t="n">
        <v>0</v>
      </c>
      <c r="CD25" t="n">
        <v>0</v>
      </c>
      <c r="CE25" t="n">
        <v>235526240.613894</v>
      </c>
      <c r="CF25" t="n">
        <v>0</v>
      </c>
      <c r="CG25" t="n">
        <v>0</v>
      </c>
      <c r="CH25" t="n">
        <v>0</v>
      </c>
      <c r="CI25" t="n">
        <v>34935762.9100163</v>
      </c>
      <c r="CJ25" t="n">
        <v>0</v>
      </c>
      <c r="CK25" t="n">
        <v>0</v>
      </c>
      <c r="CL25" t="n">
        <v>0</v>
      </c>
      <c r="CM25" t="n">
        <v>2481838.56066718</v>
      </c>
      <c r="CN25" t="n">
        <v>0</v>
      </c>
    </row>
    <row r="26">
      <c r="A26" t="s">
        <v>111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250011519.180541</v>
      </c>
      <c r="I26" t="n">
        <v>9662178.59459781</v>
      </c>
      <c r="J26" t="n">
        <v>0</v>
      </c>
      <c r="K26" t="n">
        <v>0</v>
      </c>
      <c r="L26" t="n">
        <v>0</v>
      </c>
      <c r="M26" t="n">
        <v>1527141.98731032</v>
      </c>
      <c r="N26" t="n">
        <v>251842.94484303</v>
      </c>
      <c r="O26" t="n">
        <v>0</v>
      </c>
      <c r="P26" t="n">
        <v>145904.405409415</v>
      </c>
      <c r="Q26" t="n">
        <v>3623391.33527749</v>
      </c>
      <c r="R26" t="n">
        <v>72880630.6396592</v>
      </c>
      <c r="S26" t="n">
        <v>423340.373630337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4372843.59480393</v>
      </c>
      <c r="AB26" t="n">
        <v>12555501.4178989</v>
      </c>
      <c r="AC26" t="n">
        <v>2179065.51127418</v>
      </c>
      <c r="AD26" t="n">
        <v>0</v>
      </c>
      <c r="AE26" t="n">
        <v>203973.642377983</v>
      </c>
      <c r="AF26" t="n">
        <v>23427201.9559156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7799.16309033806</v>
      </c>
      <c r="AP26" t="n">
        <v>0</v>
      </c>
      <c r="AQ26" t="n">
        <v>1022368.90950845</v>
      </c>
      <c r="AR26" t="n">
        <v>4333469.76124413</v>
      </c>
      <c r="AS26" t="n">
        <v>0</v>
      </c>
      <c r="AT26" t="n">
        <v>0</v>
      </c>
      <c r="AU26" t="n">
        <v>0</v>
      </c>
      <c r="AV26" t="n">
        <v>0</v>
      </c>
      <c r="AW26" t="n">
        <v>61434914.3725589</v>
      </c>
      <c r="AX26" t="n">
        <v>694156.897509258</v>
      </c>
      <c r="AY26" t="n">
        <v>0</v>
      </c>
      <c r="AZ26" t="n">
        <v>110349.176199955</v>
      </c>
      <c r="BA26" t="n">
        <v>121622.702469113</v>
      </c>
      <c r="BB26" t="n">
        <v>17592242.4758309</v>
      </c>
      <c r="BC26" t="n">
        <v>154521.030794529</v>
      </c>
      <c r="BD26" t="n">
        <v>52064.5696320472</v>
      </c>
      <c r="BE26" t="n">
        <v>0</v>
      </c>
      <c r="BF26" t="n">
        <v>0</v>
      </c>
      <c r="BG26" t="n">
        <v>4353933.26179319</v>
      </c>
      <c r="BH26" t="n">
        <v>1345451.65155838</v>
      </c>
      <c r="BI26" t="n">
        <v>12229.147573676</v>
      </c>
      <c r="BJ26" t="n">
        <v>1943780.49735248</v>
      </c>
      <c r="BK26" t="n">
        <v>4860423.99181673</v>
      </c>
      <c r="BL26" t="n">
        <v>5078929.90400961</v>
      </c>
      <c r="BM26" t="n">
        <v>20672.0774058689</v>
      </c>
      <c r="BN26" t="n">
        <v>3458778.12024213</v>
      </c>
      <c r="BO26" t="n">
        <v>8744062.15448365</v>
      </c>
      <c r="BP26" t="n">
        <v>0</v>
      </c>
      <c r="BQ26" t="n">
        <v>0</v>
      </c>
      <c r="BR26" t="n">
        <v>4418764.74859415</v>
      </c>
      <c r="BS26" t="n">
        <v>145391.083911242</v>
      </c>
      <c r="BT26" t="n">
        <v>11962627.7401774</v>
      </c>
      <c r="BU26" t="n">
        <v>1038266985.2549</v>
      </c>
      <c r="BV26" t="n">
        <v>0</v>
      </c>
      <c r="BW26" t="n">
        <v>620460743.220254</v>
      </c>
      <c r="BX26" t="n">
        <v>0</v>
      </c>
      <c r="BY26" t="n">
        <v>11818294.1106722</v>
      </c>
      <c r="BZ26" t="n">
        <v>15277393.6888383</v>
      </c>
      <c r="CA26" t="n">
        <v>89764895.6099398</v>
      </c>
      <c r="CB26" t="n">
        <v>-1235464486.98553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3282423.49701451</v>
      </c>
      <c r="CJ26" t="n">
        <v>0</v>
      </c>
      <c r="CK26" t="n">
        <v>0</v>
      </c>
      <c r="CL26" t="n">
        <v>0</v>
      </c>
      <c r="CM26" t="n">
        <v>27877060.7869614</v>
      </c>
      <c r="CN26" t="n">
        <v>0</v>
      </c>
    </row>
    <row r="27">
      <c r="A27" t="s">
        <v>112</v>
      </c>
      <c r="B27" t="n">
        <v>444013.456819021</v>
      </c>
      <c r="C27" t="n">
        <v>0</v>
      </c>
      <c r="D27" t="n">
        <v>7914.5420821921</v>
      </c>
      <c r="E27" t="n">
        <v>500134.718300909</v>
      </c>
      <c r="F27" t="n">
        <v>26178.0782643975</v>
      </c>
      <c r="G27" t="n">
        <v>0</v>
      </c>
      <c r="H27" t="n">
        <v>17421520.6931389</v>
      </c>
      <c r="I27" t="n">
        <v>422896.844352764</v>
      </c>
      <c r="J27" t="n">
        <v>707884.886644109</v>
      </c>
      <c r="K27" t="n">
        <v>94888.1102690649</v>
      </c>
      <c r="L27" t="n">
        <v>490863.785785525</v>
      </c>
      <c r="M27" t="n">
        <v>14993372.2183052</v>
      </c>
      <c r="N27" t="n">
        <v>3540.30039609076</v>
      </c>
      <c r="O27" t="n">
        <v>5448463.8800918</v>
      </c>
      <c r="P27" t="n">
        <v>17874241.9703507</v>
      </c>
      <c r="Q27" t="n">
        <v>358021.805897292</v>
      </c>
      <c r="R27" t="n">
        <v>82634.6411742082</v>
      </c>
      <c r="S27" t="n">
        <v>29971469.6694806</v>
      </c>
      <c r="T27" t="n">
        <v>1620356.59597152</v>
      </c>
      <c r="U27" t="n">
        <v>154822.296681943</v>
      </c>
      <c r="V27" t="n">
        <v>540078.192499199</v>
      </c>
      <c r="W27" t="n">
        <v>0</v>
      </c>
      <c r="X27" t="n">
        <v>32548.0752120918</v>
      </c>
      <c r="Y27" t="n">
        <v>1978.72231630614</v>
      </c>
      <c r="Z27" t="n">
        <v>1685899.17252457</v>
      </c>
      <c r="AA27" t="n">
        <v>1690524.19709856</v>
      </c>
      <c r="AB27" t="n">
        <v>8688788.26041755</v>
      </c>
      <c r="AC27" t="n">
        <v>10076042.2538347</v>
      </c>
      <c r="AD27" t="n">
        <v>2058895.87809172</v>
      </c>
      <c r="AE27" t="n">
        <v>86977.017930914</v>
      </c>
      <c r="AF27" t="n">
        <v>15935880.7571622</v>
      </c>
      <c r="AG27" t="n">
        <v>0</v>
      </c>
      <c r="AH27" t="n">
        <v>8723.61205905327</v>
      </c>
      <c r="AI27" t="n">
        <v>0</v>
      </c>
      <c r="AJ27" t="n">
        <v>82731.3192287788</v>
      </c>
      <c r="AK27" t="n">
        <v>185020.601479863</v>
      </c>
      <c r="AL27" t="n">
        <v>1340.98453865139</v>
      </c>
      <c r="AM27" t="n">
        <v>1469268.7270741</v>
      </c>
      <c r="AN27" t="n">
        <v>1839891.4867317</v>
      </c>
      <c r="AO27" t="n">
        <v>25869.1902722835</v>
      </c>
      <c r="AP27" t="n">
        <v>12381.3377817748</v>
      </c>
      <c r="AQ27" t="n">
        <v>1483496.02898366</v>
      </c>
      <c r="AR27" t="n">
        <v>1247536.98877225</v>
      </c>
      <c r="AS27" t="n">
        <v>1074188.27364487</v>
      </c>
      <c r="AT27" t="n">
        <v>154282.273765481</v>
      </c>
      <c r="AU27" t="n">
        <v>170700.315747928</v>
      </c>
      <c r="AV27" t="n">
        <v>0</v>
      </c>
      <c r="AW27" t="n">
        <v>0</v>
      </c>
      <c r="AX27" t="n">
        <v>3135559.08123815</v>
      </c>
      <c r="AY27" t="n">
        <v>587475.541581301</v>
      </c>
      <c r="AZ27" t="n">
        <v>142071.598992978</v>
      </c>
      <c r="BA27" t="n">
        <v>1089471.84513963</v>
      </c>
      <c r="BB27" t="n">
        <v>48309157.5427605</v>
      </c>
      <c r="BC27" t="n">
        <v>264118.698836734</v>
      </c>
      <c r="BD27" t="n">
        <v>43182759.9399575</v>
      </c>
      <c r="BE27" t="n">
        <v>2486607.39358603</v>
      </c>
      <c r="BF27" t="n">
        <v>4168290.2952491</v>
      </c>
      <c r="BG27" t="n">
        <v>246810316.861164</v>
      </c>
      <c r="BH27" t="n">
        <v>297182038.089553</v>
      </c>
      <c r="BI27" t="n">
        <v>8532239.77390604</v>
      </c>
      <c r="BJ27" t="n">
        <v>21208937.2911551</v>
      </c>
      <c r="BK27" t="n">
        <v>752381.936912222</v>
      </c>
      <c r="BL27" t="n">
        <v>3159498.13138328</v>
      </c>
      <c r="BM27" t="n">
        <v>556663.771782266</v>
      </c>
      <c r="BN27" t="n">
        <v>15433786.4831784</v>
      </c>
      <c r="BO27" t="n">
        <v>24909973.8809846</v>
      </c>
      <c r="BP27" t="n">
        <v>43305367.824125</v>
      </c>
      <c r="BQ27" t="n">
        <v>19995613.5760796</v>
      </c>
      <c r="BR27" t="n">
        <v>0</v>
      </c>
      <c r="BS27" t="n">
        <v>98390160.0589039</v>
      </c>
      <c r="BT27" t="n">
        <v>365071.454519088</v>
      </c>
      <c r="BU27" t="n">
        <v>2098978347.73749</v>
      </c>
      <c r="BV27" t="n">
        <v>0</v>
      </c>
      <c r="BW27" t="n">
        <v>292058638.47393</v>
      </c>
      <c r="BX27" t="n">
        <v>0</v>
      </c>
      <c r="BY27" t="n">
        <v>0</v>
      </c>
      <c r="BZ27" t="n">
        <v>19651788.3632614</v>
      </c>
      <c r="CA27" t="n">
        <v>270310362.044133</v>
      </c>
      <c r="CB27" t="n">
        <v>-2478313743.10438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4231145.1513035</v>
      </c>
      <c r="CJ27" t="n">
        <v>0</v>
      </c>
      <c r="CK27" t="n">
        <v>0</v>
      </c>
      <c r="CL27" t="n">
        <v>0</v>
      </c>
      <c r="CM27" t="n">
        <v>12866704.3413575</v>
      </c>
      <c r="CN27" t="n">
        <v>0</v>
      </c>
    </row>
    <row r="28">
      <c r="A28" t="s">
        <v>113</v>
      </c>
      <c r="B28" t="n">
        <v>168244692.445143</v>
      </c>
      <c r="C28" t="n">
        <v>849671.576502547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474599.668550992</v>
      </c>
      <c r="J28" t="n">
        <v>6120625.54889066</v>
      </c>
      <c r="K28" t="n">
        <v>27481.7827145722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37394.9586138085</v>
      </c>
      <c r="T28" t="n">
        <v>6994539374.13913</v>
      </c>
      <c r="U28" t="n">
        <v>215381.541839052</v>
      </c>
      <c r="V28" t="n">
        <v>1006481.18271036</v>
      </c>
      <c r="W28" t="n">
        <v>5029934.72756419</v>
      </c>
      <c r="X28" t="n">
        <v>2935848.53495593</v>
      </c>
      <c r="Y28" t="n">
        <v>875491.576757323</v>
      </c>
      <c r="Z28" t="n">
        <v>24241683.0545913</v>
      </c>
      <c r="AA28" t="n">
        <v>3564951.92881633</v>
      </c>
      <c r="AB28" t="n">
        <v>28201724.5876157</v>
      </c>
      <c r="AC28" t="n">
        <v>17606.4503179665</v>
      </c>
      <c r="AD28" t="n">
        <v>46482954.0712063</v>
      </c>
      <c r="AE28" t="n">
        <v>17331251.8028149</v>
      </c>
      <c r="AF28" t="n">
        <v>22371293.7200147</v>
      </c>
      <c r="AG28" t="n">
        <v>10539923.5052147</v>
      </c>
      <c r="AH28" t="n">
        <v>27830.0954262909</v>
      </c>
      <c r="AI28" t="n">
        <v>9796834.61554966</v>
      </c>
      <c r="AJ28" t="n">
        <v>385331.25355055</v>
      </c>
      <c r="AK28" t="n">
        <v>0</v>
      </c>
      <c r="AL28" t="n">
        <v>0</v>
      </c>
      <c r="AM28" t="n">
        <v>109468.481762534</v>
      </c>
      <c r="AN28" t="n">
        <v>0</v>
      </c>
      <c r="AO28" t="n">
        <v>295961.095862527</v>
      </c>
      <c r="AP28" t="n">
        <v>90339.3873960813</v>
      </c>
      <c r="AQ28" t="n">
        <v>0</v>
      </c>
      <c r="AR28" t="n">
        <v>2697986.1651487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129644027.011157</v>
      </c>
      <c r="BC28" t="n">
        <v>1587407.2196613</v>
      </c>
      <c r="BD28" t="n">
        <v>0</v>
      </c>
      <c r="BE28" t="n">
        <v>0</v>
      </c>
      <c r="BF28" t="n">
        <v>72648091.8417578</v>
      </c>
      <c r="BG28" t="n">
        <v>102516.678108108</v>
      </c>
      <c r="BH28" t="n">
        <v>78347452.007346</v>
      </c>
      <c r="BI28" t="n">
        <v>71906046.7927123</v>
      </c>
      <c r="BJ28" t="n">
        <v>231987270.876123</v>
      </c>
      <c r="BK28" t="n">
        <v>11034263.1476926</v>
      </c>
      <c r="BL28" t="n">
        <v>62752357.4315818</v>
      </c>
      <c r="BM28" t="n">
        <v>89534667.268107</v>
      </c>
      <c r="BN28" t="n">
        <v>1196252818.32788</v>
      </c>
      <c r="BO28" t="n">
        <v>28581892.3756853</v>
      </c>
      <c r="BP28" t="n">
        <v>130444934.892899</v>
      </c>
      <c r="BQ28" t="n">
        <v>2161294.40789369</v>
      </c>
      <c r="BR28" t="n">
        <v>35304113.308564</v>
      </c>
      <c r="BS28" t="n">
        <v>976034393.221448</v>
      </c>
      <c r="BT28" t="n">
        <v>0</v>
      </c>
      <c r="BU28" t="n">
        <v>10925545660.4751</v>
      </c>
      <c r="BV28" t="n">
        <v>0</v>
      </c>
      <c r="BW28" t="n">
        <v>0</v>
      </c>
      <c r="BX28" t="n">
        <v>0</v>
      </c>
      <c r="BY28" t="n">
        <v>0</v>
      </c>
      <c r="BZ28" t="n">
        <v>459191682.869703</v>
      </c>
      <c r="CA28" t="n">
        <v>1255302487.57499</v>
      </c>
      <c r="CB28" t="n">
        <v>-3295528032.93584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114</v>
      </c>
      <c r="B29" t="n">
        <v>409444.541684014</v>
      </c>
      <c r="C29" t="n">
        <v>153152.260734448</v>
      </c>
      <c r="D29" t="n">
        <v>0</v>
      </c>
      <c r="E29" t="n">
        <v>24630.7461003032</v>
      </c>
      <c r="F29" t="n">
        <v>0</v>
      </c>
      <c r="G29" t="n">
        <v>0</v>
      </c>
      <c r="H29" t="n">
        <v>18790873.6245017</v>
      </c>
      <c r="I29" t="n">
        <v>7572428.75014252</v>
      </c>
      <c r="J29" t="n">
        <v>2765440.45214571</v>
      </c>
      <c r="K29" t="n">
        <v>0</v>
      </c>
      <c r="L29" t="n">
        <v>3023.19866052126</v>
      </c>
      <c r="M29" t="n">
        <v>2202029.21607616</v>
      </c>
      <c r="N29" t="n">
        <v>3756.4024914757</v>
      </c>
      <c r="O29" t="n">
        <v>0</v>
      </c>
      <c r="P29" t="n">
        <v>12050139.3643876</v>
      </c>
      <c r="Q29" t="n">
        <v>15781651.556949</v>
      </c>
      <c r="R29" t="n">
        <v>45790643.3736871</v>
      </c>
      <c r="S29" t="n">
        <v>4459830.98853181</v>
      </c>
      <c r="T29" t="n">
        <v>7354093.7362348</v>
      </c>
      <c r="U29" t="n">
        <v>108887351.270342</v>
      </c>
      <c r="V29" t="n">
        <v>6281014.6466671</v>
      </c>
      <c r="W29" t="n">
        <v>26691321.6762115</v>
      </c>
      <c r="X29" t="n">
        <v>1187529.64268409</v>
      </c>
      <c r="Y29" t="n">
        <v>48041.9544417055</v>
      </c>
      <c r="Z29" t="n">
        <v>10597.305346763</v>
      </c>
      <c r="AA29" t="n">
        <v>43207780.4581634</v>
      </c>
      <c r="AB29" t="n">
        <v>26328373.0165084</v>
      </c>
      <c r="AC29" t="n">
        <v>549456.314098338</v>
      </c>
      <c r="AD29" t="n">
        <v>1858657.27313786</v>
      </c>
      <c r="AE29" t="n">
        <v>94974457.4572516</v>
      </c>
      <c r="AF29" t="n">
        <v>11759705.4783168</v>
      </c>
      <c r="AG29" t="n">
        <v>0</v>
      </c>
      <c r="AH29" t="n">
        <v>0</v>
      </c>
      <c r="AI29" t="n">
        <v>436919.955392939</v>
      </c>
      <c r="AJ29" t="n">
        <v>111747.367876793</v>
      </c>
      <c r="AK29" t="n">
        <v>0</v>
      </c>
      <c r="AL29" t="n">
        <v>4114.23121518683</v>
      </c>
      <c r="AM29" t="n">
        <v>395614.08978635</v>
      </c>
      <c r="AN29" t="n">
        <v>101405.772266353</v>
      </c>
      <c r="AO29" t="n">
        <v>3024.57028422225</v>
      </c>
      <c r="AP29" t="n">
        <v>1564372.33360414</v>
      </c>
      <c r="AQ29" t="n">
        <v>20867.4658751983</v>
      </c>
      <c r="AR29" t="n">
        <v>24145.8339522604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736653.260396963</v>
      </c>
      <c r="AY29" t="n">
        <v>1774797.27513529</v>
      </c>
      <c r="AZ29" t="n">
        <v>0</v>
      </c>
      <c r="BA29" t="n">
        <v>0</v>
      </c>
      <c r="BB29" t="n">
        <v>8906745.55445568</v>
      </c>
      <c r="BC29" t="n">
        <v>187532.226766652</v>
      </c>
      <c r="BD29" t="n">
        <v>3948190.71207795</v>
      </c>
      <c r="BE29" t="n">
        <v>2861581.94064978</v>
      </c>
      <c r="BF29" t="n">
        <v>326487.021179869</v>
      </c>
      <c r="BG29" t="n">
        <v>1608832.71663649</v>
      </c>
      <c r="BH29" t="n">
        <v>6944510.67906865</v>
      </c>
      <c r="BI29" t="n">
        <v>45852138.8004334</v>
      </c>
      <c r="BJ29" t="n">
        <v>26180526.8907031</v>
      </c>
      <c r="BK29" t="n">
        <v>0</v>
      </c>
      <c r="BL29" t="n">
        <v>2811812.77255574</v>
      </c>
      <c r="BM29" t="n">
        <v>30529026.6433185</v>
      </c>
      <c r="BN29" t="n">
        <v>7458628.56219544</v>
      </c>
      <c r="BO29" t="n">
        <v>13854542.5334233</v>
      </c>
      <c r="BP29" t="n">
        <v>34189189.3410341</v>
      </c>
      <c r="BQ29" t="n">
        <v>14470363.1274284</v>
      </c>
      <c r="BR29" t="n">
        <v>54666.0804056458</v>
      </c>
      <c r="BS29" t="n">
        <v>47459681.8700964</v>
      </c>
      <c r="BT29" t="n">
        <v>311828.688287561</v>
      </c>
      <c r="BU29" t="n">
        <v>379116688.444682</v>
      </c>
      <c r="BV29" t="n">
        <v>0</v>
      </c>
      <c r="BW29" t="n">
        <v>13107182.0714807</v>
      </c>
      <c r="BX29" t="n">
        <v>0</v>
      </c>
      <c r="BY29" t="n">
        <v>6130325.40968248</v>
      </c>
      <c r="BZ29" t="n">
        <v>11132200.4007038</v>
      </c>
      <c r="CA29" t="n">
        <v>376022448.632569</v>
      </c>
      <c r="CB29" t="n">
        <v>-898786159.689042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753194.275172143</v>
      </c>
      <c r="CJ29" t="n">
        <v>0</v>
      </c>
      <c r="CK29" t="n">
        <v>0</v>
      </c>
      <c r="CL29" t="n">
        <v>0</v>
      </c>
      <c r="CM29" t="n">
        <v>71990.0446217016</v>
      </c>
      <c r="CN29" t="n">
        <v>0</v>
      </c>
    </row>
    <row r="30">
      <c r="A30" t="s">
        <v>115</v>
      </c>
      <c r="B30" t="n">
        <v>410756.412977269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13497142.6059144</v>
      </c>
      <c r="Q30" t="n">
        <v>0</v>
      </c>
      <c r="R30" t="n">
        <v>0</v>
      </c>
      <c r="S30" t="n">
        <v>1065604.28971062</v>
      </c>
      <c r="T30" t="n">
        <v>748941.866230426</v>
      </c>
      <c r="U30" t="n">
        <v>12752876.3434965</v>
      </c>
      <c r="V30" t="n">
        <v>8650222.62386789</v>
      </c>
      <c r="W30" t="n">
        <v>0</v>
      </c>
      <c r="X30" t="n">
        <v>37542003.7446742</v>
      </c>
      <c r="Y30" t="n">
        <v>0</v>
      </c>
      <c r="Z30" t="n">
        <v>0</v>
      </c>
      <c r="AA30" t="n">
        <v>5266.84883218347</v>
      </c>
      <c r="AB30" t="n">
        <v>5169163.67416143</v>
      </c>
      <c r="AC30" t="n">
        <v>2292115.90165092</v>
      </c>
      <c r="AD30" t="n">
        <v>118251.098606662</v>
      </c>
      <c r="AE30" t="n">
        <v>1461407.98087141</v>
      </c>
      <c r="AF30" t="n">
        <v>3800053.35492421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833462.767861834</v>
      </c>
      <c r="AP30" t="n">
        <v>180646.13473384</v>
      </c>
      <c r="AQ30" t="n">
        <v>20799810.5539681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965517.64009266</v>
      </c>
      <c r="AZ30" t="n">
        <v>0</v>
      </c>
      <c r="BA30" t="n">
        <v>0</v>
      </c>
      <c r="BB30" t="n">
        <v>130032.084531573</v>
      </c>
      <c r="BC30" t="n">
        <v>75686.6767369777</v>
      </c>
      <c r="BD30" t="n">
        <v>4794751.36030008</v>
      </c>
      <c r="BE30" t="n">
        <v>310299.274188814</v>
      </c>
      <c r="BF30" t="n">
        <v>1102796.00831247</v>
      </c>
      <c r="BG30" t="n">
        <v>1565394.89490482</v>
      </c>
      <c r="BH30" t="n">
        <v>1954740.62946155</v>
      </c>
      <c r="BI30" t="n">
        <v>0</v>
      </c>
      <c r="BJ30" t="n">
        <v>10869655.0392969</v>
      </c>
      <c r="BK30" t="n">
        <v>1039159.14801985</v>
      </c>
      <c r="BL30" t="n">
        <v>916796.580818713</v>
      </c>
      <c r="BM30" t="n">
        <v>502770.29604967</v>
      </c>
      <c r="BN30" t="n">
        <v>12149536.8812339</v>
      </c>
      <c r="BO30" t="n">
        <v>42251998.2596369</v>
      </c>
      <c r="BP30" t="n">
        <v>23668194.5760841</v>
      </c>
      <c r="BQ30" t="n">
        <v>4840737.43412263</v>
      </c>
      <c r="BR30" t="n">
        <v>2859127.75049346</v>
      </c>
      <c r="BS30" t="n">
        <v>59201808.1662711</v>
      </c>
      <c r="BT30" t="n">
        <v>101498.34493606</v>
      </c>
      <c r="BU30" t="n">
        <v>3611983785.20419</v>
      </c>
      <c r="BV30" t="n">
        <v>0</v>
      </c>
      <c r="BW30" t="n">
        <v>0</v>
      </c>
      <c r="BX30" t="n">
        <v>0</v>
      </c>
      <c r="BY30" t="n">
        <v>0</v>
      </c>
      <c r="BZ30" t="n">
        <v>-6452457.13573525</v>
      </c>
      <c r="CA30" t="n">
        <v>31674902.3209225</v>
      </c>
      <c r="CB30" t="n">
        <v>-3810110799.08091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116</v>
      </c>
      <c r="B31" t="n">
        <v>2491834.76772197</v>
      </c>
      <c r="C31" t="n">
        <v>0</v>
      </c>
      <c r="D31" t="n">
        <v>12175.8887835951</v>
      </c>
      <c r="E31" t="n">
        <v>1698046.00973565</v>
      </c>
      <c r="F31" t="n">
        <v>53125.5695394256</v>
      </c>
      <c r="G31" t="n">
        <v>222728.584858467</v>
      </c>
      <c r="H31" t="n">
        <v>33921140.5827857</v>
      </c>
      <c r="I31" t="n">
        <v>13932164.0939081</v>
      </c>
      <c r="J31" t="n">
        <v>12956661.3387722</v>
      </c>
      <c r="K31" t="n">
        <v>4440223.65942596</v>
      </c>
      <c r="L31" t="n">
        <v>11170272.7997259</v>
      </c>
      <c r="M31" t="n">
        <v>8642475.78023318</v>
      </c>
      <c r="N31" t="n">
        <v>2206304.47703186</v>
      </c>
      <c r="O31" t="n">
        <v>8367395.20181914</v>
      </c>
      <c r="P31" t="n">
        <v>22884646.278885</v>
      </c>
      <c r="Q31" t="n">
        <v>5684932.36985344</v>
      </c>
      <c r="R31" t="n">
        <v>13150033.1740104</v>
      </c>
      <c r="S31" t="n">
        <v>7316156.12515426</v>
      </c>
      <c r="T31" t="n">
        <v>676583385.449197</v>
      </c>
      <c r="U31" t="n">
        <v>4784113.59853438</v>
      </c>
      <c r="V31" t="n">
        <v>53422.1666427577</v>
      </c>
      <c r="W31" t="n">
        <v>458152248.862045</v>
      </c>
      <c r="X31" t="n">
        <v>73212488.8066627</v>
      </c>
      <c r="Y31" t="n">
        <v>431486.386986967</v>
      </c>
      <c r="Z31" t="n">
        <v>18430323.3666467</v>
      </c>
      <c r="AA31" t="n">
        <v>48356242.1255005</v>
      </c>
      <c r="AB31" t="n">
        <v>61401461.7409691</v>
      </c>
      <c r="AC31" t="n">
        <v>2001497.10729492</v>
      </c>
      <c r="AD31" t="n">
        <v>15453206.1524064</v>
      </c>
      <c r="AE31" t="n">
        <v>5416370.67457243</v>
      </c>
      <c r="AF31" t="n">
        <v>11906955.5239791</v>
      </c>
      <c r="AG31" t="n">
        <v>471512.839718576</v>
      </c>
      <c r="AH31" t="n">
        <v>908196.835930352</v>
      </c>
      <c r="AI31" t="n">
        <v>50985.6437321778</v>
      </c>
      <c r="AJ31" t="n">
        <v>1468865.05059548</v>
      </c>
      <c r="AK31" t="n">
        <v>12270797.1047415</v>
      </c>
      <c r="AL31" t="n">
        <v>112938.48790569</v>
      </c>
      <c r="AM31" t="n">
        <v>16903515.961093</v>
      </c>
      <c r="AN31" t="n">
        <v>2234818.21493836</v>
      </c>
      <c r="AO31" t="n">
        <v>10651482.6609921</v>
      </c>
      <c r="AP31" t="n">
        <v>258538.110352612</v>
      </c>
      <c r="AQ31" t="n">
        <v>2511961.81940007</v>
      </c>
      <c r="AR31" t="n">
        <v>2467983.2249698</v>
      </c>
      <c r="AS31" t="n">
        <v>10489574.0739231</v>
      </c>
      <c r="AT31" t="n">
        <v>1729734.74302208</v>
      </c>
      <c r="AU31" t="n">
        <v>6624913.24481633</v>
      </c>
      <c r="AV31" t="n">
        <v>41870.1511565925</v>
      </c>
      <c r="AW31" t="n">
        <v>0</v>
      </c>
      <c r="AX31" t="n">
        <v>6501234.6118093</v>
      </c>
      <c r="AY31" t="n">
        <v>5470992.8689438</v>
      </c>
      <c r="AZ31" t="n">
        <v>2918654.5829215</v>
      </c>
      <c r="BA31" t="n">
        <v>16409302.4853438</v>
      </c>
      <c r="BB31" t="n">
        <v>44341763.204084</v>
      </c>
      <c r="BC31" t="n">
        <v>16243603.189572</v>
      </c>
      <c r="BD31" t="n">
        <v>68635613.1346989</v>
      </c>
      <c r="BE31" t="n">
        <v>2834703.44760518</v>
      </c>
      <c r="BF31" t="n">
        <v>2341326.60468719</v>
      </c>
      <c r="BG31" t="n">
        <v>13465689.4006543</v>
      </c>
      <c r="BH31" t="n">
        <v>12572714.4558894</v>
      </c>
      <c r="BI31" t="n">
        <v>7944291.95270275</v>
      </c>
      <c r="BJ31" t="n">
        <v>10855930.280883</v>
      </c>
      <c r="BK31" t="n">
        <v>498913.8859272</v>
      </c>
      <c r="BL31" t="n">
        <v>1193987.89665546</v>
      </c>
      <c r="BM31" t="n">
        <v>27130205.9306688</v>
      </c>
      <c r="BN31" t="n">
        <v>52157885.4589715</v>
      </c>
      <c r="BO31" t="n">
        <v>12215558.180577</v>
      </c>
      <c r="BP31" t="n">
        <v>9820640.44018611</v>
      </c>
      <c r="BQ31" t="n">
        <v>58764691.0972351</v>
      </c>
      <c r="BR31" t="n">
        <v>4639505.99251656</v>
      </c>
      <c r="BS31" t="n">
        <v>130254331.533837</v>
      </c>
      <c r="BT31" t="n">
        <v>244653.632446932</v>
      </c>
      <c r="BU31" t="n">
        <v>255700922.882439</v>
      </c>
      <c r="BV31" t="n">
        <v>0</v>
      </c>
      <c r="BW31" t="n">
        <v>0</v>
      </c>
      <c r="BX31" t="n">
        <v>0</v>
      </c>
      <c r="BY31" t="n">
        <v>0</v>
      </c>
      <c r="BZ31" t="n">
        <v>16605401.3954845</v>
      </c>
      <c r="CA31" t="n">
        <v>834469207.599129</v>
      </c>
      <c r="CB31" t="n">
        <v>-672564242.430435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117</v>
      </c>
      <c r="B32" t="n">
        <v>91185.4922295869</v>
      </c>
      <c r="C32" t="n">
        <v>0</v>
      </c>
      <c r="D32" t="n">
        <v>1847.96552845529</v>
      </c>
      <c r="E32" t="n">
        <v>36302.9073078674</v>
      </c>
      <c r="F32" t="n">
        <v>0</v>
      </c>
      <c r="G32" t="n">
        <v>153833.143406603</v>
      </c>
      <c r="H32" t="n">
        <v>829991.224997248</v>
      </c>
      <c r="I32" t="n">
        <v>103080.749774466</v>
      </c>
      <c r="J32" t="n">
        <v>0</v>
      </c>
      <c r="K32" t="n">
        <v>0</v>
      </c>
      <c r="L32" t="n">
        <v>124828.77614863</v>
      </c>
      <c r="M32" t="n">
        <v>33806.8038123175</v>
      </c>
      <c r="N32" t="n">
        <v>0</v>
      </c>
      <c r="O32" t="n">
        <v>25722.8307573366</v>
      </c>
      <c r="P32" t="n">
        <v>36263.3041909743</v>
      </c>
      <c r="Q32" t="n">
        <v>0</v>
      </c>
      <c r="R32" t="n">
        <v>0</v>
      </c>
      <c r="S32" t="n">
        <v>0</v>
      </c>
      <c r="T32" t="n">
        <v>2384015.39236411</v>
      </c>
      <c r="U32" t="n">
        <v>0</v>
      </c>
      <c r="V32" t="n">
        <v>6933.49967991085</v>
      </c>
      <c r="W32" t="n">
        <v>0</v>
      </c>
      <c r="X32" t="n">
        <v>14200331.5518785</v>
      </c>
      <c r="Y32" t="n">
        <v>3700.26511168392</v>
      </c>
      <c r="Z32" t="n">
        <v>751653.49755687</v>
      </c>
      <c r="AA32" t="n">
        <v>0</v>
      </c>
      <c r="AB32" t="n">
        <v>138152674.767629</v>
      </c>
      <c r="AC32" t="n">
        <v>3985182.33268576</v>
      </c>
      <c r="AD32" t="n">
        <v>3524655.82627338</v>
      </c>
      <c r="AE32" t="n">
        <v>3913526.8068465</v>
      </c>
      <c r="AF32" t="n">
        <v>74526511.4730089</v>
      </c>
      <c r="AG32" t="n">
        <v>162431.236175375</v>
      </c>
      <c r="AH32" t="n">
        <v>163133.942969013</v>
      </c>
      <c r="AI32" t="n">
        <v>0</v>
      </c>
      <c r="AJ32" t="n">
        <v>3096528.13866029</v>
      </c>
      <c r="AK32" t="n">
        <v>1305296.02033932</v>
      </c>
      <c r="AL32" t="n">
        <v>26867.0469044682</v>
      </c>
      <c r="AM32" t="n">
        <v>3630105.35670738</v>
      </c>
      <c r="AN32" t="n">
        <v>248877.501459004</v>
      </c>
      <c r="AO32" t="n">
        <v>36294773.2338064</v>
      </c>
      <c r="AP32" t="n">
        <v>5043884.15793558</v>
      </c>
      <c r="AQ32" t="n">
        <v>7515066.82092893</v>
      </c>
      <c r="AR32" t="n">
        <v>70318890.9823343</v>
      </c>
      <c r="AS32" t="n">
        <v>20344018.9266867</v>
      </c>
      <c r="AT32" t="n">
        <v>10743532.5648811</v>
      </c>
      <c r="AU32" t="n">
        <v>42541260.8431114</v>
      </c>
      <c r="AV32" t="n">
        <v>0</v>
      </c>
      <c r="AW32" t="n">
        <v>0</v>
      </c>
      <c r="AX32" t="n">
        <v>1612044.91462459</v>
      </c>
      <c r="AY32" t="n">
        <v>4794678.84926588</v>
      </c>
      <c r="AZ32" t="n">
        <v>9600191.90185567</v>
      </c>
      <c r="BA32" t="n">
        <v>17413203.242784</v>
      </c>
      <c r="BB32" t="n">
        <v>162232668.959327</v>
      </c>
      <c r="BC32" t="n">
        <v>23753911.2296157</v>
      </c>
      <c r="BD32" t="n">
        <v>75273125.9120069</v>
      </c>
      <c r="BE32" t="n">
        <v>226487.041374696</v>
      </c>
      <c r="BF32" t="n">
        <v>10151707.232935</v>
      </c>
      <c r="BG32" t="n">
        <v>29617953.789161</v>
      </c>
      <c r="BH32" t="n">
        <v>50192237.6557076</v>
      </c>
      <c r="BI32" t="n">
        <v>2118274.07278175</v>
      </c>
      <c r="BJ32" t="n">
        <v>27581727.6782541</v>
      </c>
      <c r="BK32" t="n">
        <v>8409183.82583165</v>
      </c>
      <c r="BL32" t="n">
        <v>2543133.11927201</v>
      </c>
      <c r="BM32" t="n">
        <v>12835315.5308356</v>
      </c>
      <c r="BN32" t="n">
        <v>17600377.0101084</v>
      </c>
      <c r="BO32" t="n">
        <v>27508675.9062092</v>
      </c>
      <c r="BP32" t="n">
        <v>24476414.5864086</v>
      </c>
      <c r="BQ32" t="n">
        <v>71910168.6877317</v>
      </c>
      <c r="BR32" t="n">
        <v>2745862.4536067</v>
      </c>
      <c r="BS32" t="n">
        <v>154061495.816025</v>
      </c>
      <c r="BT32" t="n">
        <v>4676223.6948683</v>
      </c>
      <c r="BU32" t="n">
        <v>58133638.0229646</v>
      </c>
      <c r="BV32" t="n">
        <v>0</v>
      </c>
      <c r="BW32" t="n">
        <v>0</v>
      </c>
      <c r="BX32" t="n">
        <v>0</v>
      </c>
      <c r="BY32" t="n">
        <v>0</v>
      </c>
      <c r="BZ32" t="n">
        <v>2226670.98535426</v>
      </c>
      <c r="CA32" t="n">
        <v>58484191.7790004</v>
      </c>
      <c r="CB32" t="n">
        <v>-75450676.5297189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118</v>
      </c>
      <c r="B33" t="n">
        <v>29708225.99647</v>
      </c>
      <c r="C33" t="n">
        <v>590713.252061021</v>
      </c>
      <c r="D33" t="n">
        <v>371043.605055462</v>
      </c>
      <c r="E33" t="n">
        <v>24123947.7843577</v>
      </c>
      <c r="F33" t="n">
        <v>919524.695467096</v>
      </c>
      <c r="G33" t="n">
        <v>150771076.825812</v>
      </c>
      <c r="H33" t="n">
        <v>192943672.971916</v>
      </c>
      <c r="I33" t="n">
        <v>7874231.18613896</v>
      </c>
      <c r="J33" t="n">
        <v>2815259.1172606</v>
      </c>
      <c r="K33" t="n">
        <v>2573100.2221474</v>
      </c>
      <c r="L33" t="n">
        <v>8115086.49926797</v>
      </c>
      <c r="M33" t="n">
        <v>3401846.08663762</v>
      </c>
      <c r="N33" t="n">
        <v>421933.624203234</v>
      </c>
      <c r="O33" t="n">
        <v>1953696.44801103</v>
      </c>
      <c r="P33" t="n">
        <v>1128911.40992567</v>
      </c>
      <c r="Q33" t="n">
        <v>1490604.47491752</v>
      </c>
      <c r="R33" t="n">
        <v>1112833.63161654</v>
      </c>
      <c r="S33" t="n">
        <v>1318102.27156457</v>
      </c>
      <c r="T33" t="n">
        <v>32950850.4819225</v>
      </c>
      <c r="U33" t="n">
        <v>659824.64681002</v>
      </c>
      <c r="V33" t="n">
        <v>4660.74123383047</v>
      </c>
      <c r="W33" t="n">
        <v>13122369.232008</v>
      </c>
      <c r="X33" t="n">
        <v>2148098.51033422</v>
      </c>
      <c r="Y33" t="n">
        <v>14910293.0581618</v>
      </c>
      <c r="Z33" t="n">
        <v>28537205.8034702</v>
      </c>
      <c r="AA33" t="n">
        <v>4370704.2705953</v>
      </c>
      <c r="AB33" t="n">
        <v>18909064.8441112</v>
      </c>
      <c r="AC33" t="n">
        <v>5090123.50033177</v>
      </c>
      <c r="AD33" t="n">
        <v>2956437.09227276</v>
      </c>
      <c r="AE33" t="n">
        <v>1934385.90951633</v>
      </c>
      <c r="AF33" t="n">
        <v>7405682.17323891</v>
      </c>
      <c r="AG33" t="n">
        <v>271171569.683009</v>
      </c>
      <c r="AH33" t="n">
        <v>42934419.0369054</v>
      </c>
      <c r="AI33" t="n">
        <v>58881939.7551137</v>
      </c>
      <c r="AJ33" t="n">
        <v>61638367.3081151</v>
      </c>
      <c r="AK33" t="n">
        <v>7066288.95640516</v>
      </c>
      <c r="AL33" t="n">
        <v>167152.649531807</v>
      </c>
      <c r="AM33" t="n">
        <v>70370837.0882538</v>
      </c>
      <c r="AN33" t="n">
        <v>24195751.2435078</v>
      </c>
      <c r="AO33" t="n">
        <v>1400988.912727</v>
      </c>
      <c r="AP33" t="n">
        <v>183241.350875876</v>
      </c>
      <c r="AQ33" t="n">
        <v>2706906.70188319</v>
      </c>
      <c r="AR33" t="n">
        <v>2739155.78654471</v>
      </c>
      <c r="AS33" t="n">
        <v>19990215.4334685</v>
      </c>
      <c r="AT33" t="n">
        <v>6136110.64391435</v>
      </c>
      <c r="AU33" t="n">
        <v>195738.10748761</v>
      </c>
      <c r="AV33" t="n">
        <v>11505517.7630602</v>
      </c>
      <c r="AW33" t="n">
        <v>156825.064388093</v>
      </c>
      <c r="AX33" t="n">
        <v>16095751.7452095</v>
      </c>
      <c r="AY33" t="n">
        <v>4957177.44150735</v>
      </c>
      <c r="AZ33" t="n">
        <v>239233.581906196</v>
      </c>
      <c r="BA33" t="n">
        <v>15966539.4401612</v>
      </c>
      <c r="BB33" t="n">
        <v>16210046.0038558</v>
      </c>
      <c r="BC33" t="n">
        <v>8204411.08027028</v>
      </c>
      <c r="BD33" t="n">
        <v>33914194.7460334</v>
      </c>
      <c r="BE33" t="n">
        <v>7111456.22955835</v>
      </c>
      <c r="BF33" t="n">
        <v>6613358.52888023</v>
      </c>
      <c r="BG33" t="n">
        <v>4119435.63342961</v>
      </c>
      <c r="BH33" t="n">
        <v>5825542.81430076</v>
      </c>
      <c r="BI33" t="n">
        <v>4224837.20533157</v>
      </c>
      <c r="BJ33" t="n">
        <v>3620800.79672549</v>
      </c>
      <c r="BK33" t="n">
        <v>1043928.4255615</v>
      </c>
      <c r="BL33" t="n">
        <v>2831893.65593946</v>
      </c>
      <c r="BM33" t="n">
        <v>4564004.60377077</v>
      </c>
      <c r="BN33" t="n">
        <v>23006659.6340101</v>
      </c>
      <c r="BO33" t="n">
        <v>18421935.0042893</v>
      </c>
      <c r="BP33" t="n">
        <v>262677117.322725</v>
      </c>
      <c r="BQ33" t="n">
        <v>22768065.7576876</v>
      </c>
      <c r="BR33" t="n">
        <v>26390689.3423148</v>
      </c>
      <c r="BS33" t="n">
        <v>556569959.539403</v>
      </c>
      <c r="BT33" t="n">
        <v>95836981.1464672</v>
      </c>
      <c r="BU33" t="n">
        <v>891190840.53893</v>
      </c>
      <c r="BV33" t="n">
        <v>0</v>
      </c>
      <c r="BW33" t="n">
        <v>0</v>
      </c>
      <c r="BX33" t="n">
        <v>0</v>
      </c>
      <c r="BY33" t="n">
        <v>0</v>
      </c>
      <c r="BZ33" t="n">
        <v>9582044.16719216</v>
      </c>
      <c r="CA33" t="n">
        <v>45054163.4759856</v>
      </c>
      <c r="CB33" t="n">
        <v>-1650669413.04293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119</v>
      </c>
      <c r="B34" t="n">
        <v>94954504.1138411</v>
      </c>
      <c r="C34" t="n">
        <v>4861972.81844151</v>
      </c>
      <c r="D34" t="n">
        <v>990027.206956372</v>
      </c>
      <c r="E34" t="n">
        <v>20243118.7768365</v>
      </c>
      <c r="F34" t="n">
        <v>1428054.02757362</v>
      </c>
      <c r="G34" t="n">
        <v>9960596.32661681</v>
      </c>
      <c r="H34" t="n">
        <v>149198290.990563</v>
      </c>
      <c r="I34" t="n">
        <v>45293133.2821424</v>
      </c>
      <c r="J34" t="n">
        <v>35663807.7519537</v>
      </c>
      <c r="K34" t="n">
        <v>4951007.69869142</v>
      </c>
      <c r="L34" t="n">
        <v>38176334.0390075</v>
      </c>
      <c r="M34" t="n">
        <v>11428634.1180497</v>
      </c>
      <c r="N34" t="n">
        <v>8890412.69013288</v>
      </c>
      <c r="O34" t="n">
        <v>16224326.0053646</v>
      </c>
      <c r="P34" t="n">
        <v>55098102.8366851</v>
      </c>
      <c r="Q34" t="n">
        <v>14640287.2624851</v>
      </c>
      <c r="R34" t="n">
        <v>18332500.424265</v>
      </c>
      <c r="S34" t="n">
        <v>26487760.4636084</v>
      </c>
      <c r="T34" t="n">
        <v>242370696.945173</v>
      </c>
      <c r="U34" t="n">
        <v>158646196.191792</v>
      </c>
      <c r="V34" t="n">
        <v>314002.420037218</v>
      </c>
      <c r="W34" t="n">
        <v>81413125.3799624</v>
      </c>
      <c r="X34" t="n">
        <v>19793654.6298279</v>
      </c>
      <c r="Y34" t="n">
        <v>38838256.803987</v>
      </c>
      <c r="Z34" t="n">
        <v>806555017.466112</v>
      </c>
      <c r="AA34" t="n">
        <v>752485911.571249</v>
      </c>
      <c r="AB34" t="n">
        <v>16383960.4019425</v>
      </c>
      <c r="AC34" t="n">
        <v>1722921.70928851</v>
      </c>
      <c r="AD34" t="n">
        <v>1049580.54526698</v>
      </c>
      <c r="AE34" t="n">
        <v>701788.363720521</v>
      </c>
      <c r="AF34" t="n">
        <v>5450816.75798744</v>
      </c>
      <c r="AG34" t="n">
        <v>17501.5149760474</v>
      </c>
      <c r="AH34" t="n">
        <v>2071319.62273267</v>
      </c>
      <c r="AI34" t="n">
        <v>104592.924786839</v>
      </c>
      <c r="AJ34" t="n">
        <v>1920842.48380341</v>
      </c>
      <c r="AK34" t="n">
        <v>142133.570078565</v>
      </c>
      <c r="AL34" t="n">
        <v>6645.15576526325</v>
      </c>
      <c r="AM34" t="n">
        <v>651244.390586415</v>
      </c>
      <c r="AN34" t="n">
        <v>3910269.83944963</v>
      </c>
      <c r="AO34" t="n">
        <v>1963746.60737612</v>
      </c>
      <c r="AP34" t="n">
        <v>1545393.11658734</v>
      </c>
      <c r="AQ34" t="n">
        <v>9075312.58559858</v>
      </c>
      <c r="AR34" t="n">
        <v>8121547.47705308</v>
      </c>
      <c r="AS34" t="n">
        <v>669068.8030324</v>
      </c>
      <c r="AT34" t="n">
        <v>363880.899491715</v>
      </c>
      <c r="AU34" t="n">
        <v>481510.026913004</v>
      </c>
      <c r="AV34" t="n">
        <v>0</v>
      </c>
      <c r="AW34" t="n">
        <v>4187604.26223266</v>
      </c>
      <c r="AX34" t="n">
        <v>98900950.3877855</v>
      </c>
      <c r="AY34" t="n">
        <v>775271.235755971</v>
      </c>
      <c r="AZ34" t="n">
        <v>1025324.0501435</v>
      </c>
      <c r="BA34" t="n">
        <v>9219003.63801973</v>
      </c>
      <c r="BB34" t="n">
        <v>661326358.369692</v>
      </c>
      <c r="BC34" t="n">
        <v>29832286.7566912</v>
      </c>
      <c r="BD34" t="n">
        <v>140436779.31281</v>
      </c>
      <c r="BE34" t="n">
        <v>15797885.6625668</v>
      </c>
      <c r="BF34" t="n">
        <v>6677867.87269075</v>
      </c>
      <c r="BG34" t="n">
        <v>426721379.763965</v>
      </c>
      <c r="BH34" t="n">
        <v>98061109.4264726</v>
      </c>
      <c r="BI34" t="n">
        <v>28956414.5008717</v>
      </c>
      <c r="BJ34" t="n">
        <v>5066945.37472029</v>
      </c>
      <c r="BK34" t="n">
        <v>2215243.39728247</v>
      </c>
      <c r="BL34" t="n">
        <v>5694241.51824435</v>
      </c>
      <c r="BM34" t="n">
        <v>779935.251238001</v>
      </c>
      <c r="BN34" t="n">
        <v>16543623.5991899</v>
      </c>
      <c r="BO34" t="n">
        <v>75748047.8053867</v>
      </c>
      <c r="BP34" t="n">
        <v>115243545.970489</v>
      </c>
      <c r="BQ34" t="n">
        <v>81609154.0250591</v>
      </c>
      <c r="BR34" t="n">
        <v>3280584.70833702</v>
      </c>
      <c r="BS34" t="n">
        <v>384369792.276996</v>
      </c>
      <c r="BT34" t="n">
        <v>14904629.4019205</v>
      </c>
      <c r="BU34" t="n">
        <v>4683253978.08546</v>
      </c>
      <c r="BV34" t="n">
        <v>0</v>
      </c>
      <c r="BW34" t="n">
        <v>10581794.408911</v>
      </c>
      <c r="BX34" t="n">
        <v>0</v>
      </c>
      <c r="BY34" t="n">
        <v>0</v>
      </c>
      <c r="BZ34" t="n">
        <v>66538830.4753996</v>
      </c>
      <c r="CA34" t="n">
        <v>2015167288.89233</v>
      </c>
      <c r="CB34" t="n">
        <v>-5862697659.45597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120</v>
      </c>
      <c r="B35" t="n">
        <v>10842785.1719903</v>
      </c>
      <c r="C35" t="n">
        <v>272256.062890662</v>
      </c>
      <c r="D35" t="n">
        <v>20287.7643537592</v>
      </c>
      <c r="E35" t="n">
        <v>21992615.4636032</v>
      </c>
      <c r="F35" t="n">
        <v>1119601.67429061</v>
      </c>
      <c r="G35" t="n">
        <v>349243.363269475</v>
      </c>
      <c r="H35" t="n">
        <v>495694160.86256</v>
      </c>
      <c r="I35" t="n">
        <v>24187450.2100536</v>
      </c>
      <c r="J35" t="n">
        <v>13338133.360759</v>
      </c>
      <c r="K35" t="n">
        <v>2831402.34651438</v>
      </c>
      <c r="L35" t="n">
        <v>20963626.2615317</v>
      </c>
      <c r="M35" t="n">
        <v>70291230.7395519</v>
      </c>
      <c r="N35" t="n">
        <v>15268548.1027097</v>
      </c>
      <c r="O35" t="n">
        <v>22009504.6792463</v>
      </c>
      <c r="P35" t="n">
        <v>168467254.070001</v>
      </c>
      <c r="Q35" t="n">
        <v>53657550.9440798</v>
      </c>
      <c r="R35" t="n">
        <v>43069499.8199941</v>
      </c>
      <c r="S35" t="n">
        <v>25716128.6684814</v>
      </c>
      <c r="T35" t="n">
        <v>718315645.20456</v>
      </c>
      <c r="U35" t="n">
        <v>6911645.69299923</v>
      </c>
      <c r="V35" t="n">
        <v>373233.007291619</v>
      </c>
      <c r="W35" t="n">
        <v>35210593.471828</v>
      </c>
      <c r="X35" t="n">
        <v>26260534.6494187</v>
      </c>
      <c r="Y35" t="n">
        <v>1023273.09431454</v>
      </c>
      <c r="Z35" t="n">
        <v>44331412.3524893</v>
      </c>
      <c r="AA35" t="n">
        <v>304511733.241617</v>
      </c>
      <c r="AB35" t="n">
        <v>216204138.343874</v>
      </c>
      <c r="AC35" t="n">
        <v>17807146.3399567</v>
      </c>
      <c r="AD35" t="n">
        <v>26974162.9786794</v>
      </c>
      <c r="AE35" t="n">
        <v>8541720.41137451</v>
      </c>
      <c r="AF35" t="n">
        <v>45962239.2163415</v>
      </c>
      <c r="AG35" t="n">
        <v>12519012.0146691</v>
      </c>
      <c r="AH35" t="n">
        <v>58895.9110949738</v>
      </c>
      <c r="AI35" t="n">
        <v>0</v>
      </c>
      <c r="AJ35" t="n">
        <v>11915681.9281802</v>
      </c>
      <c r="AK35" t="n">
        <v>772014.253250425</v>
      </c>
      <c r="AL35" t="n">
        <v>376745.232941354</v>
      </c>
      <c r="AM35" t="n">
        <v>24441268.7159267</v>
      </c>
      <c r="AN35" t="n">
        <v>5052442.94285253</v>
      </c>
      <c r="AO35" t="n">
        <v>2290030.09771616</v>
      </c>
      <c r="AP35" t="n">
        <v>514877.068552211</v>
      </c>
      <c r="AQ35" t="n">
        <v>60445668.6390231</v>
      </c>
      <c r="AR35" t="n">
        <v>9541018.70474799</v>
      </c>
      <c r="AS35" t="n">
        <v>801654.674458057</v>
      </c>
      <c r="AT35" t="n">
        <v>804313.032212682</v>
      </c>
      <c r="AU35" t="n">
        <v>9906688.37362041</v>
      </c>
      <c r="AV35" t="n">
        <v>0</v>
      </c>
      <c r="AW35" t="n">
        <v>184530.302871973</v>
      </c>
      <c r="AX35" t="n">
        <v>5537897.00071737</v>
      </c>
      <c r="AY35" t="n">
        <v>19725789.3933238</v>
      </c>
      <c r="AZ35" t="n">
        <v>310604.854894657</v>
      </c>
      <c r="BA35" t="n">
        <v>87967339.8513636</v>
      </c>
      <c r="BB35" t="n">
        <v>176471806.589878</v>
      </c>
      <c r="BC35" t="n">
        <v>2270531.51416451</v>
      </c>
      <c r="BD35" t="n">
        <v>44953964.4734178</v>
      </c>
      <c r="BE35" t="n">
        <v>5098267.31992834</v>
      </c>
      <c r="BF35" t="n">
        <v>8206945.99149098</v>
      </c>
      <c r="BG35" t="n">
        <v>123820050.260923</v>
      </c>
      <c r="BH35" t="n">
        <v>54282019.9011838</v>
      </c>
      <c r="BI35" t="n">
        <v>22042757.7880407</v>
      </c>
      <c r="BJ35" t="n">
        <v>19720779.7288657</v>
      </c>
      <c r="BK35" t="n">
        <v>504841.521518272</v>
      </c>
      <c r="BL35" t="n">
        <v>2674908.0745203</v>
      </c>
      <c r="BM35" t="n">
        <v>1895816.08003975</v>
      </c>
      <c r="BN35" t="n">
        <v>103819707.855134</v>
      </c>
      <c r="BO35" t="n">
        <v>61629671.5783352</v>
      </c>
      <c r="BP35" t="n">
        <v>132158565.165909</v>
      </c>
      <c r="BQ35" t="n">
        <v>39614389.3424904</v>
      </c>
      <c r="BR35" t="n">
        <v>1598239.11767473</v>
      </c>
      <c r="BS35" t="n">
        <v>191884218.334287</v>
      </c>
      <c r="BT35" t="n">
        <v>32826565.3829798</v>
      </c>
      <c r="BU35" t="n">
        <v>773554098.278342</v>
      </c>
      <c r="BV35" t="n">
        <v>0</v>
      </c>
      <c r="BW35" t="n">
        <v>5495473.34241239</v>
      </c>
      <c r="BX35" t="n">
        <v>0</v>
      </c>
      <c r="BY35" t="n">
        <v>531233.357339701</v>
      </c>
      <c r="BZ35" t="n">
        <v>38393680.826261</v>
      </c>
      <c r="CA35" t="n">
        <v>402376828.266202</v>
      </c>
      <c r="CB35" t="n">
        <v>-1487771910.03559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228340.386031237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121</v>
      </c>
      <c r="B36" t="n">
        <v>105706598.706099</v>
      </c>
      <c r="C36" t="n">
        <v>3770470.51231538</v>
      </c>
      <c r="D36" t="n">
        <v>749071.782743656</v>
      </c>
      <c r="E36" t="n">
        <v>27639723.2643668</v>
      </c>
      <c r="F36" t="n">
        <v>1649115.7559156</v>
      </c>
      <c r="G36" t="n">
        <v>45793779.9403086</v>
      </c>
      <c r="H36" t="n">
        <v>672513841.265731</v>
      </c>
      <c r="I36" t="n">
        <v>89427704.5337114</v>
      </c>
      <c r="J36" t="n">
        <v>35743481.710459</v>
      </c>
      <c r="K36" t="n">
        <v>50202362.6085703</v>
      </c>
      <c r="L36" t="n">
        <v>74008394.5734711</v>
      </c>
      <c r="M36" t="n">
        <v>84403364.9441398</v>
      </c>
      <c r="N36" t="n">
        <v>30114077.5452086</v>
      </c>
      <c r="O36" t="n">
        <v>44901008.9364719</v>
      </c>
      <c r="P36" t="n">
        <v>216393096.733698</v>
      </c>
      <c r="Q36" t="n">
        <v>98124940.7410993</v>
      </c>
      <c r="R36" t="n">
        <v>37954704.0088677</v>
      </c>
      <c r="S36" t="n">
        <v>22205171.6292829</v>
      </c>
      <c r="T36" t="n">
        <v>1379170577.85882</v>
      </c>
      <c r="U36" t="n">
        <v>26405822.4783592</v>
      </c>
      <c r="V36" t="n">
        <v>2390817.96640172</v>
      </c>
      <c r="W36" t="n">
        <v>77310520.1798425</v>
      </c>
      <c r="X36" t="n">
        <v>18787040.0566602</v>
      </c>
      <c r="Y36" t="n">
        <v>16604524.3842055</v>
      </c>
      <c r="Z36" t="n">
        <v>108695263.383111</v>
      </c>
      <c r="AA36" t="n">
        <v>129871283.527141</v>
      </c>
      <c r="AB36" t="n">
        <v>297235734.269823</v>
      </c>
      <c r="AC36" t="n">
        <v>31531530.545402</v>
      </c>
      <c r="AD36" t="n">
        <v>21571256.289123</v>
      </c>
      <c r="AE36" t="n">
        <v>23533630.8630407</v>
      </c>
      <c r="AF36" t="n">
        <v>93240383.4656763</v>
      </c>
      <c r="AG36" t="n">
        <v>29769347.1400084</v>
      </c>
      <c r="AH36" t="n">
        <v>14780396.6064586</v>
      </c>
      <c r="AI36" t="n">
        <v>16662747.7337847</v>
      </c>
      <c r="AJ36" t="n">
        <v>47045560.4739345</v>
      </c>
      <c r="AK36" t="n">
        <v>6426657.33969932</v>
      </c>
      <c r="AL36" t="n">
        <v>575883.611579651</v>
      </c>
      <c r="AM36" t="n">
        <v>35208874.6530575</v>
      </c>
      <c r="AN36" t="n">
        <v>16812583.8410616</v>
      </c>
      <c r="AO36" t="n">
        <v>39768862.6705621</v>
      </c>
      <c r="AP36" t="n">
        <v>1030212.73581892</v>
      </c>
      <c r="AQ36" t="n">
        <v>77179066.1859011</v>
      </c>
      <c r="AR36" t="n">
        <v>25718334.233211</v>
      </c>
      <c r="AS36" t="n">
        <v>17387501.7086659</v>
      </c>
      <c r="AT36" t="n">
        <v>5865400.33180033</v>
      </c>
      <c r="AU36" t="n">
        <v>4829090.84045</v>
      </c>
      <c r="AV36" t="n">
        <v>12045238.7243267</v>
      </c>
      <c r="AW36" t="n">
        <v>4965587.22708917</v>
      </c>
      <c r="AX36" t="n">
        <v>28472588.6051053</v>
      </c>
      <c r="AY36" t="n">
        <v>66703834.9356673</v>
      </c>
      <c r="AZ36" t="n">
        <v>3443067.74161207</v>
      </c>
      <c r="BA36" t="n">
        <v>91098877.441076</v>
      </c>
      <c r="BB36" t="n">
        <v>218420927.446319</v>
      </c>
      <c r="BC36" t="n">
        <v>37894455.3173133</v>
      </c>
      <c r="BD36" t="n">
        <v>114964997.972649</v>
      </c>
      <c r="BE36" t="n">
        <v>18470072.0597101</v>
      </c>
      <c r="BF36" t="n">
        <v>17118183.9113511</v>
      </c>
      <c r="BG36" t="n">
        <v>179123217.281122</v>
      </c>
      <c r="BH36" t="n">
        <v>92324996.8143627</v>
      </c>
      <c r="BI36" t="n">
        <v>23285021.1847019</v>
      </c>
      <c r="BJ36" t="n">
        <v>33287725.5702659</v>
      </c>
      <c r="BK36" t="n">
        <v>3238443.56730929</v>
      </c>
      <c r="BL36" t="n">
        <v>17146097.27193</v>
      </c>
      <c r="BM36" t="n">
        <v>21297864.2557763</v>
      </c>
      <c r="BN36" t="n">
        <v>181394612.453476</v>
      </c>
      <c r="BO36" t="n">
        <v>100023574.899033</v>
      </c>
      <c r="BP36" t="n">
        <v>250449725.186105</v>
      </c>
      <c r="BQ36" t="n">
        <v>80995830.9310875</v>
      </c>
      <c r="BR36" t="n">
        <v>32818656.8287812</v>
      </c>
      <c r="BS36" t="n">
        <v>283554642.015663</v>
      </c>
      <c r="BT36" t="n">
        <v>57518271.1495206</v>
      </c>
      <c r="BU36" t="n">
        <v>4135840265.22982</v>
      </c>
      <c r="BV36" t="n">
        <v>500126.203425946</v>
      </c>
      <c r="BW36" t="n">
        <v>1164232456.18698</v>
      </c>
      <c r="BX36" t="n">
        <v>134396166.411637</v>
      </c>
      <c r="BY36" t="n">
        <v>28172605.8868115</v>
      </c>
      <c r="BZ36" t="n">
        <v>177640980.332254</v>
      </c>
      <c r="CA36" t="n">
        <v>4015167046.08916</v>
      </c>
      <c r="CB36" t="n">
        <v>1495609533.6105</v>
      </c>
      <c r="CC36" t="n">
        <v>0</v>
      </c>
      <c r="CD36" t="n">
        <v>0</v>
      </c>
      <c r="CE36" t="n">
        <v>63472917.5669436</v>
      </c>
      <c r="CF36" t="n">
        <v>5613011.06404006</v>
      </c>
      <c r="CG36" t="n">
        <v>0</v>
      </c>
      <c r="CH36" t="n">
        <v>0</v>
      </c>
      <c r="CI36" t="n">
        <v>737891806.836637</v>
      </c>
      <c r="CJ36" t="n">
        <v>3269769.2939966</v>
      </c>
      <c r="CK36" t="n">
        <v>0</v>
      </c>
      <c r="CL36" t="n">
        <v>0</v>
      </c>
      <c r="CM36" t="n">
        <v>79422435.1543913</v>
      </c>
      <c r="CN36" t="n">
        <v>18044025.2150861</v>
      </c>
    </row>
    <row r="37">
      <c r="A37" t="s">
        <v>122</v>
      </c>
      <c r="B37" t="n">
        <v>123734.812095966</v>
      </c>
      <c r="C37" t="n">
        <v>12288.0846637101</v>
      </c>
      <c r="D37" t="n">
        <v>58391.4938952072</v>
      </c>
      <c r="E37" t="n">
        <v>4014811.61434942</v>
      </c>
      <c r="F37" t="n">
        <v>261616.798994821</v>
      </c>
      <c r="G37" t="n">
        <v>349700.237641732</v>
      </c>
      <c r="H37" t="n">
        <v>56892734.8395891</v>
      </c>
      <c r="I37" t="n">
        <v>9966176.94951743</v>
      </c>
      <c r="J37" t="n">
        <v>2868482.67558227</v>
      </c>
      <c r="K37" t="n">
        <v>769455.235693094</v>
      </c>
      <c r="L37" t="n">
        <v>5003281.29036508</v>
      </c>
      <c r="M37" t="n">
        <v>20391164.8165526</v>
      </c>
      <c r="N37" t="n">
        <v>1239747.79775906</v>
      </c>
      <c r="O37" t="n">
        <v>52357.1713961093</v>
      </c>
      <c r="P37" t="n">
        <v>39821373.6824465</v>
      </c>
      <c r="Q37" t="n">
        <v>14994866.9978831</v>
      </c>
      <c r="R37" t="n">
        <v>2542482.88608219</v>
      </c>
      <c r="S37" t="n">
        <v>2220410.93259665</v>
      </c>
      <c r="T37" t="n">
        <v>82786952.0851895</v>
      </c>
      <c r="U37" t="n">
        <v>529529.924305792</v>
      </c>
      <c r="V37" t="n">
        <v>0</v>
      </c>
      <c r="W37" t="n">
        <v>6545975.50859498</v>
      </c>
      <c r="X37" t="n">
        <v>600664.868008899</v>
      </c>
      <c r="Y37" t="n">
        <v>7531.65219221533</v>
      </c>
      <c r="Z37" t="n">
        <v>3207844.21507826</v>
      </c>
      <c r="AA37" t="n">
        <v>3590681.71369562</v>
      </c>
      <c r="AB37" t="n">
        <v>1893996.87845084</v>
      </c>
      <c r="AC37" t="n">
        <v>30529809.42085</v>
      </c>
      <c r="AD37" t="n">
        <v>15638707.790731</v>
      </c>
      <c r="AE37" t="n">
        <v>3562862.50202446</v>
      </c>
      <c r="AF37" t="n">
        <v>24518048.2062657</v>
      </c>
      <c r="AG37" t="n">
        <v>0</v>
      </c>
      <c r="AH37" t="n">
        <v>177092.625470922</v>
      </c>
      <c r="AI37" t="n">
        <v>0</v>
      </c>
      <c r="AJ37" t="n">
        <v>22597639.4306219</v>
      </c>
      <c r="AK37" t="n">
        <v>94887.3674911661</v>
      </c>
      <c r="AL37" t="n">
        <v>3402.81168881236</v>
      </c>
      <c r="AM37" t="n">
        <v>252358.467638338</v>
      </c>
      <c r="AN37" t="n">
        <v>1193512.33474172</v>
      </c>
      <c r="AO37" t="n">
        <v>708878.64899151</v>
      </c>
      <c r="AP37" t="n">
        <v>328610.311141224</v>
      </c>
      <c r="AQ37" t="n">
        <v>1437289.78465575</v>
      </c>
      <c r="AR37" t="n">
        <v>277182.358806245</v>
      </c>
      <c r="AS37" t="n">
        <v>1137489.13981967</v>
      </c>
      <c r="AT37" t="n">
        <v>79896.7852919041</v>
      </c>
      <c r="AU37" t="n">
        <v>210287.030188614</v>
      </c>
      <c r="AV37" t="n">
        <v>0</v>
      </c>
      <c r="AW37" t="n">
        <v>2316759.49312806</v>
      </c>
      <c r="AX37" t="n">
        <v>4091024.56553147</v>
      </c>
      <c r="AY37" t="n">
        <v>9231857.47147323</v>
      </c>
      <c r="AZ37" t="n">
        <v>0</v>
      </c>
      <c r="BA37" t="n">
        <v>1880014.57829471</v>
      </c>
      <c r="BB37" t="n">
        <v>19850485.8610128</v>
      </c>
      <c r="BC37" t="n">
        <v>0</v>
      </c>
      <c r="BD37" t="n">
        <v>85534317.8732107</v>
      </c>
      <c r="BE37" t="n">
        <v>1221294.36615331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81233.2306115622</v>
      </c>
      <c r="BL37" t="n">
        <v>306425.00025878</v>
      </c>
      <c r="BM37" t="n">
        <v>632697.153355469</v>
      </c>
      <c r="BN37" t="n">
        <v>3195512.0751068</v>
      </c>
      <c r="BO37" t="n">
        <v>93426940.7195353</v>
      </c>
      <c r="BP37" t="n">
        <v>0</v>
      </c>
      <c r="BQ37" t="n">
        <v>0</v>
      </c>
      <c r="BR37" t="n">
        <v>0</v>
      </c>
      <c r="BS37" t="n">
        <v>0</v>
      </c>
      <c r="BT37" t="n">
        <v>48175.8934495754</v>
      </c>
      <c r="BU37" t="n">
        <v>6927529864.86218</v>
      </c>
      <c r="BV37" t="n">
        <v>0</v>
      </c>
      <c r="BW37" t="n">
        <v>756444323.185165</v>
      </c>
      <c r="BX37" t="n">
        <v>0</v>
      </c>
      <c r="BY37" t="n">
        <v>158624.531796031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123</v>
      </c>
      <c r="B38" t="n">
        <v>475903.123446023</v>
      </c>
      <c r="C38" t="n">
        <v>0</v>
      </c>
      <c r="D38" t="n">
        <v>358.230023896977</v>
      </c>
      <c r="E38" t="n">
        <v>0</v>
      </c>
      <c r="F38" t="n">
        <v>0</v>
      </c>
      <c r="G38" t="n">
        <v>2023265.66064145</v>
      </c>
      <c r="H38" t="n">
        <v>5691996.92746488</v>
      </c>
      <c r="I38" t="n">
        <v>0</v>
      </c>
      <c r="J38" t="n">
        <v>42813.174262422</v>
      </c>
      <c r="K38" t="n">
        <v>0</v>
      </c>
      <c r="L38" t="n">
        <v>28920.7011003762</v>
      </c>
      <c r="M38" t="n">
        <v>172028.949520972</v>
      </c>
      <c r="N38" t="n">
        <v>8983.6796939062</v>
      </c>
      <c r="O38" t="n">
        <v>34904.7809307395</v>
      </c>
      <c r="P38" t="n">
        <v>98415.5049303589</v>
      </c>
      <c r="Q38" t="n">
        <v>0</v>
      </c>
      <c r="R38" t="n">
        <v>131055.818870216</v>
      </c>
      <c r="S38" t="n">
        <v>99286.6677177365</v>
      </c>
      <c r="T38" t="n">
        <v>859167.775531989</v>
      </c>
      <c r="U38" t="n">
        <v>0</v>
      </c>
      <c r="V38" t="n">
        <v>0</v>
      </c>
      <c r="W38" t="n">
        <v>21184.386759207</v>
      </c>
      <c r="X38" t="n">
        <v>254827.519761351</v>
      </c>
      <c r="Y38" t="n">
        <v>10042.2029229538</v>
      </c>
      <c r="Z38" t="n">
        <v>369300.349817135</v>
      </c>
      <c r="AA38" t="n">
        <v>25832.2425445728</v>
      </c>
      <c r="AB38" t="n">
        <v>151519.750276067</v>
      </c>
      <c r="AC38" t="n">
        <v>308098.994155367</v>
      </c>
      <c r="AD38" t="n">
        <v>650381.042336639</v>
      </c>
      <c r="AE38" t="n">
        <v>283767.809895754</v>
      </c>
      <c r="AF38" t="n">
        <v>884572.719598607</v>
      </c>
      <c r="AG38" t="n">
        <v>0</v>
      </c>
      <c r="AH38" t="n">
        <v>88546.3127354609</v>
      </c>
      <c r="AI38" t="n">
        <v>0</v>
      </c>
      <c r="AJ38" t="n">
        <v>3778325.31279999</v>
      </c>
      <c r="AK38" t="n">
        <v>442807.714958775</v>
      </c>
      <c r="AL38" t="n">
        <v>0</v>
      </c>
      <c r="AM38" t="n">
        <v>780017.081791227</v>
      </c>
      <c r="AN38" t="n">
        <v>0</v>
      </c>
      <c r="AO38" t="n">
        <v>14466.9112039084</v>
      </c>
      <c r="AP38" t="n">
        <v>0</v>
      </c>
      <c r="AQ38" t="n">
        <v>0</v>
      </c>
      <c r="AR38" t="n">
        <v>46197.0598010409</v>
      </c>
      <c r="AS38" t="n">
        <v>103408.10361997</v>
      </c>
      <c r="AT38" t="n">
        <v>34241.479410816</v>
      </c>
      <c r="AU38" t="n">
        <v>15020.5021563295</v>
      </c>
      <c r="AV38" t="n">
        <v>0</v>
      </c>
      <c r="AW38" t="n">
        <v>1825325.66125241</v>
      </c>
      <c r="AX38" t="n">
        <v>358575.858333435</v>
      </c>
      <c r="AY38" t="n">
        <v>49280.3779616009</v>
      </c>
      <c r="AZ38" t="n">
        <v>0</v>
      </c>
      <c r="BA38" t="n">
        <v>75200.5831317882</v>
      </c>
      <c r="BB38" t="n">
        <v>199302.066877638</v>
      </c>
      <c r="BC38" t="n">
        <v>0</v>
      </c>
      <c r="BD38" t="n">
        <v>2414404.90797546</v>
      </c>
      <c r="BE38" t="n">
        <v>0</v>
      </c>
      <c r="BF38" t="n">
        <v>181902.034564284</v>
      </c>
      <c r="BG38" t="n">
        <v>49489.1179898117</v>
      </c>
      <c r="BH38" t="n">
        <v>92654.4653810108</v>
      </c>
      <c r="BI38" t="n">
        <v>22684.2277817008</v>
      </c>
      <c r="BJ38" t="n">
        <v>20962.669498448</v>
      </c>
      <c r="BK38" t="n">
        <v>129973.1689785</v>
      </c>
      <c r="BL38" t="n">
        <v>289401.389133293</v>
      </c>
      <c r="BM38" t="n">
        <v>709387.717398556</v>
      </c>
      <c r="BN38" t="n">
        <v>32896434.3855955</v>
      </c>
      <c r="BO38" t="n">
        <v>789694.557447307</v>
      </c>
      <c r="BP38" t="n">
        <v>0</v>
      </c>
      <c r="BQ38" t="n">
        <v>0</v>
      </c>
      <c r="BR38" t="n">
        <v>0</v>
      </c>
      <c r="BS38" t="n">
        <v>539380.924958386</v>
      </c>
      <c r="BT38" t="n">
        <v>0</v>
      </c>
      <c r="BU38" t="n">
        <v>6569344752.29795</v>
      </c>
      <c r="BV38" t="n">
        <v>0</v>
      </c>
      <c r="BW38" t="n">
        <v>7071349.53297572</v>
      </c>
      <c r="BX38" t="n">
        <v>29963.3454787107</v>
      </c>
      <c r="BY38" t="n">
        <v>212579.515008185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124</v>
      </c>
      <c r="B39" t="n">
        <v>40143.3867648786</v>
      </c>
      <c r="C39" t="n">
        <v>0</v>
      </c>
      <c r="D39" t="n">
        <v>114.459938884503</v>
      </c>
      <c r="E39" t="n">
        <v>5508.9284919676</v>
      </c>
      <c r="F39" t="n">
        <v>326.890398253575</v>
      </c>
      <c r="G39" t="n">
        <v>164409.398243741</v>
      </c>
      <c r="H39" t="n">
        <v>1353132.39618383</v>
      </c>
      <c r="I39" t="n">
        <v>17877.0248608514</v>
      </c>
      <c r="J39" t="n">
        <v>7523.70304119382</v>
      </c>
      <c r="K39" t="n">
        <v>1117.51202727371</v>
      </c>
      <c r="L39" t="n">
        <v>10164.6640582472</v>
      </c>
      <c r="M39" t="n">
        <v>52400.7910766367</v>
      </c>
      <c r="N39" t="n">
        <v>3444.5066916608</v>
      </c>
      <c r="O39" t="n">
        <v>6133.93449481531</v>
      </c>
      <c r="P39" t="n">
        <v>66428.0907468919</v>
      </c>
      <c r="Q39" t="n">
        <v>18577.6880704634</v>
      </c>
      <c r="R39" t="n">
        <v>25962.082491577</v>
      </c>
      <c r="S39" t="n">
        <v>18745.7635257135</v>
      </c>
      <c r="T39" t="n">
        <v>241182.93904977</v>
      </c>
      <c r="U39" t="n">
        <v>2985.75637720551</v>
      </c>
      <c r="V39" t="n">
        <v>0</v>
      </c>
      <c r="W39" t="n">
        <v>11506.8471887358</v>
      </c>
      <c r="X39" t="n">
        <v>27334.2824130512</v>
      </c>
      <c r="Y39" t="n">
        <v>641.727301538316</v>
      </c>
      <c r="Z39" t="n">
        <v>34010.921998285</v>
      </c>
      <c r="AA39" t="n">
        <v>9904.5530714705</v>
      </c>
      <c r="AB39" t="n">
        <v>18154.8239254174</v>
      </c>
      <c r="AC39" t="n">
        <v>78753.8501832377</v>
      </c>
      <c r="AD39" t="n">
        <v>43450.4773724713</v>
      </c>
      <c r="AE39" t="n">
        <v>11081.6602655958</v>
      </c>
      <c r="AF39" t="n">
        <v>71273.0307449151</v>
      </c>
      <c r="AG39" t="n">
        <v>0</v>
      </c>
      <c r="AH39" t="n">
        <v>8487.56793238275</v>
      </c>
      <c r="AI39" t="n">
        <v>1131.75789167699</v>
      </c>
      <c r="AJ39" t="n">
        <v>343108.15014672</v>
      </c>
      <c r="AK39" t="n">
        <v>36381.5478081995</v>
      </c>
      <c r="AL39" t="n">
        <v>108.725006826605</v>
      </c>
      <c r="AM39" t="n">
        <v>65971.9366948129</v>
      </c>
      <c r="AN39" t="n">
        <v>1466.71283145806</v>
      </c>
      <c r="AO39" t="n">
        <v>2311.19903663226</v>
      </c>
      <c r="AP39" t="n">
        <v>567.545893751717</v>
      </c>
      <c r="AQ39" t="n">
        <v>1913.4830734522</v>
      </c>
      <c r="AR39" t="n">
        <v>3690.16573760968</v>
      </c>
      <c r="AS39" t="n">
        <v>12390.1729659754</v>
      </c>
      <c r="AT39" t="n">
        <v>2917.51286732208</v>
      </c>
      <c r="AU39" t="n">
        <v>1439.78363967823</v>
      </c>
      <c r="AV39" t="n">
        <v>0</v>
      </c>
      <c r="AW39" t="n">
        <v>302825.40555919</v>
      </c>
      <c r="AX39" t="n">
        <v>81761.6309292067</v>
      </c>
      <c r="AY39" t="n">
        <v>24668.4669672537</v>
      </c>
      <c r="AZ39" t="n">
        <v>654.016095758918</v>
      </c>
      <c r="BA39" t="n">
        <v>9611.09184060897</v>
      </c>
      <c r="BB39" t="n">
        <v>48396.8307042486</v>
      </c>
      <c r="BC39" t="n">
        <v>0</v>
      </c>
      <c r="BD39" t="n">
        <v>337376.022056427</v>
      </c>
      <c r="BE39" t="n">
        <v>1801.02515811415</v>
      </c>
      <c r="BF39" t="n">
        <v>32934.9304725038</v>
      </c>
      <c r="BG39" t="n">
        <v>7906.26279581589</v>
      </c>
      <c r="BH39" t="n">
        <v>4736.72165365425</v>
      </c>
      <c r="BI39" t="n">
        <v>724.795564953073</v>
      </c>
      <c r="BJ39" t="n">
        <v>2009.36748144128</v>
      </c>
      <c r="BK39" t="n">
        <v>2076.42017495756</v>
      </c>
      <c r="BL39" t="n">
        <v>3807.51179779414</v>
      </c>
      <c r="BM39" t="n">
        <v>37368.2967616619</v>
      </c>
      <c r="BN39" t="n">
        <v>231904.886968421</v>
      </c>
      <c r="BO39" t="n">
        <v>249408.039115021</v>
      </c>
      <c r="BP39" t="n">
        <v>0</v>
      </c>
      <c r="BQ39" t="n">
        <v>6840.22850546404</v>
      </c>
      <c r="BR39" t="n">
        <v>0</v>
      </c>
      <c r="BS39" t="n">
        <v>18957.444643544</v>
      </c>
      <c r="BT39" t="n">
        <v>0</v>
      </c>
      <c r="BU39" t="n">
        <v>210972090.726249</v>
      </c>
      <c r="BV39" t="n">
        <v>0</v>
      </c>
      <c r="BW39" t="n">
        <v>2023404.15180713</v>
      </c>
      <c r="BX39" t="n">
        <v>542092.636029054</v>
      </c>
      <c r="BY39" t="n">
        <v>173757.62116473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125</v>
      </c>
      <c r="B40" t="n">
        <v>10596909.4775027</v>
      </c>
      <c r="C40" t="n">
        <v>101340.046696534</v>
      </c>
      <c r="D40" t="n">
        <v>16002.6165069423</v>
      </c>
      <c r="E40" t="n">
        <v>2183649.53156433</v>
      </c>
      <c r="F40" t="n">
        <v>20088.9968804598</v>
      </c>
      <c r="G40" t="n">
        <v>47740233.5958429</v>
      </c>
      <c r="H40" t="n">
        <v>1474386736.89442</v>
      </c>
      <c r="I40" t="n">
        <v>9228489.38994187</v>
      </c>
      <c r="J40" t="n">
        <v>250099.033471619</v>
      </c>
      <c r="K40" t="n">
        <v>114174.717837854</v>
      </c>
      <c r="L40" t="n">
        <v>1371429.75176747</v>
      </c>
      <c r="M40" t="n">
        <v>8567526.99458877</v>
      </c>
      <c r="N40" t="n">
        <v>561838.260116865</v>
      </c>
      <c r="O40" t="n">
        <v>1535255.10335492</v>
      </c>
      <c r="P40" t="n">
        <v>7152527.89334774</v>
      </c>
      <c r="Q40" t="n">
        <v>1198773.27591127</v>
      </c>
      <c r="R40" t="n">
        <v>5908480.50365086</v>
      </c>
      <c r="S40" t="n">
        <v>4242970.48459022</v>
      </c>
      <c r="T40" t="n">
        <v>41880788.6922127</v>
      </c>
      <c r="U40" t="n">
        <v>920504.044130759</v>
      </c>
      <c r="V40" t="n">
        <v>6465.97937895161</v>
      </c>
      <c r="W40" t="n">
        <v>1383105.03091654</v>
      </c>
      <c r="X40" t="n">
        <v>10707984.0430934</v>
      </c>
      <c r="Y40" t="n">
        <v>503810.845308938</v>
      </c>
      <c r="Z40" t="n">
        <v>16148786.8831359</v>
      </c>
      <c r="AA40" t="n">
        <v>1793077.83702661</v>
      </c>
      <c r="AB40" t="n">
        <v>7276235.14859928</v>
      </c>
      <c r="AC40" t="n">
        <v>21597630.7235322</v>
      </c>
      <c r="AD40" t="n">
        <v>6582727.27060681</v>
      </c>
      <c r="AE40" t="n">
        <v>11722859.0450806</v>
      </c>
      <c r="AF40" t="n">
        <v>18739914.2691328</v>
      </c>
      <c r="AG40" t="n">
        <v>94674.1429377532</v>
      </c>
      <c r="AH40" t="n">
        <v>2160302.12607833</v>
      </c>
      <c r="AI40" t="n">
        <v>11368274.2879977</v>
      </c>
      <c r="AJ40" t="n">
        <v>95902463.1591715</v>
      </c>
      <c r="AK40" t="n">
        <v>9814327.74513981</v>
      </c>
      <c r="AL40" t="n">
        <v>32740.2213087925</v>
      </c>
      <c r="AM40" t="n">
        <v>24123053.8534201</v>
      </c>
      <c r="AN40" t="n">
        <v>126191.241817904</v>
      </c>
      <c r="AO40" t="n">
        <v>626371.550951634</v>
      </c>
      <c r="AP40" t="n">
        <v>91555.9093927889</v>
      </c>
      <c r="AQ40" t="n">
        <v>219506.550119</v>
      </c>
      <c r="AR40" t="n">
        <v>1492202.80800002</v>
      </c>
      <c r="AS40" t="n">
        <v>4530544.72379791</v>
      </c>
      <c r="AT40" t="n">
        <v>1184469.47191738</v>
      </c>
      <c r="AU40" t="n">
        <v>547111.672771037</v>
      </c>
      <c r="AV40" t="n">
        <v>0</v>
      </c>
      <c r="AW40" t="n">
        <v>75967062.8560118</v>
      </c>
      <c r="AX40" t="n">
        <v>13105689.8693751</v>
      </c>
      <c r="AY40" t="n">
        <v>1862740.59199678</v>
      </c>
      <c r="AZ40" t="n">
        <v>309481.896097336</v>
      </c>
      <c r="BA40" t="n">
        <v>2790812.29226043</v>
      </c>
      <c r="BB40" t="n">
        <v>9724914.91755004</v>
      </c>
      <c r="BC40" t="n">
        <v>0</v>
      </c>
      <c r="BD40" t="n">
        <v>33451553.5601051</v>
      </c>
      <c r="BE40" t="n">
        <v>284083.059762917</v>
      </c>
      <c r="BF40" t="n">
        <v>1805735.1774512</v>
      </c>
      <c r="BG40" t="n">
        <v>4948668.54289241</v>
      </c>
      <c r="BH40" t="n">
        <v>1948513.59414979</v>
      </c>
      <c r="BI40" t="n">
        <v>1169232.61719816</v>
      </c>
      <c r="BJ40" t="n">
        <v>806770.989836115</v>
      </c>
      <c r="BK40" t="n">
        <v>3461314.59691912</v>
      </c>
      <c r="BL40" t="n">
        <v>3919332.92738844</v>
      </c>
      <c r="BM40" t="n">
        <v>15403241.0132613</v>
      </c>
      <c r="BN40" t="n">
        <v>96084518.2147742</v>
      </c>
      <c r="BO40" t="n">
        <v>43751478.5521884</v>
      </c>
      <c r="BP40" t="n">
        <v>74369.5558037596</v>
      </c>
      <c r="BQ40" t="n">
        <v>2255959.60242003</v>
      </c>
      <c r="BR40" t="n">
        <v>89849.5143568879</v>
      </c>
      <c r="BS40" t="n">
        <v>6802167.33321969</v>
      </c>
      <c r="BT40" t="n">
        <v>0</v>
      </c>
      <c r="BU40" t="n">
        <v>18189542912.7762</v>
      </c>
      <c r="BV40" t="n">
        <v>0</v>
      </c>
      <c r="BW40" t="n">
        <v>461372620.155636</v>
      </c>
      <c r="BX40" t="n">
        <v>160931831.314486</v>
      </c>
      <c r="BY40" t="n">
        <v>145797616.229546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126</v>
      </c>
      <c r="B41" t="n">
        <v>1891584.99859817</v>
      </c>
      <c r="C41" t="n">
        <v>12555.7280221366</v>
      </c>
      <c r="D41" t="n">
        <v>4750.62041426976</v>
      </c>
      <c r="E41" t="n">
        <v>400529.642865432</v>
      </c>
      <c r="F41" t="n">
        <v>417996.129993946</v>
      </c>
      <c r="G41" t="n">
        <v>18455302.3118885</v>
      </c>
      <c r="H41" t="n">
        <v>10003332.2535959</v>
      </c>
      <c r="I41" t="n">
        <v>3823117.23849556</v>
      </c>
      <c r="J41" t="n">
        <v>4971579.84125202</v>
      </c>
      <c r="K41" t="n">
        <v>1360552.84357608</v>
      </c>
      <c r="L41" t="n">
        <v>5223303.13528183</v>
      </c>
      <c r="M41" t="n">
        <v>3058456.15456169</v>
      </c>
      <c r="N41" t="n">
        <v>561203.662087838</v>
      </c>
      <c r="O41" t="n">
        <v>612180.801269094</v>
      </c>
      <c r="P41" t="n">
        <v>3685340.21459903</v>
      </c>
      <c r="Q41" t="n">
        <v>3265175.01900592</v>
      </c>
      <c r="R41" t="n">
        <v>2257064.72270501</v>
      </c>
      <c r="S41" t="n">
        <v>1302432.66493747</v>
      </c>
      <c r="T41" t="n">
        <v>37323569.5088693</v>
      </c>
      <c r="U41" t="n">
        <v>902327.884855071</v>
      </c>
      <c r="V41" t="n">
        <v>33441.9263593062</v>
      </c>
      <c r="W41" t="n">
        <v>2952765.25190814</v>
      </c>
      <c r="X41" t="n">
        <v>2516086.24836119</v>
      </c>
      <c r="Y41" t="n">
        <v>308041.803846038</v>
      </c>
      <c r="Z41" t="n">
        <v>2277342.5680312</v>
      </c>
      <c r="AA41" t="n">
        <v>8433324.30357739</v>
      </c>
      <c r="AB41" t="n">
        <v>114843420.629534</v>
      </c>
      <c r="AC41" t="n">
        <v>3994134.85217212</v>
      </c>
      <c r="AD41" t="n">
        <v>1099967.97870534</v>
      </c>
      <c r="AE41" t="n">
        <v>1681751.74791493</v>
      </c>
      <c r="AF41" t="n">
        <v>3964426.43911043</v>
      </c>
      <c r="AG41" t="n">
        <v>5769282.24675758</v>
      </c>
      <c r="AH41" t="n">
        <v>556307.358555878</v>
      </c>
      <c r="AI41" t="n">
        <v>4395085.65401705</v>
      </c>
      <c r="AJ41" t="n">
        <v>28093131.2913553</v>
      </c>
      <c r="AK41" t="n">
        <v>500584.975662283</v>
      </c>
      <c r="AL41" t="n">
        <v>30921.7679836787</v>
      </c>
      <c r="AM41" t="n">
        <v>17074264.334837</v>
      </c>
      <c r="AN41" t="n">
        <v>5225313.47340105</v>
      </c>
      <c r="AO41" t="n">
        <v>5473185.93460518</v>
      </c>
      <c r="AP41" t="n">
        <v>2332770.50617826</v>
      </c>
      <c r="AQ41" t="n">
        <v>9225645.674525</v>
      </c>
      <c r="AR41" t="n">
        <v>39702181.5317033</v>
      </c>
      <c r="AS41" t="n">
        <v>144840962.997264</v>
      </c>
      <c r="AT41" t="n">
        <v>31500347.8002965</v>
      </c>
      <c r="AU41" t="n">
        <v>1518735.24225606</v>
      </c>
      <c r="AV41" t="n">
        <v>23676603.2203715</v>
      </c>
      <c r="AW41" t="n">
        <v>195739.237036908</v>
      </c>
      <c r="AX41" t="n">
        <v>163421510.019032</v>
      </c>
      <c r="AY41" t="n">
        <v>19414304.0747624</v>
      </c>
      <c r="AZ41" t="n">
        <v>14285455.457102</v>
      </c>
      <c r="BA41" t="n">
        <v>221920030.785408</v>
      </c>
      <c r="BB41" t="n">
        <v>169585548.067238</v>
      </c>
      <c r="BC41" t="n">
        <v>11846604.8994149</v>
      </c>
      <c r="BD41" t="n">
        <v>139494030.31714</v>
      </c>
      <c r="BE41" t="n">
        <v>7714778.32820908</v>
      </c>
      <c r="BF41" t="n">
        <v>11966502.1663843</v>
      </c>
      <c r="BG41" t="n">
        <v>63866881.2140116</v>
      </c>
      <c r="BH41" t="n">
        <v>5874470.3736422</v>
      </c>
      <c r="BI41" t="n">
        <v>5968327.16128174</v>
      </c>
      <c r="BJ41" t="n">
        <v>12269169.7292789</v>
      </c>
      <c r="BK41" t="n">
        <v>1894904.08050594</v>
      </c>
      <c r="BL41" t="n">
        <v>2680929.39055323</v>
      </c>
      <c r="BM41" t="n">
        <v>3178365.37488479</v>
      </c>
      <c r="BN41" t="n">
        <v>40812856.1915191</v>
      </c>
      <c r="BO41" t="n">
        <v>16434414.4839824</v>
      </c>
      <c r="BP41" t="n">
        <v>318635041.376527</v>
      </c>
      <c r="BQ41" t="n">
        <v>197675984.218016</v>
      </c>
      <c r="BR41" t="n">
        <v>16224111.1357502</v>
      </c>
      <c r="BS41" t="n">
        <v>79637752.0340036</v>
      </c>
      <c r="BT41" t="n">
        <v>1099172.53601868</v>
      </c>
      <c r="BU41" t="n">
        <v>2285538997.53935</v>
      </c>
      <c r="BV41" t="n">
        <v>0</v>
      </c>
      <c r="BW41" t="n">
        <v>11013502.230352</v>
      </c>
      <c r="BX41" t="n">
        <v>1320496.44088404</v>
      </c>
      <c r="BY41" t="n">
        <v>98695.0392533611</v>
      </c>
      <c r="BZ41" t="n">
        <v>742412.775366686</v>
      </c>
      <c r="CA41" t="n">
        <v>1279864631.19325</v>
      </c>
      <c r="CB41" t="n">
        <v>-1323510002.33693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2638279.31922546</v>
      </c>
      <c r="CJ41" t="n">
        <v>0</v>
      </c>
      <c r="CK41" t="n">
        <v>0</v>
      </c>
      <c r="CL41" t="n">
        <v>0</v>
      </c>
      <c r="CM41" t="n">
        <v>453858.245482147</v>
      </c>
      <c r="CN41" t="n">
        <v>129673.784423471</v>
      </c>
    </row>
    <row r="42">
      <c r="A42" t="s">
        <v>127</v>
      </c>
      <c r="B42" t="n">
        <v>15097781.7053052</v>
      </c>
      <c r="C42" t="n">
        <v>184682.114265592</v>
      </c>
      <c r="D42" t="n">
        <v>103865.753044519</v>
      </c>
      <c r="E42" t="n">
        <v>14144132.1133541</v>
      </c>
      <c r="F42" t="n">
        <v>214169.614570423</v>
      </c>
      <c r="G42" t="n">
        <v>39074166.8738861</v>
      </c>
      <c r="H42" t="n">
        <v>42415399.0492346</v>
      </c>
      <c r="I42" t="n">
        <v>20584531.57211</v>
      </c>
      <c r="J42" t="n">
        <v>28446066.0157306</v>
      </c>
      <c r="K42" t="n">
        <v>16169386.2340461</v>
      </c>
      <c r="L42" t="n">
        <v>9852288.4365194</v>
      </c>
      <c r="M42" t="n">
        <v>4280415.6097393</v>
      </c>
      <c r="N42" t="n">
        <v>472566.516105923</v>
      </c>
      <c r="O42" t="n">
        <v>2961785.57050226</v>
      </c>
      <c r="P42" t="n">
        <v>9853113.4560833</v>
      </c>
      <c r="Q42" t="n">
        <v>5557429.17886857</v>
      </c>
      <c r="R42" t="n">
        <v>4513863.2626578</v>
      </c>
      <c r="S42" t="n">
        <v>1475258.61123832</v>
      </c>
      <c r="T42" t="n">
        <v>248531937.86121</v>
      </c>
      <c r="U42" t="n">
        <v>1501971.57093286</v>
      </c>
      <c r="V42" t="n">
        <v>11783.6016602442</v>
      </c>
      <c r="W42" t="n">
        <v>33457260.6706092</v>
      </c>
      <c r="X42" t="n">
        <v>1196842.47002631</v>
      </c>
      <c r="Y42" t="n">
        <v>5931782.35640686</v>
      </c>
      <c r="Z42" t="n">
        <v>21589228.6294553</v>
      </c>
      <c r="AA42" t="n">
        <v>29360817.2718603</v>
      </c>
      <c r="AB42" t="n">
        <v>3736106.209514</v>
      </c>
      <c r="AC42" t="n">
        <v>578816.544653994</v>
      </c>
      <c r="AD42" t="n">
        <v>2128984.18026834</v>
      </c>
      <c r="AE42" t="n">
        <v>750297.702566344</v>
      </c>
      <c r="AF42" t="n">
        <v>1408935.04839519</v>
      </c>
      <c r="AG42" t="n">
        <v>2915827.47958379</v>
      </c>
      <c r="AH42" t="n">
        <v>3368574.55873196</v>
      </c>
      <c r="AI42" t="n">
        <v>576719.655271901</v>
      </c>
      <c r="AJ42" t="n">
        <v>50197044.9731723</v>
      </c>
      <c r="AK42" t="n">
        <v>316910.425830238</v>
      </c>
      <c r="AL42" t="n">
        <v>19178.2875749997</v>
      </c>
      <c r="AM42" t="n">
        <v>3778420.99781472</v>
      </c>
      <c r="AN42" t="n">
        <v>574927.338708442</v>
      </c>
      <c r="AO42" t="n">
        <v>289904.65925861</v>
      </c>
      <c r="AP42" t="n">
        <v>44493.7336458981</v>
      </c>
      <c r="AQ42" t="n">
        <v>3975285.8567048</v>
      </c>
      <c r="AR42" t="n">
        <v>781101.552780644</v>
      </c>
      <c r="AS42" t="n">
        <v>1133240.33436704</v>
      </c>
      <c r="AT42" t="n">
        <v>321642.315820332</v>
      </c>
      <c r="AU42" t="n">
        <v>1279242.15246285</v>
      </c>
      <c r="AV42" t="n">
        <v>182157.906645672</v>
      </c>
      <c r="AW42" t="n">
        <v>1252971.73030158</v>
      </c>
      <c r="AX42" t="n">
        <v>3204921.63635475</v>
      </c>
      <c r="AY42" t="n">
        <v>781800.184730753</v>
      </c>
      <c r="AZ42" t="n">
        <v>474272.599164303</v>
      </c>
      <c r="BA42" t="n">
        <v>2072064.574959</v>
      </c>
      <c r="BB42" t="n">
        <v>18621301.2845731</v>
      </c>
      <c r="BC42" t="n">
        <v>767448.795448325</v>
      </c>
      <c r="BD42" t="n">
        <v>12579484.1619101</v>
      </c>
      <c r="BE42" t="n">
        <v>658907.460933594</v>
      </c>
      <c r="BF42" t="n">
        <v>860663.45190334</v>
      </c>
      <c r="BG42" t="n">
        <v>6399693.44112589</v>
      </c>
      <c r="BH42" t="n">
        <v>2611008.40229726</v>
      </c>
      <c r="BI42" t="n">
        <v>1207458.81497512</v>
      </c>
      <c r="BJ42" t="n">
        <v>3242447.41520218</v>
      </c>
      <c r="BK42" t="n">
        <v>172958.553078827</v>
      </c>
      <c r="BL42" t="n">
        <v>906149.837410844</v>
      </c>
      <c r="BM42" t="n">
        <v>1728915.76262404</v>
      </c>
      <c r="BN42" t="n">
        <v>14550670.0294148</v>
      </c>
      <c r="BO42" t="n">
        <v>3290495.4995663</v>
      </c>
      <c r="BP42" t="n">
        <v>11892852.9859229</v>
      </c>
      <c r="BQ42" t="n">
        <v>49871384.3147062</v>
      </c>
      <c r="BR42" t="n">
        <v>41099183.4258874</v>
      </c>
      <c r="BS42" t="n">
        <v>39468779.9270674</v>
      </c>
      <c r="BT42" t="n">
        <v>21289172.554333</v>
      </c>
      <c r="BU42" t="n">
        <v>128959761.39795</v>
      </c>
      <c r="BV42" t="n">
        <v>0</v>
      </c>
      <c r="BW42" t="n">
        <v>53111682.550581</v>
      </c>
      <c r="BX42" t="n">
        <v>0</v>
      </c>
      <c r="BY42" t="n">
        <v>589755.006393062</v>
      </c>
      <c r="BZ42" t="n">
        <v>12922147.2802542</v>
      </c>
      <c r="CA42" t="n">
        <v>274529248.811839</v>
      </c>
      <c r="CB42" t="n">
        <v>9603332.75159811</v>
      </c>
      <c r="CC42" t="n">
        <v>0</v>
      </c>
      <c r="CD42" t="n">
        <v>0</v>
      </c>
      <c r="CE42" t="n">
        <v>1682208.38026357</v>
      </c>
      <c r="CF42" t="n">
        <v>0</v>
      </c>
      <c r="CG42" t="n">
        <v>0</v>
      </c>
      <c r="CH42" t="n">
        <v>0</v>
      </c>
      <c r="CI42" t="n">
        <v>2468057.55060568</v>
      </c>
      <c r="CJ42" t="n">
        <v>0</v>
      </c>
      <c r="CK42" t="n">
        <v>0</v>
      </c>
      <c r="CL42" t="n">
        <v>0</v>
      </c>
      <c r="CM42" t="n">
        <v>10156749.3700363</v>
      </c>
      <c r="CN42" t="n">
        <v>0</v>
      </c>
    </row>
    <row r="43">
      <c r="A43" t="s">
        <v>128</v>
      </c>
      <c r="B43" t="n">
        <v>5430418.58288543</v>
      </c>
      <c r="C43" t="n">
        <v>97882.333863808</v>
      </c>
      <c r="D43" t="n">
        <v>84179.069145658</v>
      </c>
      <c r="E43" t="n">
        <v>4733310.67211955</v>
      </c>
      <c r="F43" t="n">
        <v>126608.243368847</v>
      </c>
      <c r="G43" t="n">
        <v>6242689.68375808</v>
      </c>
      <c r="H43" t="n">
        <v>27632659.7134288</v>
      </c>
      <c r="I43" t="n">
        <v>278550.443830796</v>
      </c>
      <c r="J43" t="n">
        <v>6394385.59528911</v>
      </c>
      <c r="K43" t="n">
        <v>3613091.14762107</v>
      </c>
      <c r="L43" t="n">
        <v>1828574.57226638</v>
      </c>
      <c r="M43" t="n">
        <v>662320.817863015</v>
      </c>
      <c r="N43" t="n">
        <v>152066.417450549</v>
      </c>
      <c r="O43" t="n">
        <v>955757.565511634</v>
      </c>
      <c r="P43" t="n">
        <v>869685.082384451</v>
      </c>
      <c r="Q43" t="n">
        <v>670346.510165377</v>
      </c>
      <c r="R43" t="n">
        <v>313182.642417832</v>
      </c>
      <c r="S43" t="n">
        <v>467338.67995849</v>
      </c>
      <c r="T43" t="n">
        <v>55117132.5680959</v>
      </c>
      <c r="U43" t="n">
        <v>868419.86942881</v>
      </c>
      <c r="V43" t="n">
        <v>0</v>
      </c>
      <c r="W43" t="n">
        <v>2931978.83473663</v>
      </c>
      <c r="X43" t="n">
        <v>18123.7651362425</v>
      </c>
      <c r="Y43" t="n">
        <v>389963.297364885</v>
      </c>
      <c r="Z43" t="n">
        <v>5220093.0332283</v>
      </c>
      <c r="AA43" t="n">
        <v>3575255.17520836</v>
      </c>
      <c r="AB43" t="n">
        <v>452606.341509926</v>
      </c>
      <c r="AC43" t="n">
        <v>334663.982900464</v>
      </c>
      <c r="AD43" t="n">
        <v>441536.474802589</v>
      </c>
      <c r="AE43" t="n">
        <v>156971.48152144</v>
      </c>
      <c r="AF43" t="n">
        <v>402091.727863125</v>
      </c>
      <c r="AG43" t="n">
        <v>576096.381708159</v>
      </c>
      <c r="AH43" t="n">
        <v>242456.208113732</v>
      </c>
      <c r="AI43" t="n">
        <v>105806.754364143</v>
      </c>
      <c r="AJ43" t="n">
        <v>324007.975699091</v>
      </c>
      <c r="AK43" t="n">
        <v>31493.2352437636</v>
      </c>
      <c r="AL43" t="n">
        <v>16940.961453479</v>
      </c>
      <c r="AM43" t="n">
        <v>205588.037044796</v>
      </c>
      <c r="AN43" t="n">
        <v>91414.2064140996</v>
      </c>
      <c r="AO43" t="n">
        <v>28809.5148917105</v>
      </c>
      <c r="AP43" t="n">
        <v>0</v>
      </c>
      <c r="AQ43" t="n">
        <v>377655.294319906</v>
      </c>
      <c r="AR43" t="n">
        <v>252992.216148556</v>
      </c>
      <c r="AS43" t="n">
        <v>128704.793095287</v>
      </c>
      <c r="AT43" t="n">
        <v>22729.5791777491</v>
      </c>
      <c r="AU43" t="n">
        <v>0</v>
      </c>
      <c r="AV43" t="n">
        <v>57926.6956254876</v>
      </c>
      <c r="AW43" t="n">
        <v>384467.678097916</v>
      </c>
      <c r="AX43" t="n">
        <v>762757.273679132</v>
      </c>
      <c r="AY43" t="n">
        <v>179918.405873137</v>
      </c>
      <c r="AZ43" t="n">
        <v>0</v>
      </c>
      <c r="BA43" t="n">
        <v>599020.008919463</v>
      </c>
      <c r="BB43" t="n">
        <v>59771878.3836584</v>
      </c>
      <c r="BC43" t="n">
        <v>3626865.23473247</v>
      </c>
      <c r="BD43" t="n">
        <v>4647795.14656002</v>
      </c>
      <c r="BE43" t="n">
        <v>318043.154563507</v>
      </c>
      <c r="BF43" t="n">
        <v>6882580.30309411</v>
      </c>
      <c r="BG43" t="n">
        <v>4065311.19818076</v>
      </c>
      <c r="BH43" t="n">
        <v>3505743.07732494</v>
      </c>
      <c r="BI43" t="n">
        <v>203280.931909148</v>
      </c>
      <c r="BJ43" t="n">
        <v>313089.123123801</v>
      </c>
      <c r="BK43" t="n">
        <v>48530.5384270273</v>
      </c>
      <c r="BL43" t="n">
        <v>203405.677128065</v>
      </c>
      <c r="BM43" t="n">
        <v>171812.431498032</v>
      </c>
      <c r="BN43" t="n">
        <v>1627889.12620219</v>
      </c>
      <c r="BO43" t="n">
        <v>1149210.34694612</v>
      </c>
      <c r="BP43" t="n">
        <v>92394004.6369522</v>
      </c>
      <c r="BQ43" t="n">
        <v>16413452.4588668</v>
      </c>
      <c r="BR43" t="n">
        <v>59880861.608455</v>
      </c>
      <c r="BS43" t="n">
        <v>18394428.259505</v>
      </c>
      <c r="BT43" t="n">
        <v>4029389.01111425</v>
      </c>
      <c r="BU43" t="n">
        <v>652002713.592192</v>
      </c>
      <c r="BV43" t="n">
        <v>0</v>
      </c>
      <c r="BW43" t="n">
        <v>175194.395930123</v>
      </c>
      <c r="BX43" t="n">
        <v>0</v>
      </c>
      <c r="BY43" t="n">
        <v>0</v>
      </c>
      <c r="BZ43" t="n">
        <v>2181784.04308375</v>
      </c>
      <c r="CA43" t="n">
        <v>214870538.178538</v>
      </c>
      <c r="CB43" t="n">
        <v>457865752.936264</v>
      </c>
      <c r="CC43" t="n">
        <v>0</v>
      </c>
      <c r="CD43" t="n">
        <v>0</v>
      </c>
      <c r="CE43" t="n">
        <v>58570.8076411423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129</v>
      </c>
      <c r="B44" t="n">
        <v>40622631.3169127</v>
      </c>
      <c r="C44" t="n">
        <v>2045255.20082705</v>
      </c>
      <c r="D44" t="n">
        <v>188783.159818652</v>
      </c>
      <c r="E44" t="n">
        <v>12760708.9465304</v>
      </c>
      <c r="F44" t="n">
        <v>517361.975075396</v>
      </c>
      <c r="G44" t="n">
        <v>18913651.2206968</v>
      </c>
      <c r="H44" t="n">
        <v>318724397.510571</v>
      </c>
      <c r="I44" t="n">
        <v>39020753.2371516</v>
      </c>
      <c r="J44" t="n">
        <v>38781045.0782131</v>
      </c>
      <c r="K44" t="n">
        <v>30943364.7128871</v>
      </c>
      <c r="L44" t="n">
        <v>30210572.9042114</v>
      </c>
      <c r="M44" t="n">
        <v>22589047.4424415</v>
      </c>
      <c r="N44" t="n">
        <v>5467186.75418572</v>
      </c>
      <c r="O44" t="n">
        <v>12347502.376929</v>
      </c>
      <c r="P44" t="n">
        <v>44054284.2594114</v>
      </c>
      <c r="Q44" t="n">
        <v>26887540.7873241</v>
      </c>
      <c r="R44" t="n">
        <v>15226236.3928839</v>
      </c>
      <c r="S44" t="n">
        <v>6495933.7555673</v>
      </c>
      <c r="T44" t="n">
        <v>914146469.510927</v>
      </c>
      <c r="U44" t="n">
        <v>12209076.6793286</v>
      </c>
      <c r="V44" t="n">
        <v>644030.551116741</v>
      </c>
      <c r="W44" t="n">
        <v>35428597.7681962</v>
      </c>
      <c r="X44" t="n">
        <v>6315168.8809631</v>
      </c>
      <c r="Y44" t="n">
        <v>9506053.83677012</v>
      </c>
      <c r="Z44" t="n">
        <v>26121414.0121744</v>
      </c>
      <c r="AA44" t="n">
        <v>36249647.2077488</v>
      </c>
      <c r="AB44" t="n">
        <v>65241547.9013462</v>
      </c>
      <c r="AC44" t="n">
        <v>29744094.9890885</v>
      </c>
      <c r="AD44" t="n">
        <v>20929415.4036393</v>
      </c>
      <c r="AE44" t="n">
        <v>16098427.5103696</v>
      </c>
      <c r="AF44" t="n">
        <v>55574209.9675491</v>
      </c>
      <c r="AG44" t="n">
        <v>25602615.0661165</v>
      </c>
      <c r="AH44" t="n">
        <v>4556275.40819865</v>
      </c>
      <c r="AI44" t="n">
        <v>3935911.34497646</v>
      </c>
      <c r="AJ44" t="n">
        <v>93540505.2162946</v>
      </c>
      <c r="AK44" t="n">
        <v>2305963.84784059</v>
      </c>
      <c r="AL44" t="n">
        <v>212189.805451695</v>
      </c>
      <c r="AM44" t="n">
        <v>43218539.505829</v>
      </c>
      <c r="AN44" t="n">
        <v>14032534.452786</v>
      </c>
      <c r="AO44" t="n">
        <v>5555135.73827642</v>
      </c>
      <c r="AP44" t="n">
        <v>832807.093973447</v>
      </c>
      <c r="AQ44" t="n">
        <v>13056326.6745579</v>
      </c>
      <c r="AR44" t="n">
        <v>11674493.7973156</v>
      </c>
      <c r="AS44" t="n">
        <v>3381689.61183846</v>
      </c>
      <c r="AT44" t="n">
        <v>1086331.2205257</v>
      </c>
      <c r="AU44" t="n">
        <v>1964823.81277699</v>
      </c>
      <c r="AV44" t="n">
        <v>1009218.73253469</v>
      </c>
      <c r="AW44" t="n">
        <v>2090141.52914489</v>
      </c>
      <c r="AX44" t="n">
        <v>8253099.46198763</v>
      </c>
      <c r="AY44" t="n">
        <v>5052328.40654118</v>
      </c>
      <c r="AZ44" t="n">
        <v>1401150.29492983</v>
      </c>
      <c r="BA44" t="n">
        <v>19673895.7105758</v>
      </c>
      <c r="BB44" t="n">
        <v>79519990.6609759</v>
      </c>
      <c r="BC44" t="n">
        <v>5586251.81716728</v>
      </c>
      <c r="BD44" t="n">
        <v>33325975.3397921</v>
      </c>
      <c r="BE44" t="n">
        <v>5003688.79028896</v>
      </c>
      <c r="BF44" t="n">
        <v>4794910.68259064</v>
      </c>
      <c r="BG44" t="n">
        <v>22263305.7418933</v>
      </c>
      <c r="BH44" t="n">
        <v>17306954.1028093</v>
      </c>
      <c r="BI44" t="n">
        <v>5626193.04199254</v>
      </c>
      <c r="BJ44" t="n">
        <v>10555670.5293683</v>
      </c>
      <c r="BK44" t="n">
        <v>1622476.00274705</v>
      </c>
      <c r="BL44" t="n">
        <v>5890375.88584501</v>
      </c>
      <c r="BM44" t="n">
        <v>6283390.8321596</v>
      </c>
      <c r="BN44" t="n">
        <v>40660978.0776017</v>
      </c>
      <c r="BO44" t="n">
        <v>30773402.8020895</v>
      </c>
      <c r="BP44" t="n">
        <v>183232330.493681</v>
      </c>
      <c r="BQ44" t="n">
        <v>28037339.7279876</v>
      </c>
      <c r="BR44" t="n">
        <v>37421457.7110306</v>
      </c>
      <c r="BS44" t="n">
        <v>85615689.6837521</v>
      </c>
      <c r="BT44" t="n">
        <v>13883673.6739763</v>
      </c>
      <c r="BU44" t="n">
        <v>1084926901.55436</v>
      </c>
      <c r="BV44" t="n">
        <v>108460.58280703</v>
      </c>
      <c r="BW44" t="n">
        <v>199686801.342856</v>
      </c>
      <c r="BX44" t="n">
        <v>7678631.72261904</v>
      </c>
      <c r="BY44" t="n">
        <v>8219572.04679752</v>
      </c>
      <c r="BZ44" t="n">
        <v>27458604.2139799</v>
      </c>
      <c r="CA44" t="n">
        <v>596153593.398843</v>
      </c>
      <c r="CB44" t="n">
        <v>96945428.3068603</v>
      </c>
      <c r="CC44" t="n">
        <v>0</v>
      </c>
      <c r="CD44" t="n">
        <v>0</v>
      </c>
      <c r="CE44" t="n">
        <v>7584356.3511186</v>
      </c>
      <c r="CF44" t="n">
        <v>340146.890898653</v>
      </c>
      <c r="CG44" t="n">
        <v>0</v>
      </c>
      <c r="CH44" t="n">
        <v>0</v>
      </c>
      <c r="CI44" t="n">
        <v>3305019.69090109</v>
      </c>
      <c r="CJ44" t="n">
        <v>422885.323819946</v>
      </c>
      <c r="CK44" t="n">
        <v>0</v>
      </c>
      <c r="CL44" t="n">
        <v>0</v>
      </c>
      <c r="CM44" t="n">
        <v>11900341.7711948</v>
      </c>
      <c r="CN44" t="n">
        <v>1094831.44294992</v>
      </c>
    </row>
    <row r="45">
      <c r="A45" t="s">
        <v>130</v>
      </c>
      <c r="B45" t="n">
        <v>0</v>
      </c>
      <c r="C45" t="n">
        <v>12288.0846637101</v>
      </c>
      <c r="D45" t="n">
        <v>358.230023896977</v>
      </c>
      <c r="E45" t="n">
        <v>123153.730501516</v>
      </c>
      <c r="F45" t="n">
        <v>228001.232643531</v>
      </c>
      <c r="G45" t="n">
        <v>26277474.9999359</v>
      </c>
      <c r="H45" t="n">
        <v>16150019.9903668</v>
      </c>
      <c r="I45" t="n">
        <v>2238018.6834004</v>
      </c>
      <c r="J45" t="n">
        <v>2440350.93295805</v>
      </c>
      <c r="K45" t="n">
        <v>743223.807203557</v>
      </c>
      <c r="L45" t="n">
        <v>2877609.75948743</v>
      </c>
      <c r="M45" t="n">
        <v>1605603.52886241</v>
      </c>
      <c r="N45" t="n">
        <v>215608.312653749</v>
      </c>
      <c r="O45" t="n">
        <v>244333.466515177</v>
      </c>
      <c r="P45" t="n">
        <v>1525440.32642056</v>
      </c>
      <c r="Q45" t="n">
        <v>1162867.23657053</v>
      </c>
      <c r="R45" t="n">
        <v>1258135.86115407</v>
      </c>
      <c r="S45" t="n">
        <v>812345.463145117</v>
      </c>
      <c r="T45" t="n">
        <v>13685315.2816881</v>
      </c>
      <c r="U45" t="n">
        <v>280339.371691302</v>
      </c>
      <c r="V45" t="n">
        <v>9408.46245476363</v>
      </c>
      <c r="W45" t="n">
        <v>1546460.23342211</v>
      </c>
      <c r="X45" t="n">
        <v>1401551.35868743</v>
      </c>
      <c r="Y45" t="n">
        <v>150633.043844307</v>
      </c>
      <c r="Z45" t="n">
        <v>890665.549558974</v>
      </c>
      <c r="AA45" t="n">
        <v>4158991.04967622</v>
      </c>
      <c r="AB45" t="n">
        <v>30076670.4297994</v>
      </c>
      <c r="AC45" t="n">
        <v>3389088.93570904</v>
      </c>
      <c r="AD45" t="n">
        <v>177376.647909993</v>
      </c>
      <c r="AE45" t="n">
        <v>914362.942997429</v>
      </c>
      <c r="AF45" t="n">
        <v>2865246.41783027</v>
      </c>
      <c r="AG45" t="n">
        <v>27551.5298476315</v>
      </c>
      <c r="AH45" t="n">
        <v>6950885.54973368</v>
      </c>
      <c r="AI45" t="n">
        <v>0</v>
      </c>
      <c r="AJ45" t="n">
        <v>0</v>
      </c>
      <c r="AK45" t="n">
        <v>0</v>
      </c>
      <c r="AL45" t="n">
        <v>13611.2467552494</v>
      </c>
      <c r="AM45" t="n">
        <v>3968910.44558477</v>
      </c>
      <c r="AN45" t="n">
        <v>137712.961700968</v>
      </c>
      <c r="AO45" t="n">
        <v>3645661.62338491</v>
      </c>
      <c r="AP45" t="n">
        <v>1394373.48241006</v>
      </c>
      <c r="AQ45" t="n">
        <v>11478355.9191258</v>
      </c>
      <c r="AR45" t="n">
        <v>33377375.7062521</v>
      </c>
      <c r="AS45" t="n">
        <v>119953400.199165</v>
      </c>
      <c r="AT45" t="n">
        <v>20841647.1347167</v>
      </c>
      <c r="AU45" t="n">
        <v>18715545.6867866</v>
      </c>
      <c r="AV45" t="n">
        <v>15125925.9259259</v>
      </c>
      <c r="AW45" t="n">
        <v>210614.499375278</v>
      </c>
      <c r="AX45" t="n">
        <v>126023115.301551</v>
      </c>
      <c r="AY45" t="n">
        <v>16361085.4832515</v>
      </c>
      <c r="AZ45" t="n">
        <v>13263920.6454793</v>
      </c>
      <c r="BA45" t="n">
        <v>183639824.007827</v>
      </c>
      <c r="BB45" t="n">
        <v>191130682.135655</v>
      </c>
      <c r="BC45" t="n">
        <v>8953096.29125553</v>
      </c>
      <c r="BD45" t="n">
        <v>113959911.656442</v>
      </c>
      <c r="BE45" t="n">
        <v>4678496.87957191</v>
      </c>
      <c r="BF45" t="n">
        <v>10610952.0162499</v>
      </c>
      <c r="BG45" t="n">
        <v>62158332.1952035</v>
      </c>
      <c r="BH45" t="n">
        <v>62912381.9937063</v>
      </c>
      <c r="BI45" t="n">
        <v>15470643.3471199</v>
      </c>
      <c r="BJ45" t="n">
        <v>6959606.27348472</v>
      </c>
      <c r="BK45" t="n">
        <v>40194202.506601</v>
      </c>
      <c r="BL45" t="n">
        <v>1549148.61241939</v>
      </c>
      <c r="BM45" t="n">
        <v>2549961.25443265</v>
      </c>
      <c r="BN45" t="n">
        <v>31657863.8138487</v>
      </c>
      <c r="BO45" t="n">
        <v>10751995.128321</v>
      </c>
      <c r="BP45" t="n">
        <v>3084071.14802943</v>
      </c>
      <c r="BQ45" t="n">
        <v>499523.434836014</v>
      </c>
      <c r="BR45" t="n">
        <v>1372743.43066297</v>
      </c>
      <c r="BS45" t="n">
        <v>486413718.127472</v>
      </c>
      <c r="BT45" t="n">
        <v>16283451.9859565</v>
      </c>
      <c r="BU45" t="n">
        <v>1435949118.45825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131</v>
      </c>
      <c r="B46" t="n">
        <v>643063.575973936</v>
      </c>
      <c r="C46" t="n">
        <v>16152.0048501242</v>
      </c>
      <c r="D46" t="n">
        <v>611947.163535698</v>
      </c>
      <c r="E46" t="n">
        <v>466210.768855482</v>
      </c>
      <c r="F46" t="n">
        <v>19211.2152475501</v>
      </c>
      <c r="G46" t="n">
        <v>47522436.7629472</v>
      </c>
      <c r="H46" t="n">
        <v>3343547.43171335</v>
      </c>
      <c r="I46" t="n">
        <v>119508.64522346</v>
      </c>
      <c r="J46" t="n">
        <v>61903.0938495966</v>
      </c>
      <c r="K46" t="n">
        <v>36778.4063372075</v>
      </c>
      <c r="L46" t="n">
        <v>76029.310869222</v>
      </c>
      <c r="M46" t="n">
        <v>48239.4667127552</v>
      </c>
      <c r="N46" t="n">
        <v>7085.12881994372</v>
      </c>
      <c r="O46" t="n">
        <v>32116.2772246821</v>
      </c>
      <c r="P46" t="n">
        <v>22638.3002218395</v>
      </c>
      <c r="Q46" t="n">
        <v>24134.5957989707</v>
      </c>
      <c r="R46" t="n">
        <v>34453.1190980515</v>
      </c>
      <c r="S46" t="n">
        <v>40338.4687481637</v>
      </c>
      <c r="T46" t="n">
        <v>855062.875057973</v>
      </c>
      <c r="U46" t="n">
        <v>65509.4284355156</v>
      </c>
      <c r="V46" t="n">
        <v>0</v>
      </c>
      <c r="W46" t="n">
        <v>161505.059320952</v>
      </c>
      <c r="X46" t="n">
        <v>43065.8514557067</v>
      </c>
      <c r="Y46" t="n">
        <v>15050546.5388088</v>
      </c>
      <c r="Z46" t="n">
        <v>788101.440149876</v>
      </c>
      <c r="AA46" t="n">
        <v>135820.192743869</v>
      </c>
      <c r="AB46" t="n">
        <v>463056.990113348</v>
      </c>
      <c r="AC46" t="n">
        <v>117812.07767258</v>
      </c>
      <c r="AD46" t="n">
        <v>69945.5258263809</v>
      </c>
      <c r="AE46" t="n">
        <v>41444.1140628002</v>
      </c>
      <c r="AF46" t="n">
        <v>171880.601143195</v>
      </c>
      <c r="AG46" t="n">
        <v>3990888.13601486</v>
      </c>
      <c r="AH46" t="n">
        <v>547029.289425502</v>
      </c>
      <c r="AI46" t="n">
        <v>735633.218561806</v>
      </c>
      <c r="AJ46" t="n">
        <v>1644377.01489336</v>
      </c>
      <c r="AK46" t="n">
        <v>207873.624718078</v>
      </c>
      <c r="AL46" t="n">
        <v>4472.80698383159</v>
      </c>
      <c r="AM46" t="n">
        <v>1224315.84872299</v>
      </c>
      <c r="AN46" t="n">
        <v>446506.232062119</v>
      </c>
      <c r="AO46" t="n">
        <v>30425.5221316214</v>
      </c>
      <c r="AP46" t="n">
        <v>4669.6216653563</v>
      </c>
      <c r="AQ46" t="n">
        <v>47230.9399880557</v>
      </c>
      <c r="AR46" t="n">
        <v>78940.5103158996</v>
      </c>
      <c r="AS46" t="n">
        <v>632047.57305036</v>
      </c>
      <c r="AT46" t="n">
        <v>195036.933108045</v>
      </c>
      <c r="AU46" t="n">
        <v>7897.44635783081</v>
      </c>
      <c r="AV46" t="n">
        <v>244703.87181314</v>
      </c>
      <c r="AW46" t="n">
        <v>36912.1416777831</v>
      </c>
      <c r="AX46" t="n">
        <v>467043.251170967</v>
      </c>
      <c r="AY46" t="n">
        <v>142507.903908361</v>
      </c>
      <c r="AZ46" t="n">
        <v>5381.07625104871</v>
      </c>
      <c r="BA46" t="n">
        <v>474465.55262652</v>
      </c>
      <c r="BB46" t="n">
        <v>314365.797985194</v>
      </c>
      <c r="BC46" t="n">
        <v>143189.023257285</v>
      </c>
      <c r="BD46" t="n">
        <v>1091718.80018371</v>
      </c>
      <c r="BE46" t="n">
        <v>133365.346691675</v>
      </c>
      <c r="BF46" t="n">
        <v>143460.073311832</v>
      </c>
      <c r="BG46" t="n">
        <v>130101.394265371</v>
      </c>
      <c r="BH46" t="n">
        <v>141275.41285761</v>
      </c>
      <c r="BI46" t="n">
        <v>89451.4728320714</v>
      </c>
      <c r="BJ46" t="n">
        <v>99195.3534856023</v>
      </c>
      <c r="BK46" t="n">
        <v>21355.314041807</v>
      </c>
      <c r="BL46" t="n">
        <v>71605.0924427761</v>
      </c>
      <c r="BM46" t="n">
        <v>85684.6641962667</v>
      </c>
      <c r="BN46" t="n">
        <v>455849.024504519</v>
      </c>
      <c r="BO46" t="n">
        <v>375280.407835127</v>
      </c>
      <c r="BP46" t="n">
        <v>3726688.22503237</v>
      </c>
      <c r="BQ46" t="n">
        <v>393957.487909394</v>
      </c>
      <c r="BR46" t="n">
        <v>8695465.43769692</v>
      </c>
      <c r="BS46" t="n">
        <v>10103054.3530945</v>
      </c>
      <c r="BT46" t="n">
        <v>27883904.1977819</v>
      </c>
      <c r="BU46" t="n">
        <v>22313885.2079053</v>
      </c>
      <c r="BV46" t="n">
        <v>0</v>
      </c>
      <c r="BW46" t="n">
        <v>0</v>
      </c>
      <c r="BX46" t="n">
        <v>0</v>
      </c>
      <c r="BY46" t="n">
        <v>0</v>
      </c>
      <c r="BZ46" t="n">
        <v>8694660.36437867</v>
      </c>
      <c r="CA46" t="n">
        <v>39713686.6567392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132</v>
      </c>
      <c r="B47" t="n">
        <v>0</v>
      </c>
      <c r="C47" t="n">
        <v>454659.132557274</v>
      </c>
      <c r="D47" t="n">
        <v>7522.83050183651</v>
      </c>
      <c r="E47" t="n">
        <v>13029664.6870604</v>
      </c>
      <c r="F47" t="n">
        <v>11692.3709047965</v>
      </c>
      <c r="G47" t="n">
        <v>213791738.141113</v>
      </c>
      <c r="H47" t="n">
        <v>0</v>
      </c>
      <c r="I47" t="n">
        <v>22799815.3371416</v>
      </c>
      <c r="J47" t="n">
        <v>17960126.603086</v>
      </c>
      <c r="K47" t="n">
        <v>1171670.47253267</v>
      </c>
      <c r="L47" t="n">
        <v>1286971.19896674</v>
      </c>
      <c r="M47" t="n">
        <v>217903.336059898</v>
      </c>
      <c r="N47" t="n">
        <v>0</v>
      </c>
      <c r="O47" t="n">
        <v>69809.561861479</v>
      </c>
      <c r="P47" t="n">
        <v>135321.319279244</v>
      </c>
      <c r="Q47" t="n">
        <v>0</v>
      </c>
      <c r="R47" t="n">
        <v>6290679.30577037</v>
      </c>
      <c r="S47" t="n">
        <v>1615664.86558862</v>
      </c>
      <c r="T47" t="n">
        <v>31175516.4264464</v>
      </c>
      <c r="U47" t="n">
        <v>1775482.68737824</v>
      </c>
      <c r="V47" t="n">
        <v>0</v>
      </c>
      <c r="W47" t="n">
        <v>11969178.518952</v>
      </c>
      <c r="X47" t="n">
        <v>6370687.99403378</v>
      </c>
      <c r="Y47" t="n">
        <v>2676247.07896718</v>
      </c>
      <c r="Z47" t="n">
        <v>1361342.46599258</v>
      </c>
      <c r="AA47" t="n">
        <v>13820249.7613464</v>
      </c>
      <c r="AB47" t="n">
        <v>1182441191.18565</v>
      </c>
      <c r="AC47" t="n">
        <v>53161080.9915352</v>
      </c>
      <c r="AD47" t="n">
        <v>47625629.963833</v>
      </c>
      <c r="AE47" t="n">
        <v>16143235.4074029</v>
      </c>
      <c r="AF47" t="n">
        <v>248430325.315096</v>
      </c>
      <c r="AG47" t="n">
        <v>776815384.053971</v>
      </c>
      <c r="AH47" t="n">
        <v>27648586.1516477</v>
      </c>
      <c r="AI47" t="n">
        <v>140905122.752755</v>
      </c>
      <c r="AJ47" t="n">
        <v>887996839.065719</v>
      </c>
      <c r="AK47" t="n">
        <v>19056546.3044759</v>
      </c>
      <c r="AL47" t="n">
        <v>3110169.88357449</v>
      </c>
      <c r="AM47" t="n">
        <v>660330343.094026</v>
      </c>
      <c r="AN47" t="n">
        <v>130368270.410249</v>
      </c>
      <c r="AO47" t="n">
        <v>18720183.0978574</v>
      </c>
      <c r="AP47" t="n">
        <v>9520817.66333493</v>
      </c>
      <c r="AQ47" t="n">
        <v>2515257.12314756</v>
      </c>
      <c r="AR47" t="n">
        <v>99208185.9227354</v>
      </c>
      <c r="AS47" t="n">
        <v>28747452.8063517</v>
      </c>
      <c r="AT47" t="n">
        <v>50745872.4868294</v>
      </c>
      <c r="AU47" t="n">
        <v>1021394.14663041</v>
      </c>
      <c r="AV47" t="n">
        <v>0</v>
      </c>
      <c r="AW47" t="n">
        <v>0</v>
      </c>
      <c r="AX47" t="n">
        <v>0</v>
      </c>
      <c r="AY47" t="n">
        <v>69961709.9128194</v>
      </c>
      <c r="AZ47" t="n">
        <v>13509548.8055807</v>
      </c>
      <c r="BA47" t="n">
        <v>73621370.8860207</v>
      </c>
      <c r="BB47" t="n">
        <v>353163262.507175</v>
      </c>
      <c r="BC47" t="n">
        <v>19335964.6138142</v>
      </c>
      <c r="BD47" t="n">
        <v>90137783.2310839</v>
      </c>
      <c r="BE47" t="n">
        <v>31903966.6727434</v>
      </c>
      <c r="BF47" t="n">
        <v>7680308.12604753</v>
      </c>
      <c r="BG47" t="n">
        <v>54339051.5528133</v>
      </c>
      <c r="BH47" t="n">
        <v>91857636.9787341</v>
      </c>
      <c r="BI47" t="n">
        <v>8393164.2792293</v>
      </c>
      <c r="BJ47" t="n">
        <v>27398209.0344715</v>
      </c>
      <c r="BK47" t="n">
        <v>9439301.39706353</v>
      </c>
      <c r="BL47" t="n">
        <v>10844040.2869357</v>
      </c>
      <c r="BM47" t="n">
        <v>2224026.35724953</v>
      </c>
      <c r="BN47" t="n">
        <v>23433755.2174498</v>
      </c>
      <c r="BO47" t="n">
        <v>33653137.2942929</v>
      </c>
      <c r="BP47" t="n">
        <v>216426.04547575</v>
      </c>
      <c r="BQ47" t="n">
        <v>18196925.1261691</v>
      </c>
      <c r="BR47" t="n">
        <v>84064192.9444083</v>
      </c>
      <c r="BS47" t="n">
        <v>23112472.6344668</v>
      </c>
      <c r="BT47" t="n">
        <v>52848955.1141842</v>
      </c>
      <c r="BU47" t="n">
        <v>463058274.540577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243116016.385518</v>
      </c>
      <c r="CB47" t="n">
        <v>78333536.0386513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133</v>
      </c>
      <c r="B48" t="n">
        <v>2948809.84144961</v>
      </c>
      <c r="C48" t="n">
        <v>0</v>
      </c>
      <c r="D48" t="n">
        <v>917.222771401603</v>
      </c>
      <c r="E48" t="n">
        <v>1545099.66354609</v>
      </c>
      <c r="F48" t="n">
        <v>0</v>
      </c>
      <c r="G48" t="n">
        <v>7269656.02763976</v>
      </c>
      <c r="H48" t="n">
        <v>0</v>
      </c>
      <c r="I48" t="n">
        <v>17578856.4637679</v>
      </c>
      <c r="J48" t="n">
        <v>15666542.2067665</v>
      </c>
      <c r="K48" t="n">
        <v>257460.953593913</v>
      </c>
      <c r="L48" t="n">
        <v>3677787.87636106</v>
      </c>
      <c r="M48" t="n">
        <v>2138716.94847473</v>
      </c>
      <c r="N48" t="n">
        <v>1671484.46339655</v>
      </c>
      <c r="O48" t="n">
        <v>625598.649898932</v>
      </c>
      <c r="P48" t="n">
        <v>472473.704879244</v>
      </c>
      <c r="Q48" t="n">
        <v>1083892.53722182</v>
      </c>
      <c r="R48" t="n">
        <v>1118530.6774381</v>
      </c>
      <c r="S48" t="n">
        <v>1806478.0476282</v>
      </c>
      <c r="T48" t="n">
        <v>97133351.3282629</v>
      </c>
      <c r="U48" t="n">
        <v>12122662.6651929</v>
      </c>
      <c r="V48" t="n">
        <v>566108.094367597</v>
      </c>
      <c r="W48" t="n">
        <v>23170003.45866</v>
      </c>
      <c r="X48" t="n">
        <v>5002254.16743109</v>
      </c>
      <c r="Y48" t="n">
        <v>1395966.55381114</v>
      </c>
      <c r="Z48" t="n">
        <v>8250540.49214074</v>
      </c>
      <c r="AA48" t="n">
        <v>34162156.8011462</v>
      </c>
      <c r="AB48" t="n">
        <v>224893046.52279</v>
      </c>
      <c r="AC48" t="n">
        <v>86548139.9327247</v>
      </c>
      <c r="AD48" t="n">
        <v>76954961.2230579</v>
      </c>
      <c r="AE48" t="n">
        <v>54546383.1823024</v>
      </c>
      <c r="AF48" t="n">
        <v>193992427.610575</v>
      </c>
      <c r="AG48" t="n">
        <v>1810623.01087852</v>
      </c>
      <c r="AH48" t="n">
        <v>9446.52515455283</v>
      </c>
      <c r="AI48" t="n">
        <v>13573752.817341</v>
      </c>
      <c r="AJ48" t="n">
        <v>48625263.1464936</v>
      </c>
      <c r="AK48" t="n">
        <v>1822143.21194668</v>
      </c>
      <c r="AL48" t="n">
        <v>856744.891151292</v>
      </c>
      <c r="AM48" t="n">
        <v>10641830.475724</v>
      </c>
      <c r="AN48" t="n">
        <v>67660856.7581612</v>
      </c>
      <c r="AO48" t="n">
        <v>2642294.25566292</v>
      </c>
      <c r="AP48" t="n">
        <v>1080154.59711485</v>
      </c>
      <c r="AQ48" t="n">
        <v>3228588.14837807</v>
      </c>
      <c r="AR48" t="n">
        <v>13563268.8345192</v>
      </c>
      <c r="AS48" t="n">
        <v>0</v>
      </c>
      <c r="AT48" t="n">
        <v>0</v>
      </c>
      <c r="AU48" t="n">
        <v>115376.816821204</v>
      </c>
      <c r="AV48" t="n">
        <v>0</v>
      </c>
      <c r="AW48" t="n">
        <v>14979.5446382665</v>
      </c>
      <c r="AX48" t="n">
        <v>3081226.95054224</v>
      </c>
      <c r="AY48" t="n">
        <v>5033137.7353892</v>
      </c>
      <c r="AZ48" t="n">
        <v>1554814.23150657</v>
      </c>
      <c r="BA48" t="n">
        <v>7990650.78525124</v>
      </c>
      <c r="BB48" t="n">
        <v>21602654.258891</v>
      </c>
      <c r="BC48" t="n">
        <v>159798.164974236</v>
      </c>
      <c r="BD48" t="n">
        <v>179618942.505848</v>
      </c>
      <c r="BE48" t="n">
        <v>2581811.10527701</v>
      </c>
      <c r="BF48" t="n">
        <v>1604240.91016552</v>
      </c>
      <c r="BG48" t="n">
        <v>7465531.42083752</v>
      </c>
      <c r="BH48" t="n">
        <v>12114812.8977341</v>
      </c>
      <c r="BI48" t="n">
        <v>1732760.84751283</v>
      </c>
      <c r="BJ48" t="n">
        <v>2245338.92062271</v>
      </c>
      <c r="BK48" t="n">
        <v>1747132.56038001</v>
      </c>
      <c r="BL48" t="n">
        <v>900813.676053913</v>
      </c>
      <c r="BM48" t="n">
        <v>4810839.4369213</v>
      </c>
      <c r="BN48" t="n">
        <v>10866894.8086922</v>
      </c>
      <c r="BO48" t="n">
        <v>9228420.73498522</v>
      </c>
      <c r="BP48" t="n">
        <v>10066943.1906742</v>
      </c>
      <c r="BQ48" t="n">
        <v>39009335.5688945</v>
      </c>
      <c r="BR48" t="n">
        <v>0</v>
      </c>
      <c r="BS48" t="n">
        <v>71123915.7585216</v>
      </c>
      <c r="BT48" t="n">
        <v>760664.410948055</v>
      </c>
      <c r="BU48" t="n">
        <v>3410264.51850843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3838785.32130462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134</v>
      </c>
      <c r="B49" t="n">
        <v>226657.45362627</v>
      </c>
      <c r="C49" t="n">
        <v>0</v>
      </c>
      <c r="D49" t="n">
        <v>2869.74357572952</v>
      </c>
      <c r="E49" t="n">
        <v>7507.98290824111</v>
      </c>
      <c r="F49" t="n">
        <v>5916.65505898205</v>
      </c>
      <c r="G49" t="n">
        <v>2404279.3173424</v>
      </c>
      <c r="H49" t="n">
        <v>7317642.76744637</v>
      </c>
      <c r="I49" t="n">
        <v>248155.413177149</v>
      </c>
      <c r="J49" t="n">
        <v>6525.1896816446</v>
      </c>
      <c r="K49" t="n">
        <v>43392.733073984</v>
      </c>
      <c r="L49" t="n">
        <v>407296.595762434</v>
      </c>
      <c r="M49" t="n">
        <v>152284.595296338</v>
      </c>
      <c r="N49" t="n">
        <v>132980.975274725</v>
      </c>
      <c r="O49" t="n">
        <v>10639.7304237839</v>
      </c>
      <c r="P49" t="n">
        <v>117299.031614768</v>
      </c>
      <c r="Q49" t="n">
        <v>1488066.27911037</v>
      </c>
      <c r="R49" t="n">
        <v>90128.9903211497</v>
      </c>
      <c r="S49" t="n">
        <v>92338.2493350824</v>
      </c>
      <c r="T49" t="n">
        <v>211022.199746405</v>
      </c>
      <c r="U49" t="n">
        <v>0</v>
      </c>
      <c r="V49" t="n">
        <v>0</v>
      </c>
      <c r="W49" t="n">
        <v>45202.2074944033</v>
      </c>
      <c r="X49" t="n">
        <v>258338.008088294</v>
      </c>
      <c r="Y49" t="n">
        <v>10163.2510995772</v>
      </c>
      <c r="Z49" t="n">
        <v>87322.2414637376</v>
      </c>
      <c r="AA49" t="n">
        <v>62993.799608467</v>
      </c>
      <c r="AB49" t="n">
        <v>22231396.1229213</v>
      </c>
      <c r="AC49" t="n">
        <v>4004333.24324011</v>
      </c>
      <c r="AD49" t="n">
        <v>782563.939999204</v>
      </c>
      <c r="AE49" t="n">
        <v>2411661.38340973</v>
      </c>
      <c r="AF49" t="n">
        <v>5226635.42214596</v>
      </c>
      <c r="AG49" t="n">
        <v>178720.94462263</v>
      </c>
      <c r="AH49" t="n">
        <v>506904.128549256</v>
      </c>
      <c r="AI49" t="n">
        <v>0</v>
      </c>
      <c r="AJ49" t="n">
        <v>223516.572054695</v>
      </c>
      <c r="AK49" t="n">
        <v>117047.571264012</v>
      </c>
      <c r="AL49" t="n">
        <v>0</v>
      </c>
      <c r="AM49" t="n">
        <v>3226146.2881344</v>
      </c>
      <c r="AN49" t="n">
        <v>1007219.08328495</v>
      </c>
      <c r="AO49" t="n">
        <v>150073488.618498</v>
      </c>
      <c r="AP49" t="n">
        <v>202614.035929844</v>
      </c>
      <c r="AQ49" t="n">
        <v>3922002.53140269</v>
      </c>
      <c r="AR49" t="n">
        <v>20623526.7418774</v>
      </c>
      <c r="AS49" t="n">
        <v>5666706.39565279</v>
      </c>
      <c r="AT49" t="n">
        <v>3809258.13779532</v>
      </c>
      <c r="AU49" t="n">
        <v>2965536.52234333</v>
      </c>
      <c r="AV49" t="n">
        <v>1598185.64355101</v>
      </c>
      <c r="AW49" t="n">
        <v>0</v>
      </c>
      <c r="AX49" t="n">
        <v>4630744.28736334</v>
      </c>
      <c r="AY49" t="n">
        <v>3805758.11622861</v>
      </c>
      <c r="AZ49" t="n">
        <v>8039588.42071828</v>
      </c>
      <c r="BA49" t="n">
        <v>26624898.9022786</v>
      </c>
      <c r="BB49" t="n">
        <v>62214375.0196612</v>
      </c>
      <c r="BC49" t="n">
        <v>5968455.8237418</v>
      </c>
      <c r="BD49" t="n">
        <v>28591193.3831627</v>
      </c>
      <c r="BE49" t="n">
        <v>175034.3657101</v>
      </c>
      <c r="BF49" t="n">
        <v>4602783.85932781</v>
      </c>
      <c r="BG49" t="n">
        <v>14566712.9028338</v>
      </c>
      <c r="BH49" t="n">
        <v>12169536.9599299</v>
      </c>
      <c r="BI49" t="n">
        <v>981632.006942626</v>
      </c>
      <c r="BJ49" t="n">
        <v>7551460.58334954</v>
      </c>
      <c r="BK49" t="n">
        <v>301308.682577823</v>
      </c>
      <c r="BL49" t="n">
        <v>420957.597633516</v>
      </c>
      <c r="BM49" t="n">
        <v>888114.763210088</v>
      </c>
      <c r="BN49" t="n">
        <v>1404190.18027294</v>
      </c>
      <c r="BO49" t="n">
        <v>5631457.35383958</v>
      </c>
      <c r="BP49" t="n">
        <v>1097782.95519932</v>
      </c>
      <c r="BQ49" t="n">
        <v>26739462.3611395</v>
      </c>
      <c r="BR49" t="n">
        <v>754028.63043263</v>
      </c>
      <c r="BS49" t="n">
        <v>87756080.001354</v>
      </c>
      <c r="BT49" t="n">
        <v>1714878.97342875</v>
      </c>
      <c r="BU49" t="n">
        <v>1019230435.56064</v>
      </c>
      <c r="BV49" t="n">
        <v>0</v>
      </c>
      <c r="BW49" t="n">
        <v>0</v>
      </c>
      <c r="BX49" t="n">
        <v>675485359.724689</v>
      </c>
      <c r="BY49" t="n">
        <v>0</v>
      </c>
      <c r="BZ49" t="n">
        <v>5555263.05254025</v>
      </c>
      <c r="CA49" t="n">
        <v>712229327.637541</v>
      </c>
      <c r="CB49" t="n">
        <v>-130533131.068102</v>
      </c>
      <c r="CC49" t="n">
        <v>0</v>
      </c>
      <c r="CD49" t="n">
        <v>0</v>
      </c>
      <c r="CE49" t="n">
        <v>0</v>
      </c>
      <c r="CF49" t="n">
        <v>43154911.4669077</v>
      </c>
      <c r="CG49" t="n">
        <v>0</v>
      </c>
      <c r="CH49" t="n">
        <v>0</v>
      </c>
      <c r="CI49" t="n">
        <v>0</v>
      </c>
      <c r="CJ49" t="n">
        <v>36231242.0381022</v>
      </c>
      <c r="CK49" t="n">
        <v>0</v>
      </c>
      <c r="CL49" t="n">
        <v>0</v>
      </c>
      <c r="CM49" t="n">
        <v>0</v>
      </c>
      <c r="CN49" t="n">
        <v>78264609.6207857</v>
      </c>
    </row>
    <row r="50">
      <c r="A50" t="s">
        <v>135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215182.594600834</v>
      </c>
      <c r="AC50" t="n">
        <v>1557343.60873517</v>
      </c>
      <c r="AD50" t="n">
        <v>1399401.55864733</v>
      </c>
      <c r="AE50" t="n">
        <v>0</v>
      </c>
      <c r="AF50" t="n">
        <v>416333.494874606</v>
      </c>
      <c r="AG50" t="n">
        <v>57758.0148661719</v>
      </c>
      <c r="AH50" t="n">
        <v>0</v>
      </c>
      <c r="AI50" t="n">
        <v>0</v>
      </c>
      <c r="AJ50" t="n">
        <v>5662.90779031495</v>
      </c>
      <c r="AK50" t="n">
        <v>0</v>
      </c>
      <c r="AL50" t="n">
        <v>31526.8219721927</v>
      </c>
      <c r="AM50" t="n">
        <v>69653.3044861664</v>
      </c>
      <c r="AN50" t="n">
        <v>0</v>
      </c>
      <c r="AO50" t="n">
        <v>492393.460025766</v>
      </c>
      <c r="AP50" t="n">
        <v>84171529.1964009</v>
      </c>
      <c r="AQ50" t="n">
        <v>220609542.097392</v>
      </c>
      <c r="AR50" t="n">
        <v>1326899.31494492</v>
      </c>
      <c r="AS50" t="n">
        <v>243566.315560644</v>
      </c>
      <c r="AT50" t="n">
        <v>76457.7956770067</v>
      </c>
      <c r="AU50" t="n">
        <v>0</v>
      </c>
      <c r="AV50" t="n">
        <v>0</v>
      </c>
      <c r="AW50" t="n">
        <v>0</v>
      </c>
      <c r="AX50" t="n">
        <v>252531.328477576</v>
      </c>
      <c r="AY50" t="n">
        <v>1639500.36552216</v>
      </c>
      <c r="AZ50" t="n">
        <v>42910.4874912255</v>
      </c>
      <c r="BA50" t="n">
        <v>696728.35684552</v>
      </c>
      <c r="BB50" t="n">
        <v>22563482.4511234</v>
      </c>
      <c r="BC50" t="n">
        <v>2065467.40349906</v>
      </c>
      <c r="BD50" t="n">
        <v>431289.956653542</v>
      </c>
      <c r="BE50" t="n">
        <v>0</v>
      </c>
      <c r="BF50" t="n">
        <v>3710585.9143555</v>
      </c>
      <c r="BG50" t="n">
        <v>292756.988195049</v>
      </c>
      <c r="BH50" t="n">
        <v>80597.3367978998</v>
      </c>
      <c r="BI50" t="n">
        <v>5366009.36989293</v>
      </c>
      <c r="BJ50" t="n">
        <v>6266002.10808287</v>
      </c>
      <c r="BK50" t="n">
        <v>1247645.040014</v>
      </c>
      <c r="BL50" t="n">
        <v>291245.209281381</v>
      </c>
      <c r="BM50" t="n">
        <v>4985553.52641726</v>
      </c>
      <c r="BN50" t="n">
        <v>20974889.5634259</v>
      </c>
      <c r="BO50" t="n">
        <v>1950418.79473374</v>
      </c>
      <c r="BP50" t="n">
        <v>385912.877097374</v>
      </c>
      <c r="BQ50" t="n">
        <v>12026223.0750301</v>
      </c>
      <c r="BR50" t="n">
        <v>679664.840767558</v>
      </c>
      <c r="BS50" t="n">
        <v>3064369.64839985</v>
      </c>
      <c r="BT50" t="n">
        <v>0</v>
      </c>
      <c r="BU50" t="n">
        <v>140873066.119915</v>
      </c>
      <c r="BV50" t="n">
        <v>0</v>
      </c>
      <c r="BW50" t="n">
        <v>0</v>
      </c>
      <c r="BX50" t="n">
        <v>59244855.5321827</v>
      </c>
      <c r="BY50" t="n">
        <v>0</v>
      </c>
      <c r="BZ50" t="n">
        <v>-820273.584594719</v>
      </c>
      <c r="CA50" t="n">
        <v>181794259.935234</v>
      </c>
      <c r="CB50" t="n">
        <v>-214321640.616408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136</v>
      </c>
      <c r="B51" t="n">
        <v>5473454.22816045</v>
      </c>
      <c r="C51" t="n">
        <v>62376.6414713914</v>
      </c>
      <c r="D51" t="n">
        <v>123654.147379148</v>
      </c>
      <c r="E51" t="n">
        <v>2804251.57416093</v>
      </c>
      <c r="F51" t="n">
        <v>737669.094690033</v>
      </c>
      <c r="G51" t="n">
        <v>25981938.9940708</v>
      </c>
      <c r="H51" t="n">
        <v>115127855.351029</v>
      </c>
      <c r="I51" t="n">
        <v>9686945.34055794</v>
      </c>
      <c r="J51" t="n">
        <v>13526775.0689041</v>
      </c>
      <c r="K51" t="n">
        <v>1927587.15263328</v>
      </c>
      <c r="L51" t="n">
        <v>12409161.2280773</v>
      </c>
      <c r="M51" t="n">
        <v>9209717.50903183</v>
      </c>
      <c r="N51" t="n">
        <v>2162878.35917244</v>
      </c>
      <c r="O51" t="n">
        <v>1835112.42495809</v>
      </c>
      <c r="P51" t="n">
        <v>4317761.52582287</v>
      </c>
      <c r="Q51" t="n">
        <v>13936250.1835949</v>
      </c>
      <c r="R51" t="n">
        <v>3820516.80161454</v>
      </c>
      <c r="S51" t="n">
        <v>3089441.67750938</v>
      </c>
      <c r="T51" t="n">
        <v>66370901.4656046</v>
      </c>
      <c r="U51" t="n">
        <v>2123289.40317349</v>
      </c>
      <c r="V51" t="n">
        <v>115986.469724578</v>
      </c>
      <c r="W51" t="n">
        <v>5346073.10338306</v>
      </c>
      <c r="X51" t="n">
        <v>5913383.67568032</v>
      </c>
      <c r="Y51" t="n">
        <v>229392.544731633</v>
      </c>
      <c r="Z51" t="n">
        <v>2909102.74519965</v>
      </c>
      <c r="AA51" t="n">
        <v>8579605.91990022</v>
      </c>
      <c r="AB51" t="n">
        <v>164964094.345236</v>
      </c>
      <c r="AC51" t="n">
        <v>38124277.3596401</v>
      </c>
      <c r="AD51" t="n">
        <v>16593037.9348156</v>
      </c>
      <c r="AE51" t="n">
        <v>10060349.0217938</v>
      </c>
      <c r="AF51" t="n">
        <v>84190657.4960144</v>
      </c>
      <c r="AG51" t="n">
        <v>39167469.1568306</v>
      </c>
      <c r="AH51" t="n">
        <v>1669489.07488117</v>
      </c>
      <c r="AI51" t="n">
        <v>6498636.97939858</v>
      </c>
      <c r="AJ51" t="n">
        <v>20582231.8780226</v>
      </c>
      <c r="AK51" t="n">
        <v>18227385.0088939</v>
      </c>
      <c r="AL51" t="n">
        <v>4168739.49156943</v>
      </c>
      <c r="AM51" t="n">
        <v>21544415.5600837</v>
      </c>
      <c r="AN51" t="n">
        <v>5892052.15704204</v>
      </c>
      <c r="AO51" t="n">
        <v>23720078.9751702</v>
      </c>
      <c r="AP51" t="n">
        <v>6925972.47421931</v>
      </c>
      <c r="AQ51" t="n">
        <v>1359480952.43605</v>
      </c>
      <c r="AR51" t="n">
        <v>264027784.642139</v>
      </c>
      <c r="AS51" t="n">
        <v>168157042.23916</v>
      </c>
      <c r="AT51" t="n">
        <v>38366860.7367517</v>
      </c>
      <c r="AU51" t="n">
        <v>35160717.6367268</v>
      </c>
      <c r="AV51" t="n">
        <v>48305197.3167776</v>
      </c>
      <c r="AW51" t="n">
        <v>330917.793992056</v>
      </c>
      <c r="AX51" t="n">
        <v>147208677.445568</v>
      </c>
      <c r="AY51" t="n">
        <v>25706560.2391692</v>
      </c>
      <c r="AZ51" t="n">
        <v>51967134.7530938</v>
      </c>
      <c r="BA51" t="n">
        <v>133027135.447893</v>
      </c>
      <c r="BB51" t="n">
        <v>297893817.416841</v>
      </c>
      <c r="BC51" t="n">
        <v>48558092.6376342</v>
      </c>
      <c r="BD51" t="n">
        <v>307771085.350859</v>
      </c>
      <c r="BE51" t="n">
        <v>14919726.7320309</v>
      </c>
      <c r="BF51" t="n">
        <v>32186009.5257485</v>
      </c>
      <c r="BG51" t="n">
        <v>105714955.66568</v>
      </c>
      <c r="BH51" t="n">
        <v>37174726.3092895</v>
      </c>
      <c r="BI51" t="n">
        <v>21615192.9811126</v>
      </c>
      <c r="BJ51" t="n">
        <v>12085189.6023241</v>
      </c>
      <c r="BK51" t="n">
        <v>9955433.65295277</v>
      </c>
      <c r="BL51" t="n">
        <v>17529914.0570783</v>
      </c>
      <c r="BM51" t="n">
        <v>57351614.2072397</v>
      </c>
      <c r="BN51" t="n">
        <v>103584240.860081</v>
      </c>
      <c r="BO51" t="n">
        <v>126632880.781893</v>
      </c>
      <c r="BP51" t="n">
        <v>261133191.420537</v>
      </c>
      <c r="BQ51" t="n">
        <v>473518184.741733</v>
      </c>
      <c r="BR51" t="n">
        <v>96910590.6018709</v>
      </c>
      <c r="BS51" t="n">
        <v>1469499011.84533</v>
      </c>
      <c r="BT51" t="n">
        <v>21850875.1824487</v>
      </c>
      <c r="BU51" t="n">
        <v>7670500977.8387</v>
      </c>
      <c r="BV51" t="n">
        <v>0</v>
      </c>
      <c r="BW51" t="n">
        <v>105787259.648621</v>
      </c>
      <c r="BX51" t="n">
        <v>471101099.166717</v>
      </c>
      <c r="BY51" t="n">
        <v>0</v>
      </c>
      <c r="BZ51" t="n">
        <v>0</v>
      </c>
      <c r="CA51" t="n">
        <v>215581600.737012</v>
      </c>
      <c r="CB51" t="n">
        <v>-4262275.69926664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137</v>
      </c>
      <c r="B52" t="n">
        <v>0</v>
      </c>
      <c r="C52" t="n">
        <v>0</v>
      </c>
      <c r="D52" t="n">
        <v>14738.1148495163</v>
      </c>
      <c r="E52" t="n">
        <v>194874.125046248</v>
      </c>
      <c r="F52" t="n">
        <v>33534.1424873904</v>
      </c>
      <c r="G52" t="n">
        <v>98406600.7791276</v>
      </c>
      <c r="H52" t="n">
        <v>42239802.2324878</v>
      </c>
      <c r="I52" t="n">
        <v>16773437.5403168</v>
      </c>
      <c r="J52" t="n">
        <v>18452804.6682709</v>
      </c>
      <c r="K52" t="n">
        <v>4609179.27802123</v>
      </c>
      <c r="L52" t="n">
        <v>21506274.3360318</v>
      </c>
      <c r="M52" t="n">
        <v>16730108.8559205</v>
      </c>
      <c r="N52" t="n">
        <v>1485515.39202075</v>
      </c>
      <c r="O52" t="n">
        <v>5582086.04446015</v>
      </c>
      <c r="P52" t="n">
        <v>5384960.31475236</v>
      </c>
      <c r="Q52" t="n">
        <v>31608893.5314296</v>
      </c>
      <c r="R52" t="n">
        <v>10021836.1298427</v>
      </c>
      <c r="S52" t="n">
        <v>5322123.69063344</v>
      </c>
      <c r="T52" t="n">
        <v>84134271.2472056</v>
      </c>
      <c r="U52" t="n">
        <v>3006616.4393478</v>
      </c>
      <c r="V52" t="n">
        <v>148876.195746256</v>
      </c>
      <c r="W52" t="n">
        <v>13614123.1918488</v>
      </c>
      <c r="X52" t="n">
        <v>4291520.25370294</v>
      </c>
      <c r="Y52" t="n">
        <v>526370.433062827</v>
      </c>
      <c r="Z52" t="n">
        <v>3450428.30897547</v>
      </c>
      <c r="AA52" t="n">
        <v>9217544.91379839</v>
      </c>
      <c r="AB52" t="n">
        <v>63526911.7011223</v>
      </c>
      <c r="AC52" t="n">
        <v>104496258.857842</v>
      </c>
      <c r="AD52" t="n">
        <v>36530905.3372832</v>
      </c>
      <c r="AE52" t="n">
        <v>33069117.4028873</v>
      </c>
      <c r="AF52" t="n">
        <v>152260419.073924</v>
      </c>
      <c r="AG52" t="n">
        <v>17973293.463762</v>
      </c>
      <c r="AH52" t="n">
        <v>0</v>
      </c>
      <c r="AI52" t="n">
        <v>0</v>
      </c>
      <c r="AJ52" t="n">
        <v>2621239.29991625</v>
      </c>
      <c r="AK52" t="n">
        <v>3469182.40302713</v>
      </c>
      <c r="AL52" t="n">
        <v>282685.690984247</v>
      </c>
      <c r="AM52" t="n">
        <v>16663677.4340742</v>
      </c>
      <c r="AN52" t="n">
        <v>4072486.08870972</v>
      </c>
      <c r="AO52" t="n">
        <v>44471871.9493747</v>
      </c>
      <c r="AP52" t="n">
        <v>1660173.58329268</v>
      </c>
      <c r="AQ52" t="n">
        <v>60580454.0008782</v>
      </c>
      <c r="AR52" t="n">
        <v>314452952.106585</v>
      </c>
      <c r="AS52" t="n">
        <v>422802922.47253</v>
      </c>
      <c r="AT52" t="n">
        <v>42487245.1660034</v>
      </c>
      <c r="AU52" t="n">
        <v>30809663.5835731</v>
      </c>
      <c r="AV52" t="n">
        <v>147623118.660356</v>
      </c>
      <c r="AW52" t="n">
        <v>27772.4137416647</v>
      </c>
      <c r="AX52" t="n">
        <v>19434093.4893084</v>
      </c>
      <c r="AY52" t="n">
        <v>16413434.4179632</v>
      </c>
      <c r="AZ52" t="n">
        <v>70367211.1048535</v>
      </c>
      <c r="BA52" t="n">
        <v>265534351.694103</v>
      </c>
      <c r="BB52" t="n">
        <v>572471646.628713</v>
      </c>
      <c r="BC52" t="n">
        <v>44067842.9194294</v>
      </c>
      <c r="BD52" t="n">
        <v>935483100.873826</v>
      </c>
      <c r="BE52" t="n">
        <v>25759887.1672965</v>
      </c>
      <c r="BF52" t="n">
        <v>80427150.4582378</v>
      </c>
      <c r="BG52" t="n">
        <v>40588436.8094216</v>
      </c>
      <c r="BH52" t="n">
        <v>54907661.6359932</v>
      </c>
      <c r="BI52" t="n">
        <v>6582944.90569365</v>
      </c>
      <c r="BJ52" t="n">
        <v>15052541.4282264</v>
      </c>
      <c r="BK52" t="n">
        <v>15439158.9473475</v>
      </c>
      <c r="BL52" t="n">
        <v>19959430.6612377</v>
      </c>
      <c r="BM52" t="n">
        <v>16558292.4295966</v>
      </c>
      <c r="BN52" t="n">
        <v>226513436.358184</v>
      </c>
      <c r="BO52" t="n">
        <v>188832554.360536</v>
      </c>
      <c r="BP52" t="n">
        <v>77322761.0214536</v>
      </c>
      <c r="BQ52" t="n">
        <v>254411282.550803</v>
      </c>
      <c r="BR52" t="n">
        <v>29686471.6124471</v>
      </c>
      <c r="BS52" t="n">
        <v>743030289.256034</v>
      </c>
      <c r="BT52" t="n">
        <v>38122103.6983469</v>
      </c>
      <c r="BU52" t="n">
        <v>1640532579.86815</v>
      </c>
      <c r="BV52" t="n">
        <v>0</v>
      </c>
      <c r="BW52" t="n">
        <v>0</v>
      </c>
      <c r="BX52" t="n">
        <v>984540606.070186</v>
      </c>
      <c r="BY52" t="n">
        <v>0</v>
      </c>
      <c r="BZ52" t="n">
        <v>0</v>
      </c>
      <c r="CA52" t="n">
        <v>187850687.173621</v>
      </c>
      <c r="CB52" t="n">
        <v>-37927142.9950957</v>
      </c>
      <c r="CC52" t="n">
        <v>0</v>
      </c>
      <c r="CD52" t="n">
        <v>0</v>
      </c>
      <c r="CE52" t="n">
        <v>0</v>
      </c>
      <c r="CF52" t="n">
        <v>1150432255.34178</v>
      </c>
      <c r="CG52" t="n">
        <v>0</v>
      </c>
      <c r="CH52" t="n">
        <v>0</v>
      </c>
      <c r="CI52" t="n">
        <v>0</v>
      </c>
      <c r="CJ52" t="n">
        <v>468935422.586666</v>
      </c>
      <c r="CK52" t="n">
        <v>0</v>
      </c>
      <c r="CL52" t="n">
        <v>0</v>
      </c>
      <c r="CM52" t="n">
        <v>0</v>
      </c>
      <c r="CN52" t="n">
        <v>119356311.815761</v>
      </c>
    </row>
    <row r="53">
      <c r="A53" t="s">
        <v>138</v>
      </c>
      <c r="B53" t="n">
        <v>7415912.85018552</v>
      </c>
      <c r="C53" t="n">
        <v>936040.545690661</v>
      </c>
      <c r="D53" t="n">
        <v>184068.628001099</v>
      </c>
      <c r="E53" t="n">
        <v>4047923.09480856</v>
      </c>
      <c r="F53" t="n">
        <v>236688.812330937</v>
      </c>
      <c r="G53" t="n">
        <v>35657471.4588654</v>
      </c>
      <c r="H53" t="n">
        <v>47682347.4833967</v>
      </c>
      <c r="I53" t="n">
        <v>5453327.87218447</v>
      </c>
      <c r="J53" t="n">
        <v>4870488.38084241</v>
      </c>
      <c r="K53" t="n">
        <v>2185214.55345429</v>
      </c>
      <c r="L53" t="n">
        <v>6282354.3755408</v>
      </c>
      <c r="M53" t="n">
        <v>5791990.54892894</v>
      </c>
      <c r="N53" t="n">
        <v>6423003.22597506</v>
      </c>
      <c r="O53" t="n">
        <v>4434917.53105482</v>
      </c>
      <c r="P53" t="n">
        <v>9019178.03392341</v>
      </c>
      <c r="Q53" t="n">
        <v>5488122.62028751</v>
      </c>
      <c r="R53" t="n">
        <v>2882248.12499913</v>
      </c>
      <c r="S53" t="n">
        <v>3177917.42830774</v>
      </c>
      <c r="T53" t="n">
        <v>59520176.7609195</v>
      </c>
      <c r="U53" t="n">
        <v>2690355.21765226</v>
      </c>
      <c r="V53" t="n">
        <v>876579.94698344</v>
      </c>
      <c r="W53" t="n">
        <v>4917361.28048499</v>
      </c>
      <c r="X53" t="n">
        <v>2456435.84304034</v>
      </c>
      <c r="Y53" t="n">
        <v>819670.916509319</v>
      </c>
      <c r="Z53" t="n">
        <v>7345901.52023704</v>
      </c>
      <c r="AA53" t="n">
        <v>10432721.7881109</v>
      </c>
      <c r="AB53" t="n">
        <v>151531221.010491</v>
      </c>
      <c r="AC53" t="n">
        <v>25871499.9136956</v>
      </c>
      <c r="AD53" t="n">
        <v>15769237.9764821</v>
      </c>
      <c r="AE53" t="n">
        <v>18444801.3422148</v>
      </c>
      <c r="AF53" t="n">
        <v>45093733.2212519</v>
      </c>
      <c r="AG53" t="n">
        <v>9810547.1634947</v>
      </c>
      <c r="AH53" t="n">
        <v>30050880.3548393</v>
      </c>
      <c r="AI53" t="n">
        <v>6295679.13304791</v>
      </c>
      <c r="AJ53" t="n">
        <v>7673349.05031006</v>
      </c>
      <c r="AK53" t="n">
        <v>18192945.4800623</v>
      </c>
      <c r="AL53" t="n">
        <v>2828161.84039006</v>
      </c>
      <c r="AM53" t="n">
        <v>10540421.20208</v>
      </c>
      <c r="AN53" t="n">
        <v>1752945.22500629</v>
      </c>
      <c r="AO53" t="n">
        <v>15552553.1120973</v>
      </c>
      <c r="AP53" t="n">
        <v>2684811.23009448</v>
      </c>
      <c r="AQ53" t="n">
        <v>73920016.4055051</v>
      </c>
      <c r="AR53" t="n">
        <v>19008367.4211225</v>
      </c>
      <c r="AS53" t="n">
        <v>495196403.43956</v>
      </c>
      <c r="AT53" t="n">
        <v>143586581.827833</v>
      </c>
      <c r="AU53" t="n">
        <v>2084151.53714544</v>
      </c>
      <c r="AV53" t="n">
        <v>40930947.7115864</v>
      </c>
      <c r="AW53" t="n">
        <v>918334297.374673</v>
      </c>
      <c r="AX53" t="n">
        <v>200242242.61985</v>
      </c>
      <c r="AY53" t="n">
        <v>46080733.8386084</v>
      </c>
      <c r="AZ53" t="n">
        <v>9277448.37325375</v>
      </c>
      <c r="BA53" t="n">
        <v>56396060.5253711</v>
      </c>
      <c r="BB53" t="n">
        <v>126728597.120444</v>
      </c>
      <c r="BC53" t="n">
        <v>205836019.202279</v>
      </c>
      <c r="BD53" t="n">
        <v>52294031.1723124</v>
      </c>
      <c r="BE53" t="n">
        <v>4323821.34005215</v>
      </c>
      <c r="BF53" t="n">
        <v>8833293.65660995</v>
      </c>
      <c r="BG53" t="n">
        <v>31305942.619145</v>
      </c>
      <c r="BH53" t="n">
        <v>26756663.661496</v>
      </c>
      <c r="BI53" t="n">
        <v>5678164.80471781</v>
      </c>
      <c r="BJ53" t="n">
        <v>5318505.89294961</v>
      </c>
      <c r="BK53" t="n">
        <v>3797182.8622343</v>
      </c>
      <c r="BL53" t="n">
        <v>7338064.53684026</v>
      </c>
      <c r="BM53" t="n">
        <v>25395073.1447946</v>
      </c>
      <c r="BN53" t="n">
        <v>44171881.6092162</v>
      </c>
      <c r="BO53" t="n">
        <v>69656936.8929053</v>
      </c>
      <c r="BP53" t="n">
        <v>0</v>
      </c>
      <c r="BQ53" t="n">
        <v>77528620.0379811</v>
      </c>
      <c r="BR53" t="n">
        <v>20413921.9378788</v>
      </c>
      <c r="BS53" t="n">
        <v>134324433.972054</v>
      </c>
      <c r="BT53" t="n">
        <v>12280478.9004797</v>
      </c>
      <c r="BU53" t="n">
        <v>1435865962.30236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1782269413.71609</v>
      </c>
      <c r="CB53" t="n">
        <v>-171501143.071404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139</v>
      </c>
      <c r="B54" t="n">
        <v>1098739.21790486</v>
      </c>
      <c r="C54" t="n">
        <v>31876.4727756516</v>
      </c>
      <c r="D54" t="n">
        <v>326797.895742068</v>
      </c>
      <c r="E54" t="n">
        <v>17720081.0304134</v>
      </c>
      <c r="F54" t="n">
        <v>4990103.44552416</v>
      </c>
      <c r="G54" t="n">
        <v>6566081.74389191</v>
      </c>
      <c r="H54" t="n">
        <v>14012000.5718525</v>
      </c>
      <c r="I54" t="n">
        <v>377971.066931429</v>
      </c>
      <c r="J54" t="n">
        <v>546052.32255939</v>
      </c>
      <c r="K54" t="n">
        <v>5255911.78349262</v>
      </c>
      <c r="L54" t="n">
        <v>12007605.5804645</v>
      </c>
      <c r="M54" t="n">
        <v>8214280.63976001</v>
      </c>
      <c r="N54" t="n">
        <v>532120.071006889</v>
      </c>
      <c r="O54" t="n">
        <v>2369296.33782093</v>
      </c>
      <c r="P54" t="n">
        <v>8976034.87093293</v>
      </c>
      <c r="Q54" t="n">
        <v>6072870.74373584</v>
      </c>
      <c r="R54" t="n">
        <v>5870172.69367712</v>
      </c>
      <c r="S54" t="n">
        <v>3088028.74274681</v>
      </c>
      <c r="T54" t="n">
        <v>2839020.54819494</v>
      </c>
      <c r="U54" t="n">
        <v>80803.0307789143</v>
      </c>
      <c r="V54" t="n">
        <v>4067.74266166042</v>
      </c>
      <c r="W54" t="n">
        <v>174022.062555003</v>
      </c>
      <c r="X54" t="n">
        <v>188870.59452802</v>
      </c>
      <c r="Y54" t="n">
        <v>39075.6594914835</v>
      </c>
      <c r="Z54" t="n">
        <v>75137.3023839549</v>
      </c>
      <c r="AA54" t="n">
        <v>792967.289188871</v>
      </c>
      <c r="AB54" t="n">
        <v>22985633.9196512</v>
      </c>
      <c r="AC54" t="n">
        <v>992993.171089138</v>
      </c>
      <c r="AD54" t="n">
        <v>3029202.82389595</v>
      </c>
      <c r="AE54" t="n">
        <v>7851957.06945782</v>
      </c>
      <c r="AF54" t="n">
        <v>4863695.64171684</v>
      </c>
      <c r="AG54" t="n">
        <v>24804274.6660316</v>
      </c>
      <c r="AH54" t="n">
        <v>3914430.7258392</v>
      </c>
      <c r="AI54" t="n">
        <v>15150623.6235774</v>
      </c>
      <c r="AJ54" t="n">
        <v>3009183.03934046</v>
      </c>
      <c r="AK54" t="n">
        <v>16885857.9230376</v>
      </c>
      <c r="AL54" t="n">
        <v>283942.262845499</v>
      </c>
      <c r="AM54" t="n">
        <v>15069791.6719759</v>
      </c>
      <c r="AN54" t="n">
        <v>228237.088287349</v>
      </c>
      <c r="AO54" t="n">
        <v>1738823.19912849</v>
      </c>
      <c r="AP54" t="n">
        <v>2451026.0567455</v>
      </c>
      <c r="AQ54" t="n">
        <v>1389544.73369948</v>
      </c>
      <c r="AR54" t="n">
        <v>1248329.30924879</v>
      </c>
      <c r="AS54" t="n">
        <v>548751230.147923</v>
      </c>
      <c r="AT54" t="n">
        <v>188002694.377152</v>
      </c>
      <c r="AU54" t="n">
        <v>16696342.4113476</v>
      </c>
      <c r="AV54" t="n">
        <v>2373727793.32906</v>
      </c>
      <c r="AW54" t="n">
        <v>30353.0142284938</v>
      </c>
      <c r="AX54" t="n">
        <v>48320044.9282957</v>
      </c>
      <c r="AY54" t="n">
        <v>17286543.4979376</v>
      </c>
      <c r="AZ54" t="n">
        <v>4088591.28644283</v>
      </c>
      <c r="BA54" t="n">
        <v>15866306.6753945</v>
      </c>
      <c r="BB54" t="n">
        <v>39160186.8054415</v>
      </c>
      <c r="BC54" t="n">
        <v>126990739.381127</v>
      </c>
      <c r="BD54" t="n">
        <v>16604434.8938563</v>
      </c>
      <c r="BE54" t="n">
        <v>292445.075014933</v>
      </c>
      <c r="BF54" t="n">
        <v>9210229.92706666</v>
      </c>
      <c r="BG54" t="n">
        <v>14046860.1390211</v>
      </c>
      <c r="BH54" t="n">
        <v>84941311.8767578</v>
      </c>
      <c r="BI54" t="n">
        <v>3207056.16916257</v>
      </c>
      <c r="BJ54" t="n">
        <v>20355939.585057</v>
      </c>
      <c r="BK54" t="n">
        <v>6324002.44796836</v>
      </c>
      <c r="BL54" t="n">
        <v>559371.192353094</v>
      </c>
      <c r="BM54" t="n">
        <v>39771960.4011204</v>
      </c>
      <c r="BN54" t="n">
        <v>55930468.8518504</v>
      </c>
      <c r="BO54" t="n">
        <v>43811426.2421837</v>
      </c>
      <c r="BP54" t="n">
        <v>0</v>
      </c>
      <c r="BQ54" t="n">
        <v>123410.648120622</v>
      </c>
      <c r="BR54" t="n">
        <v>480456.214086329</v>
      </c>
      <c r="BS54" t="n">
        <v>262980761.278581</v>
      </c>
      <c r="BT54" t="n">
        <v>17996097.3670177</v>
      </c>
      <c r="BU54" t="n">
        <v>2295558559.05698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882975298.706245</v>
      </c>
      <c r="CB54" t="n">
        <v>-1174100.73529083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140</v>
      </c>
      <c r="B55" t="n">
        <v>6198947.82053903</v>
      </c>
      <c r="C55" t="n">
        <v>746542.753074376</v>
      </c>
      <c r="D55" t="n">
        <v>232932.430237906</v>
      </c>
      <c r="E55" t="n">
        <v>3962678.96225544</v>
      </c>
      <c r="F55" t="n">
        <v>1342451.85904093</v>
      </c>
      <c r="G55" t="n">
        <v>9827256.0202587</v>
      </c>
      <c r="H55" t="n">
        <v>2275021.32340071</v>
      </c>
      <c r="I55" t="n">
        <v>1621747.3505645</v>
      </c>
      <c r="J55" t="n">
        <v>4838278.16387716</v>
      </c>
      <c r="K55" t="n">
        <v>1260407.68470575</v>
      </c>
      <c r="L55" t="n">
        <v>2994766.77353743</v>
      </c>
      <c r="M55" t="n">
        <v>3719285.76840659</v>
      </c>
      <c r="N55" t="n">
        <v>562502.686255016</v>
      </c>
      <c r="O55" t="n">
        <v>3062117.82263099</v>
      </c>
      <c r="P55" t="n">
        <v>9080644.87406088</v>
      </c>
      <c r="Q55" t="n">
        <v>7380991.75161569</v>
      </c>
      <c r="R55" t="n">
        <v>2343395.67819865</v>
      </c>
      <c r="S55" t="n">
        <v>1168138.05196579</v>
      </c>
      <c r="T55" t="n">
        <v>56057313.0636021</v>
      </c>
      <c r="U55" t="n">
        <v>1820101.84300207</v>
      </c>
      <c r="V55" t="n">
        <v>118152.563810245</v>
      </c>
      <c r="W55" t="n">
        <v>1698984.68684859</v>
      </c>
      <c r="X55" t="n">
        <v>286405.313196731</v>
      </c>
      <c r="Y55" t="n">
        <v>209321.164762399</v>
      </c>
      <c r="Z55" t="n">
        <v>3685452.50666158</v>
      </c>
      <c r="AA55" t="n">
        <v>3875189.74403543</v>
      </c>
      <c r="AB55" t="n">
        <v>162323619.256055</v>
      </c>
      <c r="AC55" t="n">
        <v>19143531.2657363</v>
      </c>
      <c r="AD55" t="n">
        <v>8210049.2805987</v>
      </c>
      <c r="AE55" t="n">
        <v>9531941.98187634</v>
      </c>
      <c r="AF55" t="n">
        <v>30926896.8357503</v>
      </c>
      <c r="AG55" t="n">
        <v>5127907.61717664</v>
      </c>
      <c r="AH55" t="n">
        <v>181622.562978478</v>
      </c>
      <c r="AI55" t="n">
        <v>6326196.92715644</v>
      </c>
      <c r="AJ55" t="n">
        <v>47790710.4850676</v>
      </c>
      <c r="AK55" t="n">
        <v>31563967.6525776</v>
      </c>
      <c r="AL55" t="n">
        <v>379357.445161803</v>
      </c>
      <c r="AM55" t="n">
        <v>18040023.3336131</v>
      </c>
      <c r="AN55" t="n">
        <v>11491646.0983531</v>
      </c>
      <c r="AO55" t="n">
        <v>1402144.03668127</v>
      </c>
      <c r="AP55" t="n">
        <v>3566954.21479878</v>
      </c>
      <c r="AQ55" t="n">
        <v>7322272.62560458</v>
      </c>
      <c r="AR55" t="n">
        <v>5645270.77556471</v>
      </c>
      <c r="AS55" t="n">
        <v>25889853.8596057</v>
      </c>
      <c r="AT55" t="n">
        <v>26344073.7396636</v>
      </c>
      <c r="AU55" t="n">
        <v>1491272123.5309</v>
      </c>
      <c r="AV55" t="n">
        <v>152059107.517282</v>
      </c>
      <c r="AW55" t="n">
        <v>34971737.6525795</v>
      </c>
      <c r="AX55" t="n">
        <v>160497437.885535</v>
      </c>
      <c r="AY55" t="n">
        <v>32408324.3128702</v>
      </c>
      <c r="AZ55" t="n">
        <v>12125251.3271582</v>
      </c>
      <c r="BA55" t="n">
        <v>37083966.1005375</v>
      </c>
      <c r="BB55" t="n">
        <v>98937637.0208233</v>
      </c>
      <c r="BC55" t="n">
        <v>2239813.79355357</v>
      </c>
      <c r="BD55" t="n">
        <v>54162531.0911831</v>
      </c>
      <c r="BE55" t="n">
        <v>5422100.61105547</v>
      </c>
      <c r="BF55" t="n">
        <v>9007565.61768903</v>
      </c>
      <c r="BG55" t="n">
        <v>58999904.0343194</v>
      </c>
      <c r="BH55" t="n">
        <v>57172015.8018106</v>
      </c>
      <c r="BI55" t="n">
        <v>14534129.1792466</v>
      </c>
      <c r="BJ55" t="n">
        <v>45001119.7769811</v>
      </c>
      <c r="BK55" t="n">
        <v>8202048.34411492</v>
      </c>
      <c r="BL55" t="n">
        <v>5508197.54265037</v>
      </c>
      <c r="BM55" t="n">
        <v>6001382.88783822</v>
      </c>
      <c r="BN55" t="n">
        <v>38295383.8126692</v>
      </c>
      <c r="BO55" t="n">
        <v>20569882.9580037</v>
      </c>
      <c r="BP55" t="n">
        <v>0</v>
      </c>
      <c r="BQ55" t="n">
        <v>13101100.4856121</v>
      </c>
      <c r="BR55" t="n">
        <v>45116808.5947442</v>
      </c>
      <c r="BS55" t="n">
        <v>19888195.2321429</v>
      </c>
      <c r="BT55" t="n">
        <v>33957593.9453219</v>
      </c>
      <c r="BU55" t="n">
        <v>2124823408.09162</v>
      </c>
      <c r="BV55" t="n">
        <v>0</v>
      </c>
      <c r="BW55" t="n">
        <v>0</v>
      </c>
      <c r="BX55" t="n">
        <v>0</v>
      </c>
      <c r="BY55" t="n">
        <v>26891403.0786713</v>
      </c>
      <c r="BZ55" t="n">
        <v>0</v>
      </c>
      <c r="CA55" t="n">
        <v>289593389.103241</v>
      </c>
      <c r="CB55" t="n">
        <v>-796420280.934931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141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45324447.0399862</v>
      </c>
      <c r="AV56" t="n">
        <v>445505177.218923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2234312.06879774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3629826.39763297</v>
      </c>
      <c r="BR56" t="n">
        <v>0</v>
      </c>
      <c r="BS56" t="n">
        <v>24869567.7368929</v>
      </c>
      <c r="BT56" t="n">
        <v>0</v>
      </c>
      <c r="BU56" t="n">
        <v>3057830296.6419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61200556893.6184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143</v>
      </c>
      <c r="B58" t="n">
        <v>32618400.0809904</v>
      </c>
      <c r="C58" t="n">
        <v>159745.100628231</v>
      </c>
      <c r="D58" t="n">
        <v>683502.885595432</v>
      </c>
      <c r="E58" t="n">
        <v>5147825.93496336</v>
      </c>
      <c r="F58" t="n">
        <v>1622316.46304051</v>
      </c>
      <c r="G58" t="n">
        <v>217163847.575516</v>
      </c>
      <c r="H58" t="n">
        <v>445664295.315958</v>
      </c>
      <c r="I58" t="n">
        <v>25632307.7333203</v>
      </c>
      <c r="J58" t="n">
        <v>23504432.6700697</v>
      </c>
      <c r="K58" t="n">
        <v>3908482.84494106</v>
      </c>
      <c r="L58" t="n">
        <v>73082611.6806506</v>
      </c>
      <c r="M58" t="n">
        <v>24175801.7060139</v>
      </c>
      <c r="N58" t="n">
        <v>28073999.0434569</v>
      </c>
      <c r="O58" t="n">
        <v>12024697.0306398</v>
      </c>
      <c r="P58" t="n">
        <v>21565297.5178649</v>
      </c>
      <c r="Q58" t="n">
        <v>35834671.9480024</v>
      </c>
      <c r="R58" t="n">
        <v>31663085.8390442</v>
      </c>
      <c r="S58" t="n">
        <v>16030283.8060636</v>
      </c>
      <c r="T58" t="n">
        <v>321696962.809906</v>
      </c>
      <c r="U58" t="n">
        <v>17038404.0350158</v>
      </c>
      <c r="V58" t="n">
        <v>1420677.83066931</v>
      </c>
      <c r="W58" t="n">
        <v>32772246.3164933</v>
      </c>
      <c r="X58" t="n">
        <v>33236789.3631591</v>
      </c>
      <c r="Y58" t="n">
        <v>436835.827148489</v>
      </c>
      <c r="Z58" t="n">
        <v>32990831.2503308</v>
      </c>
      <c r="AA58" t="n">
        <v>72743595.0055169</v>
      </c>
      <c r="AB58" t="n">
        <v>1733916262.28418</v>
      </c>
      <c r="AC58" t="n">
        <v>553345793.50304</v>
      </c>
      <c r="AD58" t="n">
        <v>779126925.944642</v>
      </c>
      <c r="AE58" t="n">
        <v>572927208.179527</v>
      </c>
      <c r="AF58" t="n">
        <v>2072246204.55185</v>
      </c>
      <c r="AG58" t="n">
        <v>10855302.7599668</v>
      </c>
      <c r="AH58" t="n">
        <v>4781500.88771489</v>
      </c>
      <c r="AI58" t="n">
        <v>36731677.298795</v>
      </c>
      <c r="AJ58" t="n">
        <v>137954069.196061</v>
      </c>
      <c r="AK58" t="n">
        <v>49009325.3091873</v>
      </c>
      <c r="AL58" t="n">
        <v>1708211.4677838</v>
      </c>
      <c r="AM58" t="n">
        <v>172062591.571594</v>
      </c>
      <c r="AN58" t="n">
        <v>214786315.932943</v>
      </c>
      <c r="AO58" t="n">
        <v>113319315.460214</v>
      </c>
      <c r="AP58" t="n">
        <v>34486319.9503074</v>
      </c>
      <c r="AQ58" t="n">
        <v>532016806.26195</v>
      </c>
      <c r="AR58" t="n">
        <v>288569934.047202</v>
      </c>
      <c r="AS58" t="n">
        <v>677400634.788519</v>
      </c>
      <c r="AT58" t="n">
        <v>334505012.364262</v>
      </c>
      <c r="AU58" t="n">
        <v>332313589.706635</v>
      </c>
      <c r="AV58" t="n">
        <v>47297606.8376068</v>
      </c>
      <c r="AW58" t="n">
        <v>179970089.716175</v>
      </c>
      <c r="AX58" t="n">
        <v>3224835683.0191</v>
      </c>
      <c r="AY58" t="n">
        <v>184555015.466195</v>
      </c>
      <c r="AZ58" t="n">
        <v>419778525.613409</v>
      </c>
      <c r="BA58" t="n">
        <v>663043541.472977</v>
      </c>
      <c r="BB58" t="n">
        <v>2467279867.11841</v>
      </c>
      <c r="BC58" t="n">
        <v>1335645372.57571</v>
      </c>
      <c r="BD58" t="n">
        <v>1347431091.04295</v>
      </c>
      <c r="BE58" t="n">
        <v>60501043.9848255</v>
      </c>
      <c r="BF58" t="n">
        <v>710893362.414394</v>
      </c>
      <c r="BG58" t="n">
        <v>1282881661.09089</v>
      </c>
      <c r="BH58" t="n">
        <v>1443371261.70539</v>
      </c>
      <c r="BI58" t="n">
        <v>644912595.833754</v>
      </c>
      <c r="BJ58" t="n">
        <v>267001521.401732</v>
      </c>
      <c r="BK58" t="n">
        <v>246185428.691401</v>
      </c>
      <c r="BL58" t="n">
        <v>339723183.620235</v>
      </c>
      <c r="BM58" t="n">
        <v>57767167.3654554</v>
      </c>
      <c r="BN58" t="n">
        <v>1439788746.83281</v>
      </c>
      <c r="BO58" t="n">
        <v>1922875874.5166</v>
      </c>
      <c r="BP58" t="n">
        <v>15636781.7856229</v>
      </c>
      <c r="BQ58" t="n">
        <v>903067009.692822</v>
      </c>
      <c r="BR58" t="n">
        <v>40986196.7155085</v>
      </c>
      <c r="BS58" t="n">
        <v>640649693.619323</v>
      </c>
      <c r="BT58" t="n">
        <v>38348011.185862</v>
      </c>
      <c r="BU58" t="n">
        <v>177770498.981341</v>
      </c>
      <c r="BV58" t="n">
        <v>594630085.684029</v>
      </c>
      <c r="BW58" t="n">
        <v>0</v>
      </c>
      <c r="BX58" t="n">
        <v>0</v>
      </c>
      <c r="BY58" t="n">
        <v>3773257831.51228</v>
      </c>
      <c r="BZ58" t="n">
        <v>0</v>
      </c>
      <c r="CA58" t="n">
        <v>52913384.012446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144</v>
      </c>
      <c r="B59" t="n">
        <v>6965691.12041295</v>
      </c>
      <c r="C59" t="n">
        <v>218482.649625746</v>
      </c>
      <c r="D59" t="n">
        <v>515916.906663213</v>
      </c>
      <c r="E59" t="n">
        <v>21888963.5457218</v>
      </c>
      <c r="F59" t="n">
        <v>2867779.81580886</v>
      </c>
      <c r="G59" t="n">
        <v>19469917.9038196</v>
      </c>
      <c r="H59" t="n">
        <v>229593898.45802</v>
      </c>
      <c r="I59" t="n">
        <v>2753468.7170195</v>
      </c>
      <c r="J59" t="n">
        <v>4981913.00590641</v>
      </c>
      <c r="K59" t="n">
        <v>1676804.21757123</v>
      </c>
      <c r="L59" t="n">
        <v>8080462.53889185</v>
      </c>
      <c r="M59" t="n">
        <v>5319921.52898523</v>
      </c>
      <c r="N59" t="n">
        <v>1554517.06319426</v>
      </c>
      <c r="O59" t="n">
        <v>2094553.4763816</v>
      </c>
      <c r="P59" t="n">
        <v>20736287.0171761</v>
      </c>
      <c r="Q59" t="n">
        <v>7665990.43857677</v>
      </c>
      <c r="R59" t="n">
        <v>2013939.41718426</v>
      </c>
      <c r="S59" t="n">
        <v>2146469.88481319</v>
      </c>
      <c r="T59" t="n">
        <v>65702552.5243687</v>
      </c>
      <c r="U59" t="n">
        <v>751622.739230515</v>
      </c>
      <c r="V59" t="n">
        <v>5239537.79272655</v>
      </c>
      <c r="W59" t="n">
        <v>5710423.51473151</v>
      </c>
      <c r="X59" t="n">
        <v>2479249.96534928</v>
      </c>
      <c r="Y59" t="n">
        <v>903913.32427523</v>
      </c>
      <c r="Z59" t="n">
        <v>8228410.94899411</v>
      </c>
      <c r="AA59" t="n">
        <v>7512808.44041701</v>
      </c>
      <c r="AB59" t="n">
        <v>141911500.224519</v>
      </c>
      <c r="AC59" t="n">
        <v>7060945.01923517</v>
      </c>
      <c r="AD59" t="n">
        <v>9611471.48009437</v>
      </c>
      <c r="AE59" t="n">
        <v>27859836.1113218</v>
      </c>
      <c r="AF59" t="n">
        <v>36541350.720482</v>
      </c>
      <c r="AG59" t="n">
        <v>121338388.464105</v>
      </c>
      <c r="AH59" t="n">
        <v>46584101.2904765</v>
      </c>
      <c r="AI59" t="n">
        <v>94265850.9707565</v>
      </c>
      <c r="AJ59" t="n">
        <v>137038051.230467</v>
      </c>
      <c r="AK59" t="n">
        <v>8470654.38443303</v>
      </c>
      <c r="AL59" t="n">
        <v>89672.8020135555</v>
      </c>
      <c r="AM59" t="n">
        <v>19637663.6124148</v>
      </c>
      <c r="AN59" t="n">
        <v>34243152.9127221</v>
      </c>
      <c r="AO59" t="n">
        <v>7546717.81624585</v>
      </c>
      <c r="AP59" t="n">
        <v>3739105.49666058</v>
      </c>
      <c r="AQ59" t="n">
        <v>52308036.6854647</v>
      </c>
      <c r="AR59" t="n">
        <v>68747042.8067462</v>
      </c>
      <c r="AS59" t="n">
        <v>32758276.3484695</v>
      </c>
      <c r="AT59" t="n">
        <v>22758081.129625</v>
      </c>
      <c r="AU59" t="n">
        <v>15890376.1146108</v>
      </c>
      <c r="AV59" t="n">
        <v>554133.757692461</v>
      </c>
      <c r="AW59" t="n">
        <v>54354374.6318291</v>
      </c>
      <c r="AX59" t="n">
        <v>15421242.339282</v>
      </c>
      <c r="AY59" t="n">
        <v>54241394.543882</v>
      </c>
      <c r="AZ59" t="n">
        <v>12152992.9980773</v>
      </c>
      <c r="BA59" t="n">
        <v>70840804.83909</v>
      </c>
      <c r="BB59" t="n">
        <v>204073331.148694</v>
      </c>
      <c r="BC59" t="n">
        <v>186964060.593783</v>
      </c>
      <c r="BD59" t="n">
        <v>99256173.4309922</v>
      </c>
      <c r="BE59" t="n">
        <v>15027263.3230506</v>
      </c>
      <c r="BF59" t="n">
        <v>9991447.06594003</v>
      </c>
      <c r="BG59" t="n">
        <v>31150687.914192</v>
      </c>
      <c r="BH59" t="n">
        <v>23334247.0764838</v>
      </c>
      <c r="BI59" t="n">
        <v>3694758.83881262</v>
      </c>
      <c r="BJ59" t="n">
        <v>3074916.27294843</v>
      </c>
      <c r="BK59" t="n">
        <v>10956276.0349471</v>
      </c>
      <c r="BL59" t="n">
        <v>13036881.7279388</v>
      </c>
      <c r="BM59" t="n">
        <v>12558156.7805869</v>
      </c>
      <c r="BN59" t="n">
        <v>78830306.4952412</v>
      </c>
      <c r="BO59" t="n">
        <v>26538658.0459794</v>
      </c>
      <c r="BP59" t="n">
        <v>6699754.23473348</v>
      </c>
      <c r="BQ59" t="n">
        <v>7227585.58122009</v>
      </c>
      <c r="BR59" t="n">
        <v>4192433.48301833</v>
      </c>
      <c r="BS59" t="n">
        <v>75668508.7466887</v>
      </c>
      <c r="BT59" t="n">
        <v>3079570.80392061</v>
      </c>
      <c r="BU59" t="n">
        <v>968351152.573715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1539725500.39852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145</v>
      </c>
      <c r="B60" t="n">
        <v>2373214.47777241</v>
      </c>
      <c r="C60" t="n">
        <v>377956.614597995</v>
      </c>
      <c r="D60" t="n">
        <v>224730.907199766</v>
      </c>
      <c r="E60" t="n">
        <v>8821356.84193774</v>
      </c>
      <c r="F60" t="n">
        <v>496853.593547758</v>
      </c>
      <c r="G60" t="n">
        <v>116579164.645124</v>
      </c>
      <c r="H60" t="n">
        <v>109282244.838539</v>
      </c>
      <c r="I60" t="n">
        <v>9563441.0604389</v>
      </c>
      <c r="J60" t="n">
        <v>6817287.65968084</v>
      </c>
      <c r="K60" t="n">
        <v>2550364.36891721</v>
      </c>
      <c r="L60" t="n">
        <v>17526127.1084573</v>
      </c>
      <c r="M60" t="n">
        <v>11609330.6379099</v>
      </c>
      <c r="N60" t="n">
        <v>18220588.2167749</v>
      </c>
      <c r="O60" t="n">
        <v>3185896.47367677</v>
      </c>
      <c r="P60" t="n">
        <v>19035408.1284605</v>
      </c>
      <c r="Q60" t="n">
        <v>22314547.8788346</v>
      </c>
      <c r="R60" t="n">
        <v>4906123.73066054</v>
      </c>
      <c r="S60" t="n">
        <v>9966634.58515484</v>
      </c>
      <c r="T60" t="n">
        <v>53821557.446269</v>
      </c>
      <c r="U60" t="n">
        <v>3028460.2433693</v>
      </c>
      <c r="V60" t="n">
        <v>482258.170839541</v>
      </c>
      <c r="W60" t="n">
        <v>10634531.191113</v>
      </c>
      <c r="X60" t="n">
        <v>3852346.73815934</v>
      </c>
      <c r="Y60" t="n">
        <v>1223768.4421827</v>
      </c>
      <c r="Z60" t="n">
        <v>20287634.4344023</v>
      </c>
      <c r="AA60" t="n">
        <v>18512081.1341931</v>
      </c>
      <c r="AB60" t="n">
        <v>229058093.432692</v>
      </c>
      <c r="AC60" t="n">
        <v>11827894.8668485</v>
      </c>
      <c r="AD60" t="n">
        <v>13872529.9949138</v>
      </c>
      <c r="AE60" t="n">
        <v>14180212.4084524</v>
      </c>
      <c r="AF60" t="n">
        <v>61112259.0186972</v>
      </c>
      <c r="AG60" t="n">
        <v>8828906.52307731</v>
      </c>
      <c r="AH60" t="n">
        <v>15913296.5034789</v>
      </c>
      <c r="AI60" t="n">
        <v>6219812.16132828</v>
      </c>
      <c r="AJ60" t="n">
        <v>2887532.5288698</v>
      </c>
      <c r="AK60" t="n">
        <v>3096073.96536087</v>
      </c>
      <c r="AL60" t="n">
        <v>248678.944954704</v>
      </c>
      <c r="AM60" t="n">
        <v>10833991.3334224</v>
      </c>
      <c r="AN60" t="n">
        <v>5290087.23883646</v>
      </c>
      <c r="AO60" t="n">
        <v>42100689.0656567</v>
      </c>
      <c r="AP60" t="n">
        <v>6913831.96178569</v>
      </c>
      <c r="AQ60" t="n">
        <v>44296021.7171353</v>
      </c>
      <c r="AR60" t="n">
        <v>100921654.055418</v>
      </c>
      <c r="AS60" t="n">
        <v>97262125.9747384</v>
      </c>
      <c r="AT60" t="n">
        <v>89210760.2163666</v>
      </c>
      <c r="AU60" t="n">
        <v>133753063.832738</v>
      </c>
      <c r="AV60" t="n">
        <v>95368122.7080276</v>
      </c>
      <c r="AW60" t="n">
        <v>35231400.3987593</v>
      </c>
      <c r="AX60" t="n">
        <v>141383367.208477</v>
      </c>
      <c r="AY60" t="n">
        <v>10663606.8717268</v>
      </c>
      <c r="AZ60" t="n">
        <v>36119119.4175084</v>
      </c>
      <c r="BA60" t="n">
        <v>212325801.521161</v>
      </c>
      <c r="BB60" t="n">
        <v>406783333.091823</v>
      </c>
      <c r="BC60" t="n">
        <v>257731031.472436</v>
      </c>
      <c r="BD60" t="n">
        <v>190622163.617073</v>
      </c>
      <c r="BE60" t="n">
        <v>6312830.94686877</v>
      </c>
      <c r="BF60" t="n">
        <v>5948635.60429779</v>
      </c>
      <c r="BG60" t="n">
        <v>80218034.9357736</v>
      </c>
      <c r="BH60" t="n">
        <v>223819959.224921</v>
      </c>
      <c r="BI60" t="n">
        <v>24822326.7296975</v>
      </c>
      <c r="BJ60" t="n">
        <v>11701869.0714271</v>
      </c>
      <c r="BK60" t="n">
        <v>25332378.1877533</v>
      </c>
      <c r="BL60" t="n">
        <v>23177579.1617609</v>
      </c>
      <c r="BM60" t="n">
        <v>16687880.0345784</v>
      </c>
      <c r="BN60" t="n">
        <v>38747568.7397249</v>
      </c>
      <c r="BO60" t="n">
        <v>95661517.5114838</v>
      </c>
      <c r="BP60" t="n">
        <v>0</v>
      </c>
      <c r="BQ60" t="n">
        <v>5852694.25005527</v>
      </c>
      <c r="BR60" t="n">
        <v>3739713.31570618</v>
      </c>
      <c r="BS60" t="n">
        <v>254792369.729066</v>
      </c>
      <c r="BT60" t="n">
        <v>14061621.4638145</v>
      </c>
      <c r="BU60" t="n">
        <v>2150578870.36571</v>
      </c>
      <c r="BV60" t="n">
        <v>0</v>
      </c>
      <c r="BW60" t="n">
        <v>0</v>
      </c>
      <c r="BX60" t="n">
        <v>0</v>
      </c>
      <c r="BY60" t="n">
        <v>452698612.501301</v>
      </c>
      <c r="BZ60" t="n">
        <v>0</v>
      </c>
      <c r="CA60" t="n">
        <v>328221049.173977</v>
      </c>
      <c r="CB60" t="n">
        <v>-121962884.580821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146</v>
      </c>
      <c r="B61" t="n">
        <v>3551901.96448558</v>
      </c>
      <c r="C61" t="n">
        <v>152925.169672645</v>
      </c>
      <c r="D61" t="n">
        <v>1084305.54698452</v>
      </c>
      <c r="E61" t="n">
        <v>11509328.5476793</v>
      </c>
      <c r="F61" t="n">
        <v>175915.323701561</v>
      </c>
      <c r="G61" t="n">
        <v>50071752.0038043</v>
      </c>
      <c r="H61" t="n">
        <v>114459830.255021</v>
      </c>
      <c r="I61" t="n">
        <v>8554474.26021666</v>
      </c>
      <c r="J61" t="n">
        <v>6765121.78341153</v>
      </c>
      <c r="K61" t="n">
        <v>2306594.42195293</v>
      </c>
      <c r="L61" t="n">
        <v>18811573.0543985</v>
      </c>
      <c r="M61" t="n">
        <v>19422206.1453646</v>
      </c>
      <c r="N61" t="n">
        <v>3381792.94897656</v>
      </c>
      <c r="O61" t="n">
        <v>1680490.19618952</v>
      </c>
      <c r="P61" t="n">
        <v>6681518.96695112</v>
      </c>
      <c r="Q61" t="n">
        <v>50159498.7676327</v>
      </c>
      <c r="R61" t="n">
        <v>5197737.81044869</v>
      </c>
      <c r="S61" t="n">
        <v>3721624.27812093</v>
      </c>
      <c r="T61" t="n">
        <v>68000501.6557018</v>
      </c>
      <c r="U61" t="n">
        <v>2453202.40992796</v>
      </c>
      <c r="V61" t="n">
        <v>78631.2033246528</v>
      </c>
      <c r="W61" t="n">
        <v>5640341.35038468</v>
      </c>
      <c r="X61" t="n">
        <v>5919368.55195664</v>
      </c>
      <c r="Y61" t="n">
        <v>1395928.56583084</v>
      </c>
      <c r="Z61" t="n">
        <v>2287108.99105726</v>
      </c>
      <c r="AA61" t="n">
        <v>12380550.7320208</v>
      </c>
      <c r="AB61" t="n">
        <v>316786656.480162</v>
      </c>
      <c r="AC61" t="n">
        <v>93718645.8875376</v>
      </c>
      <c r="AD61" t="n">
        <v>21341508.7451939</v>
      </c>
      <c r="AE61" t="n">
        <v>42679376.0453186</v>
      </c>
      <c r="AF61" t="n">
        <v>92886791.6000774</v>
      </c>
      <c r="AG61" t="n">
        <v>11239987.7916012</v>
      </c>
      <c r="AH61" t="n">
        <v>24755937.0500238</v>
      </c>
      <c r="AI61" t="n">
        <v>2535529.94080561</v>
      </c>
      <c r="AJ61" t="n">
        <v>10832130.207153</v>
      </c>
      <c r="AK61" t="n">
        <v>5206231.15652557</v>
      </c>
      <c r="AL61" t="n">
        <v>56256.9677215499</v>
      </c>
      <c r="AM61" t="n">
        <v>5135149.27233868</v>
      </c>
      <c r="AN61" t="n">
        <v>6375878.79843081</v>
      </c>
      <c r="AO61" t="n">
        <v>86067789.4200125</v>
      </c>
      <c r="AP61" t="n">
        <v>5565191.66201964</v>
      </c>
      <c r="AQ61" t="n">
        <v>64981250.2238748</v>
      </c>
      <c r="AR61" t="n">
        <v>242886575.343596</v>
      </c>
      <c r="AS61" t="n">
        <v>169249611.804706</v>
      </c>
      <c r="AT61" t="n">
        <v>80733081.9432908</v>
      </c>
      <c r="AU61" t="n">
        <v>86007708.8664747</v>
      </c>
      <c r="AV61" t="n">
        <v>68649140.7044088</v>
      </c>
      <c r="AW61" t="n">
        <v>19062010.8355938</v>
      </c>
      <c r="AX61" t="n">
        <v>55883624.1778496</v>
      </c>
      <c r="AY61" t="n">
        <v>9069681.38746283</v>
      </c>
      <c r="AZ61" t="n">
        <v>66536402.7793233</v>
      </c>
      <c r="BA61" t="n">
        <v>446155535.683383</v>
      </c>
      <c r="BB61" t="n">
        <v>360201116.172272</v>
      </c>
      <c r="BC61" t="n">
        <v>63329095.8036263</v>
      </c>
      <c r="BD61" t="n">
        <v>461351764.030071</v>
      </c>
      <c r="BE61" t="n">
        <v>8573296.1195298</v>
      </c>
      <c r="BF61" t="n">
        <v>28350485.4183072</v>
      </c>
      <c r="BG61" t="n">
        <v>85652895.6218919</v>
      </c>
      <c r="BH61" t="n">
        <v>76894753.2367909</v>
      </c>
      <c r="BI61" t="n">
        <v>19541152.3774142</v>
      </c>
      <c r="BJ61" t="n">
        <v>30224492.4311501</v>
      </c>
      <c r="BK61" t="n">
        <v>7054576.06539641</v>
      </c>
      <c r="BL61" t="n">
        <v>16229752.9634859</v>
      </c>
      <c r="BM61" t="n">
        <v>17296305.588422</v>
      </c>
      <c r="BN61" t="n">
        <v>106419934.747637</v>
      </c>
      <c r="BO61" t="n">
        <v>85043169.8915526</v>
      </c>
      <c r="BP61" t="n">
        <v>241054179.064553</v>
      </c>
      <c r="BQ61" t="n">
        <v>690452510.296955</v>
      </c>
      <c r="BR61" t="n">
        <v>7303973.54394907</v>
      </c>
      <c r="BS61" t="n">
        <v>773844197.562858</v>
      </c>
      <c r="BT61" t="n">
        <v>67414957.261245</v>
      </c>
      <c r="BU61" t="n">
        <v>0</v>
      </c>
      <c r="BV61" t="n">
        <v>0</v>
      </c>
      <c r="BW61" t="n">
        <v>2443050170.43692</v>
      </c>
      <c r="BX61" t="n">
        <v>13584869534.0615</v>
      </c>
      <c r="BY61" t="n">
        <v>0</v>
      </c>
      <c r="BZ61" t="n">
        <v>0</v>
      </c>
      <c r="CA61" t="n">
        <v>2571946329.5245</v>
      </c>
      <c r="CB61" t="n">
        <v>-1880250441.56463</v>
      </c>
      <c r="CC61" t="n">
        <v>0</v>
      </c>
      <c r="CD61" t="n">
        <v>0</v>
      </c>
      <c r="CE61" t="n">
        <v>683701407.964999</v>
      </c>
      <c r="CF61" t="n">
        <v>1757347083.42825</v>
      </c>
      <c r="CG61" t="n">
        <v>0</v>
      </c>
      <c r="CH61" t="n">
        <v>0</v>
      </c>
      <c r="CI61" t="n">
        <v>0</v>
      </c>
      <c r="CJ61" t="n">
        <v>4729016927.20395</v>
      </c>
      <c r="CK61" t="n">
        <v>0</v>
      </c>
      <c r="CL61" t="n">
        <v>0</v>
      </c>
      <c r="CM61" t="n">
        <v>28281352.3760217</v>
      </c>
      <c r="CN61" t="n">
        <v>187880090.255208</v>
      </c>
    </row>
    <row r="62">
      <c r="A62" t="s">
        <v>147</v>
      </c>
      <c r="B62" t="n">
        <v>4069724.10212164</v>
      </c>
      <c r="C62" t="n">
        <v>621612.776527494</v>
      </c>
      <c r="D62" t="n">
        <v>258413.976488745</v>
      </c>
      <c r="E62" t="n">
        <v>9636910.88590659</v>
      </c>
      <c r="F62" t="n">
        <v>819267.854504767</v>
      </c>
      <c r="G62" t="n">
        <v>84170672.4673841</v>
      </c>
      <c r="H62" t="n">
        <v>287919191.386874</v>
      </c>
      <c r="I62" t="n">
        <v>12665064.8220423</v>
      </c>
      <c r="J62" t="n">
        <v>11478030.4070784</v>
      </c>
      <c r="K62" t="n">
        <v>4733975.76592524</v>
      </c>
      <c r="L62" t="n">
        <v>16686146.5408072</v>
      </c>
      <c r="M62" t="n">
        <v>12913012.9388833</v>
      </c>
      <c r="N62" t="n">
        <v>13294999.9698228</v>
      </c>
      <c r="O62" t="n">
        <v>6468418.49066162</v>
      </c>
      <c r="P62" t="n">
        <v>16908042.4613346</v>
      </c>
      <c r="Q62" t="n">
        <v>26018667.2623953</v>
      </c>
      <c r="R62" t="n">
        <v>10918224.9417619</v>
      </c>
      <c r="S62" t="n">
        <v>9194072.04366845</v>
      </c>
      <c r="T62" t="n">
        <v>172853335.482078</v>
      </c>
      <c r="U62" t="n">
        <v>4952094.40224808</v>
      </c>
      <c r="V62" t="n">
        <v>367473.397757392</v>
      </c>
      <c r="W62" t="n">
        <v>12125647.3524128</v>
      </c>
      <c r="X62" t="n">
        <v>6080508.01533124</v>
      </c>
      <c r="Y62" t="n">
        <v>1756496.59456068</v>
      </c>
      <c r="Z62" t="n">
        <v>19835483.7843867</v>
      </c>
      <c r="AA62" t="n">
        <v>24786862.3617153</v>
      </c>
      <c r="AB62" t="n">
        <v>610868163.628691</v>
      </c>
      <c r="AC62" t="n">
        <v>151195353.320153</v>
      </c>
      <c r="AD62" t="n">
        <v>68830274.6568594</v>
      </c>
      <c r="AE62" t="n">
        <v>36628330.9308916</v>
      </c>
      <c r="AF62" t="n">
        <v>290730145.727697</v>
      </c>
      <c r="AG62" t="n">
        <v>10343087.6897588</v>
      </c>
      <c r="AH62" t="n">
        <v>11235626.0203939</v>
      </c>
      <c r="AI62" t="n">
        <v>20634027.932012</v>
      </c>
      <c r="AJ62" t="n">
        <v>14687999.248793</v>
      </c>
      <c r="AK62" t="n">
        <v>8799746.20186252</v>
      </c>
      <c r="AL62" t="n">
        <v>1378107.77964889</v>
      </c>
      <c r="AM62" t="n">
        <v>14855225.8246248</v>
      </c>
      <c r="AN62" t="n">
        <v>13625944.7068265</v>
      </c>
      <c r="AO62" t="n">
        <v>75929059.0942218</v>
      </c>
      <c r="AP62" t="n">
        <v>15762065.7451471</v>
      </c>
      <c r="AQ62" t="n">
        <v>167273495.600713</v>
      </c>
      <c r="AR62" t="n">
        <v>253452035.471122</v>
      </c>
      <c r="AS62" t="n">
        <v>310655676.107987</v>
      </c>
      <c r="AT62" t="n">
        <v>126462288.037767</v>
      </c>
      <c r="AU62" t="n">
        <v>130568209.385539</v>
      </c>
      <c r="AV62" t="n">
        <v>49498772.5626369</v>
      </c>
      <c r="AW62" t="n">
        <v>16086403.3942332</v>
      </c>
      <c r="AX62" t="n">
        <v>197800396.084921</v>
      </c>
      <c r="AY62" t="n">
        <v>39910492.400649</v>
      </c>
      <c r="AZ62" t="n">
        <v>47941853.3512789</v>
      </c>
      <c r="BA62" t="n">
        <v>497059533.877888</v>
      </c>
      <c r="BB62" t="n">
        <v>1359323147.62104</v>
      </c>
      <c r="BC62" t="n">
        <v>406329732.916322</v>
      </c>
      <c r="BD62" t="n">
        <v>415198503.957517</v>
      </c>
      <c r="BE62" t="n">
        <v>13244034.210007</v>
      </c>
      <c r="BF62" t="n">
        <v>36065904.2820948</v>
      </c>
      <c r="BG62" t="n">
        <v>169573717.621016</v>
      </c>
      <c r="BH62" t="n">
        <v>190642963.221901</v>
      </c>
      <c r="BI62" t="n">
        <v>49626438.7494203</v>
      </c>
      <c r="BJ62" t="n">
        <v>32926811.8964163</v>
      </c>
      <c r="BK62" t="n">
        <v>33484882.2261337</v>
      </c>
      <c r="BL62" t="n">
        <v>32046845.9179136</v>
      </c>
      <c r="BM62" t="n">
        <v>39132848.1167397</v>
      </c>
      <c r="BN62" t="n">
        <v>140851795.610059</v>
      </c>
      <c r="BO62" t="n">
        <v>213278423.747322</v>
      </c>
      <c r="BP62" t="n">
        <v>814569455.177258</v>
      </c>
      <c r="BQ62" t="n">
        <v>227447364.030307</v>
      </c>
      <c r="BR62" t="n">
        <v>25758064.3866359</v>
      </c>
      <c r="BS62" t="n">
        <v>463186299.986825</v>
      </c>
      <c r="BT62" t="n">
        <v>80678078.7166533</v>
      </c>
      <c r="BU62" t="n">
        <v>489274322.746423</v>
      </c>
      <c r="BV62" t="n">
        <v>0</v>
      </c>
      <c r="BW62" t="n">
        <v>414858663.358427</v>
      </c>
      <c r="BX62" t="n">
        <v>4363130472.80225</v>
      </c>
      <c r="BY62" t="n">
        <v>20197865.1999707</v>
      </c>
      <c r="BZ62" t="n">
        <v>0</v>
      </c>
      <c r="CA62" t="n">
        <v>5676908469.69548</v>
      </c>
      <c r="CB62" t="n">
        <v>-3247813071.32925</v>
      </c>
      <c r="CC62" t="n">
        <v>0</v>
      </c>
      <c r="CD62" t="n">
        <v>0</v>
      </c>
      <c r="CE62" t="n">
        <v>0</v>
      </c>
      <c r="CF62" t="n">
        <v>1612516729.69174</v>
      </c>
      <c r="CG62" t="n">
        <v>0</v>
      </c>
      <c r="CH62" t="n">
        <v>0</v>
      </c>
      <c r="CI62" t="n">
        <v>0</v>
      </c>
      <c r="CJ62" t="n">
        <v>2152937851.41833</v>
      </c>
      <c r="CK62" t="n">
        <v>0</v>
      </c>
      <c r="CL62" t="n">
        <v>0</v>
      </c>
      <c r="CM62" t="n">
        <v>0</v>
      </c>
      <c r="CN62" t="n">
        <v>115026240.320075</v>
      </c>
    </row>
    <row r="63">
      <c r="A63" t="s">
        <v>148</v>
      </c>
      <c r="B63" t="n">
        <v>0</v>
      </c>
      <c r="C63" t="n">
        <v>0</v>
      </c>
      <c r="D63" t="n">
        <v>6959586.57056556</v>
      </c>
      <c r="E63" t="n">
        <v>127157587.456093</v>
      </c>
      <c r="F63" t="n">
        <v>7731955.44788469</v>
      </c>
      <c r="G63" t="n">
        <v>1320618.75947734</v>
      </c>
      <c r="H63" t="n">
        <v>234524110.639431</v>
      </c>
      <c r="I63" t="n">
        <v>12970143.7727068</v>
      </c>
      <c r="J63" t="n">
        <v>40882904.2029723</v>
      </c>
      <c r="K63" t="n">
        <v>7275662.32288013</v>
      </c>
      <c r="L63" t="n">
        <v>56292136.145732</v>
      </c>
      <c r="M63" t="n">
        <v>123442527.271318</v>
      </c>
      <c r="N63" t="n">
        <v>31552451.7188144</v>
      </c>
      <c r="O63" t="n">
        <v>33870497.3694049</v>
      </c>
      <c r="P63" t="n">
        <v>82851445.2430416</v>
      </c>
      <c r="Q63" t="n">
        <v>83608947.3368667</v>
      </c>
      <c r="R63" t="n">
        <v>10084251.2708231</v>
      </c>
      <c r="S63" t="n">
        <v>33823042.8573557</v>
      </c>
      <c r="T63" t="n">
        <v>1374307506.76412</v>
      </c>
      <c r="U63" t="n">
        <v>22802386.853081</v>
      </c>
      <c r="V63" t="n">
        <v>2533044.75805951</v>
      </c>
      <c r="W63" t="n">
        <v>41268399.6977865</v>
      </c>
      <c r="X63" t="n">
        <v>6129356.0007549</v>
      </c>
      <c r="Y63" t="n">
        <v>11333347.3248237</v>
      </c>
      <c r="Z63" t="n">
        <v>124187922.521812</v>
      </c>
      <c r="AA63" t="n">
        <v>42128180.2973911</v>
      </c>
      <c r="AB63" t="n">
        <v>1508628672.73101</v>
      </c>
      <c r="AC63" t="n">
        <v>41486209.3791519</v>
      </c>
      <c r="AD63" t="n">
        <v>114458581.509846</v>
      </c>
      <c r="AE63" t="n">
        <v>290439073.938975</v>
      </c>
      <c r="AF63" t="n">
        <v>424816805.845635</v>
      </c>
      <c r="AG63" t="n">
        <v>152836226.765213</v>
      </c>
      <c r="AH63" t="n">
        <v>270083.443670443</v>
      </c>
      <c r="AI63" t="n">
        <v>55634026.2866091</v>
      </c>
      <c r="AJ63" t="n">
        <v>61244103.4247769</v>
      </c>
      <c r="AK63" t="n">
        <v>4386395.02513889</v>
      </c>
      <c r="AL63" t="n">
        <v>11071.1853348842</v>
      </c>
      <c r="AM63" t="n">
        <v>137210066.939367</v>
      </c>
      <c r="AN63" t="n">
        <v>30057001.8378973</v>
      </c>
      <c r="AO63" t="n">
        <v>47162817.5604742</v>
      </c>
      <c r="AP63" t="n">
        <v>4334379.43062073</v>
      </c>
      <c r="AQ63" t="n">
        <v>66994211.4821088</v>
      </c>
      <c r="AR63" t="n">
        <v>70304696.3998435</v>
      </c>
      <c r="AS63" t="n">
        <v>150915463.687859</v>
      </c>
      <c r="AT63" t="n">
        <v>142609011.117382</v>
      </c>
      <c r="AU63" t="n">
        <v>71887491.5897356</v>
      </c>
      <c r="AV63" t="n">
        <v>57541133.1287079</v>
      </c>
      <c r="AW63" t="n">
        <v>571035.653756523</v>
      </c>
      <c r="AX63" t="n">
        <v>300728243.891471</v>
      </c>
      <c r="AY63" t="n">
        <v>165880644.080876</v>
      </c>
      <c r="AZ63" t="n">
        <v>70659164.5314234</v>
      </c>
      <c r="BA63" t="n">
        <v>281062521.257907</v>
      </c>
      <c r="BB63" t="n">
        <v>578503362.397312</v>
      </c>
      <c r="BC63" t="n">
        <v>1495228.2042766</v>
      </c>
      <c r="BD63" t="n">
        <v>562496426.665448</v>
      </c>
      <c r="BE63" t="n">
        <v>56959032.4681186</v>
      </c>
      <c r="BF63" t="n">
        <v>117345868.764337</v>
      </c>
      <c r="BG63" t="n">
        <v>948317057.671932</v>
      </c>
      <c r="BH63" t="n">
        <v>166629277.351844</v>
      </c>
      <c r="BI63" t="n">
        <v>116684205.804358</v>
      </c>
      <c r="BJ63" t="n">
        <v>37801453.0575995</v>
      </c>
      <c r="BK63" t="n">
        <v>50837258.3474251</v>
      </c>
      <c r="BL63" t="n">
        <v>41055618.7233859</v>
      </c>
      <c r="BM63" t="n">
        <v>317805218.086642</v>
      </c>
      <c r="BN63" t="n">
        <v>987709276.858263</v>
      </c>
      <c r="BO63" t="n">
        <v>267676919.905142</v>
      </c>
      <c r="BP63" t="n">
        <v>0</v>
      </c>
      <c r="BQ63" t="n">
        <v>0</v>
      </c>
      <c r="BR63" t="n">
        <v>11059350.6481747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151147329.023477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149</v>
      </c>
      <c r="B64" t="n">
        <v>2551271.02215395</v>
      </c>
      <c r="C64" t="n">
        <v>116411.553634235</v>
      </c>
      <c r="D64" t="n">
        <v>92628.1374989364</v>
      </c>
      <c r="E64" t="n">
        <v>7974742.5011426</v>
      </c>
      <c r="F64" t="n">
        <v>2088760.53026661</v>
      </c>
      <c r="G64" t="n">
        <v>169118416.100819</v>
      </c>
      <c r="H64" t="n">
        <v>119980176.689837</v>
      </c>
      <c r="I64" t="n">
        <v>12506698.3695455</v>
      </c>
      <c r="J64" t="n">
        <v>14379229.5068644</v>
      </c>
      <c r="K64" t="n">
        <v>18100558.9274587</v>
      </c>
      <c r="L64" t="n">
        <v>79411254.1685223</v>
      </c>
      <c r="M64" t="n">
        <v>21799570.1523021</v>
      </c>
      <c r="N64" t="n">
        <v>11930774.9645222</v>
      </c>
      <c r="O64" t="n">
        <v>5502709.56337353</v>
      </c>
      <c r="P64" t="n">
        <v>24199389.6847546</v>
      </c>
      <c r="Q64" t="n">
        <v>91895542.5299558</v>
      </c>
      <c r="R64" t="n">
        <v>5316804.07429092</v>
      </c>
      <c r="S64" t="n">
        <v>9892683.08344562</v>
      </c>
      <c r="T64" t="n">
        <v>139407132.979329</v>
      </c>
      <c r="U64" t="n">
        <v>4457488.46659574</v>
      </c>
      <c r="V64" t="n">
        <v>1818250.82415344</v>
      </c>
      <c r="W64" t="n">
        <v>17655950.9062911</v>
      </c>
      <c r="X64" t="n">
        <v>28516555.8379</v>
      </c>
      <c r="Y64" t="n">
        <v>3539547.5290208</v>
      </c>
      <c r="Z64" t="n">
        <v>22932100.3145078</v>
      </c>
      <c r="AA64" t="n">
        <v>29038172.367824</v>
      </c>
      <c r="AB64" t="n">
        <v>770120995.393487</v>
      </c>
      <c r="AC64" t="n">
        <v>98410161.6366004</v>
      </c>
      <c r="AD64" t="n">
        <v>48068298.1553561</v>
      </c>
      <c r="AE64" t="n">
        <v>84875273.5319789</v>
      </c>
      <c r="AF64" t="n">
        <v>219939356.957492</v>
      </c>
      <c r="AG64" t="n">
        <v>76926726.8888243</v>
      </c>
      <c r="AH64" t="n">
        <v>11842535.4024373</v>
      </c>
      <c r="AI64" t="n">
        <v>143375924.731784</v>
      </c>
      <c r="AJ64" t="n">
        <v>101138358.220392</v>
      </c>
      <c r="AK64" t="n">
        <v>91566893.3552378</v>
      </c>
      <c r="AL64" t="n">
        <v>6322122.12625834</v>
      </c>
      <c r="AM64" t="n">
        <v>131853652.858321</v>
      </c>
      <c r="AN64" t="n">
        <v>72571718.6696415</v>
      </c>
      <c r="AO64" t="n">
        <v>151605151.137771</v>
      </c>
      <c r="AP64" t="n">
        <v>9660866.85928888</v>
      </c>
      <c r="AQ64" t="n">
        <v>399615836.997178</v>
      </c>
      <c r="AR64" t="n">
        <v>308367074.985175</v>
      </c>
      <c r="AS64" t="n">
        <v>349948685.1717</v>
      </c>
      <c r="AT64" t="n">
        <v>96791863.5360445</v>
      </c>
      <c r="AU64" t="n">
        <v>100172166.233167</v>
      </c>
      <c r="AV64" t="n">
        <v>4733304.52185474</v>
      </c>
      <c r="AW64" t="n">
        <v>47823608.2250088</v>
      </c>
      <c r="AX64" t="n">
        <v>1316638625.97695</v>
      </c>
      <c r="AY64" t="n">
        <v>225244314.594263</v>
      </c>
      <c r="AZ64" t="n">
        <v>112195003.853329</v>
      </c>
      <c r="BA64" t="n">
        <v>1320180691.17791</v>
      </c>
      <c r="BB64" t="n">
        <v>1365573112.39061</v>
      </c>
      <c r="BC64" t="n">
        <v>345825474.763186</v>
      </c>
      <c r="BD64" t="n">
        <v>1661109437.18058</v>
      </c>
      <c r="BE64" t="n">
        <v>54224017.2986014</v>
      </c>
      <c r="BF64" t="n">
        <v>56470255.9832236</v>
      </c>
      <c r="BG64" t="n">
        <v>398192853.675523</v>
      </c>
      <c r="BH64" t="n">
        <v>430905016.912293</v>
      </c>
      <c r="BI64" t="n">
        <v>122237932.694027</v>
      </c>
      <c r="BJ64" t="n">
        <v>43422984.8916067</v>
      </c>
      <c r="BK64" t="n">
        <v>47929852.5804803</v>
      </c>
      <c r="BL64" t="n">
        <v>30656816.863897</v>
      </c>
      <c r="BM64" t="n">
        <v>60354858.4281842</v>
      </c>
      <c r="BN64" t="n">
        <v>155210566.334301</v>
      </c>
      <c r="BO64" t="n">
        <v>288329513.260654</v>
      </c>
      <c r="BP64" t="n">
        <v>234288980.226459</v>
      </c>
      <c r="BQ64" t="n">
        <v>435923813.828425</v>
      </c>
      <c r="BR64" t="n">
        <v>25674118.3191718</v>
      </c>
      <c r="BS64" t="n">
        <v>664418592.07659</v>
      </c>
      <c r="BT64" t="n">
        <v>71139882.8571671</v>
      </c>
      <c r="BU64" t="n">
        <v>1272257784.97302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101788401.475962</v>
      </c>
      <c r="CB64" t="n">
        <v>-63958087.7231087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150</v>
      </c>
      <c r="B65" t="n">
        <v>700297.974113647</v>
      </c>
      <c r="C65" t="n">
        <v>5686.19029506241</v>
      </c>
      <c r="D65" t="n">
        <v>80145.7491725006</v>
      </c>
      <c r="E65" t="n">
        <v>1071377.73275888</v>
      </c>
      <c r="F65" t="n">
        <v>102800.062654838</v>
      </c>
      <c r="G65" t="n">
        <v>6199130.27996755</v>
      </c>
      <c r="H65" t="n">
        <v>20022864.9549057</v>
      </c>
      <c r="I65" t="n">
        <v>1731429.07573269</v>
      </c>
      <c r="J65" t="n">
        <v>2111506.67270308</v>
      </c>
      <c r="K65" t="n">
        <v>915072.858961963</v>
      </c>
      <c r="L65" t="n">
        <v>2088789.68955596</v>
      </c>
      <c r="M65" t="n">
        <v>1242688.01957675</v>
      </c>
      <c r="N65" t="n">
        <v>340882.970973058</v>
      </c>
      <c r="O65" t="n">
        <v>428023.866070331</v>
      </c>
      <c r="P65" t="n">
        <v>944971.740097984</v>
      </c>
      <c r="Q65" t="n">
        <v>2223224.83512937</v>
      </c>
      <c r="R65" t="n">
        <v>970316.654893595</v>
      </c>
      <c r="S65" t="n">
        <v>426025.521243681</v>
      </c>
      <c r="T65" t="n">
        <v>31024291.6404092</v>
      </c>
      <c r="U65" t="n">
        <v>749518.099393907</v>
      </c>
      <c r="V65" t="n">
        <v>4353.67344593014</v>
      </c>
      <c r="W65" t="n">
        <v>2442492.43030979</v>
      </c>
      <c r="X65" t="n">
        <v>564326.297921135</v>
      </c>
      <c r="Y65" t="n">
        <v>522966.77941059</v>
      </c>
      <c r="Z65" t="n">
        <v>4639107.14203587</v>
      </c>
      <c r="AA65" t="n">
        <v>3014236.27125467</v>
      </c>
      <c r="AB65" t="n">
        <v>17594152.6597348</v>
      </c>
      <c r="AC65" t="n">
        <v>8078808.26999977</v>
      </c>
      <c r="AD65" t="n">
        <v>4092488.06978004</v>
      </c>
      <c r="AE65" t="n">
        <v>2626215.24971358</v>
      </c>
      <c r="AF65" t="n">
        <v>8333220.20766768</v>
      </c>
      <c r="AG65" t="n">
        <v>1466157.93111233</v>
      </c>
      <c r="AH65" t="n">
        <v>1526279.08437197</v>
      </c>
      <c r="AI65" t="n">
        <v>163907.640549874</v>
      </c>
      <c r="AJ65" t="n">
        <v>5759483.69832761</v>
      </c>
      <c r="AK65" t="n">
        <v>395173.762735491</v>
      </c>
      <c r="AL65" t="n">
        <v>399952.8790626</v>
      </c>
      <c r="AM65" t="n">
        <v>2516000.58248104</v>
      </c>
      <c r="AN65" t="n">
        <v>1996726.63964866</v>
      </c>
      <c r="AO65" t="n">
        <v>287860.096227668</v>
      </c>
      <c r="AP65" t="n">
        <v>189049.045538157</v>
      </c>
      <c r="AQ65" t="n">
        <v>637379.554097887</v>
      </c>
      <c r="AR65" t="n">
        <v>748203.223704228</v>
      </c>
      <c r="AS65" t="n">
        <v>4691332.58730536</v>
      </c>
      <c r="AT65" t="n">
        <v>633796.309979444</v>
      </c>
      <c r="AU65" t="n">
        <v>8376579.80278086</v>
      </c>
      <c r="AV65" t="n">
        <v>9206868.11677792</v>
      </c>
      <c r="AW65" t="n">
        <v>32486.5958940951</v>
      </c>
      <c r="AX65" t="n">
        <v>354869607.791421</v>
      </c>
      <c r="AY65" t="n">
        <v>5044582.71127182</v>
      </c>
      <c r="AZ65" t="n">
        <v>2510036.15882373</v>
      </c>
      <c r="BA65" t="n">
        <v>9430347.44745091</v>
      </c>
      <c r="BB65" t="n">
        <v>35795209.0218935</v>
      </c>
      <c r="BC65" t="n">
        <v>9173138.68245332</v>
      </c>
      <c r="BD65" t="n">
        <v>32585977.035644</v>
      </c>
      <c r="BE65" t="n">
        <v>99223390.3337611</v>
      </c>
      <c r="BF65" t="n">
        <v>2272681.18028572</v>
      </c>
      <c r="BG65" t="n">
        <v>16949747.2039771</v>
      </c>
      <c r="BH65" t="n">
        <v>15814751.088078</v>
      </c>
      <c r="BI65" t="n">
        <v>7288231.69921555</v>
      </c>
      <c r="BJ65" t="n">
        <v>4020597.79794533</v>
      </c>
      <c r="BK65" t="n">
        <v>849531.250483171</v>
      </c>
      <c r="BL65" t="n">
        <v>3791618.81485362</v>
      </c>
      <c r="BM65" t="n">
        <v>7473040.23542559</v>
      </c>
      <c r="BN65" t="n">
        <v>19069898.7557666</v>
      </c>
      <c r="BO65" t="n">
        <v>19444503.4158176</v>
      </c>
      <c r="BP65" t="n">
        <v>2657981.12157983</v>
      </c>
      <c r="BQ65" t="n">
        <v>30736458.3123001</v>
      </c>
      <c r="BR65" t="n">
        <v>7199199.87387873</v>
      </c>
      <c r="BS65" t="n">
        <v>268708493.128083</v>
      </c>
      <c r="BT65" t="n">
        <v>29996196.141382</v>
      </c>
      <c r="BU65" t="n">
        <v>414186656.025186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4885628.99528336</v>
      </c>
      <c r="CB65" t="n">
        <v>-6854852.41628726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151</v>
      </c>
      <c r="B66" t="n">
        <v>5199.68461769901</v>
      </c>
      <c r="C66" t="n">
        <v>0</v>
      </c>
      <c r="D66" t="n">
        <v>0</v>
      </c>
      <c r="E66" t="n">
        <v>0</v>
      </c>
      <c r="F66" t="n">
        <v>0</v>
      </c>
      <c r="G66" t="n">
        <v>798274.414086129</v>
      </c>
      <c r="H66" t="n">
        <v>29756.1554179203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94464.8738007573</v>
      </c>
      <c r="Y66" t="n">
        <v>4114.51555162601</v>
      </c>
      <c r="Z66" t="n">
        <v>0</v>
      </c>
      <c r="AA66" t="n">
        <v>7056.03239305696</v>
      </c>
      <c r="AB66" t="n">
        <v>8324032.34661273</v>
      </c>
      <c r="AC66" t="n">
        <v>535542.684863414</v>
      </c>
      <c r="AD66" t="n">
        <v>3448033.87685141</v>
      </c>
      <c r="AE66" t="n">
        <v>0</v>
      </c>
      <c r="AF66" t="n">
        <v>14360602.9995191</v>
      </c>
      <c r="AG66" t="n">
        <v>1128847.9121454</v>
      </c>
      <c r="AH66" t="n">
        <v>60465.6806188154</v>
      </c>
      <c r="AI66" t="n">
        <v>0</v>
      </c>
      <c r="AJ66" t="n">
        <v>0</v>
      </c>
      <c r="AK66" t="n">
        <v>0</v>
      </c>
      <c r="AL66" t="n">
        <v>9294.72130122025</v>
      </c>
      <c r="AM66" t="n">
        <v>187994.397724881</v>
      </c>
      <c r="AN66" t="n">
        <v>0</v>
      </c>
      <c r="AO66" t="n">
        <v>0</v>
      </c>
      <c r="AP66" t="n">
        <v>0</v>
      </c>
      <c r="AQ66" t="n">
        <v>81790.2541533276</v>
      </c>
      <c r="AR66" t="n">
        <v>700334.909642536</v>
      </c>
      <c r="AS66" t="n">
        <v>261273.138798925</v>
      </c>
      <c r="AT66" t="n">
        <v>24941.3357478375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1725436.37934975</v>
      </c>
      <c r="BB66" t="n">
        <v>402848.71115016</v>
      </c>
      <c r="BC66" t="n">
        <v>0</v>
      </c>
      <c r="BD66" t="n">
        <v>2259854.20470172</v>
      </c>
      <c r="BE66" t="n">
        <v>0</v>
      </c>
      <c r="BF66" t="n">
        <v>12504179.7490209</v>
      </c>
      <c r="BG66" t="n">
        <v>0</v>
      </c>
      <c r="BH66" t="n">
        <v>25308.4070406091</v>
      </c>
      <c r="BI66" t="n">
        <v>0</v>
      </c>
      <c r="BJ66" t="n">
        <v>0</v>
      </c>
      <c r="BK66" t="n">
        <v>12798451.681824</v>
      </c>
      <c r="BL66" t="n">
        <v>1204342.21679806</v>
      </c>
      <c r="BM66" t="n">
        <v>0</v>
      </c>
      <c r="BN66" t="n">
        <v>0</v>
      </c>
      <c r="BO66" t="n">
        <v>16210962.9226175</v>
      </c>
      <c r="BP66" t="n">
        <v>0</v>
      </c>
      <c r="BQ66" t="n">
        <v>370347.898660995</v>
      </c>
      <c r="BR66" t="n">
        <v>2178353.54196622</v>
      </c>
      <c r="BS66" t="n">
        <v>70679905.4554776</v>
      </c>
      <c r="BT66" t="n">
        <v>35091.0986952964</v>
      </c>
      <c r="BU66" t="n">
        <v>3140229527.31746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53291555.2562201</v>
      </c>
      <c r="CB66" t="n">
        <v>-48858497.5030544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152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3467855.9636709</v>
      </c>
      <c r="BC67" t="n">
        <v>0</v>
      </c>
      <c r="BD67" t="n">
        <v>3058246.21676892</v>
      </c>
      <c r="BE67" t="n">
        <v>0</v>
      </c>
      <c r="BF67" t="n">
        <v>0</v>
      </c>
      <c r="BG67" t="n">
        <v>377181312.75935</v>
      </c>
      <c r="BH67" t="n">
        <v>239882410.871437</v>
      </c>
      <c r="BI67" t="n">
        <v>2086948.95591647</v>
      </c>
      <c r="BJ67" t="n">
        <v>20962.669498448</v>
      </c>
      <c r="BK67" t="n">
        <v>2225790.51875681</v>
      </c>
      <c r="BL67" t="n">
        <v>51070.8333764634</v>
      </c>
      <c r="BM67" t="n">
        <v>0</v>
      </c>
      <c r="BN67" t="n">
        <v>0</v>
      </c>
      <c r="BO67" t="n">
        <v>1609761.98248874</v>
      </c>
      <c r="BP67" t="n">
        <v>0</v>
      </c>
      <c r="BQ67" t="n">
        <v>43173096.8679698</v>
      </c>
      <c r="BR67" t="n">
        <v>0</v>
      </c>
      <c r="BS67" t="n">
        <v>277376640.65985</v>
      </c>
      <c r="BT67" t="n">
        <v>0</v>
      </c>
      <c r="BU67" t="n">
        <v>34198217310.35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25261928.5381801</v>
      </c>
      <c r="CB67" t="n">
        <v>-12099887.4877841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17289323.2400966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34007045988.9832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90529783.2667146</v>
      </c>
      <c r="CB68" t="n">
        <v>-165087650.790227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135870374.275396</v>
      </c>
      <c r="BR69" t="n">
        <v>0</v>
      </c>
      <c r="BS69" t="n">
        <v>33225864.9774366</v>
      </c>
      <c r="BT69" t="n">
        <v>0</v>
      </c>
      <c r="BU69" t="n">
        <v>7668955646.13865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6008004.70890922</v>
      </c>
      <c r="CB69" t="n">
        <v>-3517494.64431087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7442550573.85642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156</v>
      </c>
      <c r="B71" t="n">
        <v>499007.163730123</v>
      </c>
      <c r="C71" t="n">
        <v>0</v>
      </c>
      <c r="D71" t="n">
        <v>0</v>
      </c>
      <c r="E71" t="n">
        <v>0</v>
      </c>
      <c r="F71" t="n">
        <v>28960.3927212827</v>
      </c>
      <c r="G71" t="n">
        <v>1904857.00233483</v>
      </c>
      <c r="H71" t="n">
        <v>3122021.20497813</v>
      </c>
      <c r="I71" t="n">
        <v>548282.476442294</v>
      </c>
      <c r="J71" t="n">
        <v>496740.740290446</v>
      </c>
      <c r="K71" t="n">
        <v>252254.627473586</v>
      </c>
      <c r="L71" t="n">
        <v>676497.415575639</v>
      </c>
      <c r="M71" t="n">
        <v>395597.547959404</v>
      </c>
      <c r="N71" t="n">
        <v>33805.4041761558</v>
      </c>
      <c r="O71" t="n">
        <v>54727.4922993703</v>
      </c>
      <c r="P71" t="n">
        <v>293182.306971477</v>
      </c>
      <c r="Q71" t="n">
        <v>287884.591214404</v>
      </c>
      <c r="R71" t="n">
        <v>246580.191942392</v>
      </c>
      <c r="S71" t="n">
        <v>169824.415235719</v>
      </c>
      <c r="T71" t="n">
        <v>4295100.04702172</v>
      </c>
      <c r="U71" t="n">
        <v>97676.9778067507</v>
      </c>
      <c r="V71" t="n">
        <v>5900.64217923263</v>
      </c>
      <c r="W71" t="n">
        <v>518156.710460306</v>
      </c>
      <c r="X71" t="n">
        <v>353883.740163579</v>
      </c>
      <c r="Y71" t="n">
        <v>74002.6859317179</v>
      </c>
      <c r="Z71" t="n">
        <v>181656.171722011</v>
      </c>
      <c r="AA71" t="n">
        <v>1500126.33485509</v>
      </c>
      <c r="AB71" t="n">
        <v>39349431.174959</v>
      </c>
      <c r="AC71" t="n">
        <v>7096751.26205348</v>
      </c>
      <c r="AD71" t="n">
        <v>7075023.73447611</v>
      </c>
      <c r="AE71" t="n">
        <v>1423750.00483236</v>
      </c>
      <c r="AF71" t="n">
        <v>7397491.49720246</v>
      </c>
      <c r="AG71" t="n">
        <v>0</v>
      </c>
      <c r="AH71" t="n">
        <v>2124137.09649525</v>
      </c>
      <c r="AI71" t="n">
        <v>0</v>
      </c>
      <c r="AJ71" t="n">
        <v>748303.231146705</v>
      </c>
      <c r="AK71" t="n">
        <v>267794.42710648</v>
      </c>
      <c r="AL71" t="n">
        <v>0</v>
      </c>
      <c r="AM71" t="n">
        <v>4589828.96963161</v>
      </c>
      <c r="AN71" t="n">
        <v>100763.264993748</v>
      </c>
      <c r="AO71" t="n">
        <v>1656700.81523241</v>
      </c>
      <c r="AP71" t="n">
        <v>64937565.5069184</v>
      </c>
      <c r="AQ71" t="n">
        <v>373432611.446703</v>
      </c>
      <c r="AR71" t="n">
        <v>7332531.85593228</v>
      </c>
      <c r="AS71" t="n">
        <v>46501423.9956475</v>
      </c>
      <c r="AT71" t="n">
        <v>5674810.23799567</v>
      </c>
      <c r="AU71" t="n">
        <v>1983864.75079249</v>
      </c>
      <c r="AV71" t="n">
        <v>11573036.1712005</v>
      </c>
      <c r="AW71" t="n">
        <v>0</v>
      </c>
      <c r="AX71" t="n">
        <v>55652787.0652254</v>
      </c>
      <c r="AY71" t="n">
        <v>2964825.9495695</v>
      </c>
      <c r="AZ71" t="n">
        <v>6988404.5484357</v>
      </c>
      <c r="BA71" t="n">
        <v>44575386.1356588</v>
      </c>
      <c r="BB71" t="n">
        <v>135497167.270881</v>
      </c>
      <c r="BC71" t="n">
        <v>87974742.9695444</v>
      </c>
      <c r="BD71" t="n">
        <v>46167757.7177736</v>
      </c>
      <c r="BE71" t="n">
        <v>1267878.43675125</v>
      </c>
      <c r="BF71" t="n">
        <v>18206202.1977181</v>
      </c>
      <c r="BG71" t="n">
        <v>15952550.9336156</v>
      </c>
      <c r="BH71" t="n">
        <v>16133387.3244195</v>
      </c>
      <c r="BI71" t="n">
        <v>2939160.74438532</v>
      </c>
      <c r="BJ71" t="n">
        <v>11203742.4106136</v>
      </c>
      <c r="BK71" t="n">
        <v>244666703.463411</v>
      </c>
      <c r="BL71" t="n">
        <v>7462932.07786938</v>
      </c>
      <c r="BM71" t="n">
        <v>3410046.79582474</v>
      </c>
      <c r="BN71" t="n">
        <v>50363010.0816052</v>
      </c>
      <c r="BO71" t="n">
        <v>26797462.294706</v>
      </c>
      <c r="BP71" t="n">
        <v>0</v>
      </c>
      <c r="BQ71" t="n">
        <v>760829.55068779</v>
      </c>
      <c r="BR71" t="n">
        <v>1336271.70995864</v>
      </c>
      <c r="BS71" t="n">
        <v>26655523.4760317</v>
      </c>
      <c r="BT71" t="n">
        <v>302141.51385262</v>
      </c>
      <c r="BU71" t="n">
        <v>1988620076.61197</v>
      </c>
      <c r="BV71" t="n">
        <v>0</v>
      </c>
      <c r="BW71" t="n">
        <v>0</v>
      </c>
      <c r="BX71" t="n">
        <v>64720129.5789129</v>
      </c>
      <c r="BY71" t="n">
        <v>0</v>
      </c>
      <c r="BZ71" t="n">
        <v>0</v>
      </c>
      <c r="CA71" t="n">
        <v>25333431.1838889</v>
      </c>
      <c r="CB71" t="n">
        <v>-39846877.5241236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157</v>
      </c>
      <c r="B72" t="n">
        <v>66225.5137534685</v>
      </c>
      <c r="C72" t="n">
        <v>0</v>
      </c>
      <c r="D72" t="n">
        <v>0</v>
      </c>
      <c r="E72" t="n">
        <v>0</v>
      </c>
      <c r="F72" t="n">
        <v>8232.25867597598</v>
      </c>
      <c r="G72" t="n">
        <v>405528.57568011</v>
      </c>
      <c r="H72" t="n">
        <v>866257.67292429</v>
      </c>
      <c r="I72" t="n">
        <v>69517.2325465863</v>
      </c>
      <c r="J72" t="n">
        <v>99296.2755534163</v>
      </c>
      <c r="K72" t="n">
        <v>23176.5166976876</v>
      </c>
      <c r="L72" t="n">
        <v>95822.2374682696</v>
      </c>
      <c r="M72" t="n">
        <v>49398.1996581253</v>
      </c>
      <c r="N72" t="n">
        <v>5953.08036261372</v>
      </c>
      <c r="O72" t="n">
        <v>5782.45699423888</v>
      </c>
      <c r="P72" t="n">
        <v>40759.704663046</v>
      </c>
      <c r="Q72" t="n">
        <v>40556.8316291003</v>
      </c>
      <c r="R72" t="n">
        <v>43422.3975200139</v>
      </c>
      <c r="S72" t="n">
        <v>23924.6573988947</v>
      </c>
      <c r="T72" t="n">
        <v>447332.153231258</v>
      </c>
      <c r="U72" t="n">
        <v>0</v>
      </c>
      <c r="V72" t="n">
        <v>0</v>
      </c>
      <c r="W72" t="n">
        <v>49132.7901121941</v>
      </c>
      <c r="X72" t="n">
        <v>48246.4950867317</v>
      </c>
      <c r="Y72" t="n">
        <v>4990.88706311814</v>
      </c>
      <c r="Z72" t="n">
        <v>26391.2352879257</v>
      </c>
      <c r="AA72" t="n">
        <v>145501.852131795</v>
      </c>
      <c r="AB72" t="n">
        <v>3043536.3147067</v>
      </c>
      <c r="AC72" t="n">
        <v>64961.0634373736</v>
      </c>
      <c r="AD72" t="n">
        <v>303643.771618439</v>
      </c>
      <c r="AE72" t="n">
        <v>20893.3512298628</v>
      </c>
      <c r="AF72" t="n">
        <v>2019726.02958743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38006.0461461052</v>
      </c>
      <c r="AN72" t="n">
        <v>7604.68200774773</v>
      </c>
      <c r="AO72" t="n">
        <v>129418.71115798</v>
      </c>
      <c r="AP72" t="n">
        <v>47082.2203688693</v>
      </c>
      <c r="AQ72" t="n">
        <v>231492.741048756</v>
      </c>
      <c r="AR72" t="n">
        <v>1178589.4563223</v>
      </c>
      <c r="AS72" t="n">
        <v>4214219.72689915</v>
      </c>
      <c r="AT72" t="n">
        <v>726089.212840091</v>
      </c>
      <c r="AU72" t="n">
        <v>154277.870737477</v>
      </c>
      <c r="AV72" t="n">
        <v>520439.050617146</v>
      </c>
      <c r="AW72" t="n">
        <v>0</v>
      </c>
      <c r="AX72" t="n">
        <v>0</v>
      </c>
      <c r="AY72" t="n">
        <v>402755.969014282</v>
      </c>
      <c r="AZ72" t="n">
        <v>542555.770102702</v>
      </c>
      <c r="BA72" t="n">
        <v>6627661.74703978</v>
      </c>
      <c r="BB72" t="n">
        <v>5599704.9611826</v>
      </c>
      <c r="BC72" t="n">
        <v>9508293.34817949</v>
      </c>
      <c r="BD72" t="n">
        <v>5429053.41672083</v>
      </c>
      <c r="BE72" t="n">
        <v>174310.086703792</v>
      </c>
      <c r="BF72" t="n">
        <v>341525.168143092</v>
      </c>
      <c r="BG72" t="n">
        <v>2574345.6424034</v>
      </c>
      <c r="BH72" t="n">
        <v>85957.1240322871</v>
      </c>
      <c r="BI72" t="n">
        <v>217961.349409926</v>
      </c>
      <c r="BJ72" t="n">
        <v>437567.066315862</v>
      </c>
      <c r="BK72" t="n">
        <v>855890.755916742</v>
      </c>
      <c r="BL72" t="n">
        <v>1415738.04191421</v>
      </c>
      <c r="BM72" t="n">
        <v>2242405.43052004</v>
      </c>
      <c r="BN72" t="n">
        <v>6705486.61180606</v>
      </c>
      <c r="BO72" t="n">
        <v>432724.757284093</v>
      </c>
      <c r="BP72" t="n">
        <v>107561.852590908</v>
      </c>
      <c r="BQ72" t="n">
        <v>47287.3867137529</v>
      </c>
      <c r="BR72" t="n">
        <v>21658.4598230891</v>
      </c>
      <c r="BS72" t="n">
        <v>6210232.83529576</v>
      </c>
      <c r="BT72" t="n">
        <v>558669.950711854</v>
      </c>
      <c r="BU72" t="n">
        <v>2507531935.03264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345335.490314583</v>
      </c>
      <c r="CB72" t="n">
        <v>-924923.460656668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158</v>
      </c>
      <c r="B73" t="n">
        <v>6632.70418408471</v>
      </c>
      <c r="C73" t="n">
        <v>0</v>
      </c>
      <c r="D73" t="n">
        <v>249.634186172318</v>
      </c>
      <c r="E73" t="n">
        <v>154476.405177055</v>
      </c>
      <c r="F73" t="n">
        <v>262769.152338506</v>
      </c>
      <c r="G73" t="n">
        <v>19094865.202272</v>
      </c>
      <c r="H73" t="n">
        <v>7534439.59088918</v>
      </c>
      <c r="I73" t="n">
        <v>2241886.58721359</v>
      </c>
      <c r="J73" t="n">
        <v>2729861.41567442</v>
      </c>
      <c r="K73" t="n">
        <v>822576.944933235</v>
      </c>
      <c r="L73" t="n">
        <v>3264870.11858574</v>
      </c>
      <c r="M73" t="n">
        <v>1862122.62506406</v>
      </c>
      <c r="N73" t="n">
        <v>250412.686778706</v>
      </c>
      <c r="O73" t="n">
        <v>304044.39884672</v>
      </c>
      <c r="P73" t="n">
        <v>1791686.00612693</v>
      </c>
      <c r="Q73" t="n">
        <v>1322148.70815839</v>
      </c>
      <c r="R73" t="n">
        <v>1406433.19031745</v>
      </c>
      <c r="S73" t="n">
        <v>930897.883364097</v>
      </c>
      <c r="T73" t="n">
        <v>15438291.0257932</v>
      </c>
      <c r="U73" t="n">
        <v>369005.284007076</v>
      </c>
      <c r="V73" t="n">
        <v>13112.6578530625</v>
      </c>
      <c r="W73" t="n">
        <v>1741967.23294859</v>
      </c>
      <c r="X73" t="n">
        <v>2207037.01738858</v>
      </c>
      <c r="Y73" t="n">
        <v>169700.379449958</v>
      </c>
      <c r="Z73" t="n">
        <v>1029394.36819808</v>
      </c>
      <c r="AA73" t="n">
        <v>5346390.00946232</v>
      </c>
      <c r="AB73" t="n">
        <v>45719262.8820897</v>
      </c>
      <c r="AC73" t="n">
        <v>722173.24873167</v>
      </c>
      <c r="AD73" t="n">
        <v>1194855.1615836</v>
      </c>
      <c r="AE73" t="n">
        <v>1076610.90994502</v>
      </c>
      <c r="AF73" t="n">
        <v>3470703.80125618</v>
      </c>
      <c r="AG73" t="n">
        <v>0</v>
      </c>
      <c r="AH73" t="n">
        <v>246815.568140467</v>
      </c>
      <c r="AI73" t="n">
        <v>0</v>
      </c>
      <c r="AJ73" t="n">
        <v>0</v>
      </c>
      <c r="AK73" t="n">
        <v>0</v>
      </c>
      <c r="AL73" t="n">
        <v>30826.438069362</v>
      </c>
      <c r="AM73" t="n">
        <v>6266908.31541275</v>
      </c>
      <c r="AN73" t="n">
        <v>239914.725360146</v>
      </c>
      <c r="AO73" t="n">
        <v>4990259.06577129</v>
      </c>
      <c r="AP73" t="n">
        <v>2172344.28908942</v>
      </c>
      <c r="AQ73" t="n">
        <v>9097701.1861371</v>
      </c>
      <c r="AR73" t="n">
        <v>45520374.1338245</v>
      </c>
      <c r="AS73" t="n">
        <v>161883682.183201</v>
      </c>
      <c r="AT73" t="n">
        <v>28204088.859238</v>
      </c>
      <c r="AU73" t="n">
        <v>5830176.79683567</v>
      </c>
      <c r="AV73" t="n">
        <v>20554109.1355566</v>
      </c>
      <c r="AW73" t="n">
        <v>122306.375885917</v>
      </c>
      <c r="AX73" t="n">
        <v>164849472.632201</v>
      </c>
      <c r="AY73" t="n">
        <v>17044707.413857</v>
      </c>
      <c r="AZ73" t="n">
        <v>16360719.713573</v>
      </c>
      <c r="BA73" t="n">
        <v>259975554.302786</v>
      </c>
      <c r="BB73" t="n">
        <v>206993506.70157</v>
      </c>
      <c r="BC73" t="n">
        <v>22654942.0712065</v>
      </c>
      <c r="BD73" t="n">
        <v>137313519.55163</v>
      </c>
      <c r="BE73" t="n">
        <v>7803606.00649159</v>
      </c>
      <c r="BF73" t="n">
        <v>10605523.2638507</v>
      </c>
      <c r="BG73" t="n">
        <v>65214372.5497513</v>
      </c>
      <c r="BH73" t="n">
        <v>3576993.87733858</v>
      </c>
      <c r="BI73" t="n">
        <v>4852934.75584922</v>
      </c>
      <c r="BJ73" t="n">
        <v>6003859.03181292</v>
      </c>
      <c r="BK73" t="n">
        <v>1607659.76533393</v>
      </c>
      <c r="BL73" t="n">
        <v>3036922.66570966</v>
      </c>
      <c r="BM73" t="n">
        <v>7521984.13319015</v>
      </c>
      <c r="BN73" t="n">
        <v>44656970.6507906</v>
      </c>
      <c r="BO73" t="n">
        <v>13990374.3039902</v>
      </c>
      <c r="BP73" t="n">
        <v>111831141.268187</v>
      </c>
      <c r="BQ73" t="n">
        <v>51567806.8638545</v>
      </c>
      <c r="BR73" t="n">
        <v>2368729.67306268</v>
      </c>
      <c r="BS73" t="n">
        <v>66303467.5847424</v>
      </c>
      <c r="BT73" t="n">
        <v>2003104.61457238</v>
      </c>
      <c r="BU73" t="n">
        <v>3383064121.24824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159</v>
      </c>
      <c r="B74" t="n">
        <v>3740598.55028574</v>
      </c>
      <c r="C74" t="n">
        <v>49152.3386548404</v>
      </c>
      <c r="D74" t="n">
        <v>4656.9903106607</v>
      </c>
      <c r="E74" t="n">
        <v>812814.621310005</v>
      </c>
      <c r="F74" t="n">
        <v>736619.367002178</v>
      </c>
      <c r="G74" t="n">
        <v>53404222.0055731</v>
      </c>
      <c r="H74" t="n">
        <v>13126997.6987467</v>
      </c>
      <c r="I74" t="n">
        <v>4545975.45065707</v>
      </c>
      <c r="J74" t="n">
        <v>4902108.45304732</v>
      </c>
      <c r="K74" t="n">
        <v>1748761.89930249</v>
      </c>
      <c r="L74" t="n">
        <v>5494933.20907148</v>
      </c>
      <c r="M74" t="n">
        <v>3463516.18368891</v>
      </c>
      <c r="N74" t="n">
        <v>377314.547144061</v>
      </c>
      <c r="O74" t="n">
        <v>820262.351872378</v>
      </c>
      <c r="P74" t="n">
        <v>2940163.20979447</v>
      </c>
      <c r="Q74" t="n">
        <v>2539946.8588251</v>
      </c>
      <c r="R74" t="n">
        <v>2306582.4121158</v>
      </c>
      <c r="S74" t="n">
        <v>1516378.19787089</v>
      </c>
      <c r="T74" t="n">
        <v>33446174.1189238</v>
      </c>
      <c r="U74" t="n">
        <v>1090208.6676884</v>
      </c>
      <c r="V74" t="n">
        <v>56450.7747285818</v>
      </c>
      <c r="W74" t="n">
        <v>3707267.68286123</v>
      </c>
      <c r="X74" t="n">
        <v>2857708.61446658</v>
      </c>
      <c r="Y74" t="n">
        <v>524705.102724335</v>
      </c>
      <c r="Z74" t="n">
        <v>1752366.36579896</v>
      </c>
      <c r="AA74" t="n">
        <v>9299607.3160462</v>
      </c>
      <c r="AB74" t="n">
        <v>157580540.28711</v>
      </c>
      <c r="AC74" t="n">
        <v>22351181.5759985</v>
      </c>
      <c r="AD74" t="n">
        <v>23029401.4536474</v>
      </c>
      <c r="AE74" t="n">
        <v>30741512.7387067</v>
      </c>
      <c r="AF74" t="n">
        <v>67458284.790259</v>
      </c>
      <c r="AG74" t="n">
        <v>223580664.71353</v>
      </c>
      <c r="AH74" t="n">
        <v>66409.7345515957</v>
      </c>
      <c r="AI74" t="n">
        <v>673000.83768284</v>
      </c>
      <c r="AJ74" t="n">
        <v>17445377.6404401</v>
      </c>
      <c r="AK74" t="n">
        <v>2988952.07597173</v>
      </c>
      <c r="AL74" t="n">
        <v>231391.19483924</v>
      </c>
      <c r="AM74" t="n">
        <v>34366634.9565664</v>
      </c>
      <c r="AN74" t="n">
        <v>6242987.59711054</v>
      </c>
      <c r="AO74" t="n">
        <v>6235238.72888451</v>
      </c>
      <c r="AP74" t="n">
        <v>4192001.80699075</v>
      </c>
      <c r="AQ74" t="n">
        <v>11937490.1558908</v>
      </c>
      <c r="AR74" t="n">
        <v>56475905.6067725</v>
      </c>
      <c r="AS74" t="n">
        <v>330905931.583904</v>
      </c>
      <c r="AT74" t="n">
        <v>40016875.6047737</v>
      </c>
      <c r="AU74" t="n">
        <v>47374663.8010634</v>
      </c>
      <c r="AV74" t="n">
        <v>68590256.4102564</v>
      </c>
      <c r="AW74" t="n">
        <v>140409.666250185</v>
      </c>
      <c r="AX74" t="n">
        <v>658883139.687687</v>
      </c>
      <c r="AY74" t="n">
        <v>57033824.0942261</v>
      </c>
      <c r="AZ74" t="n">
        <v>42186636.4974271</v>
      </c>
      <c r="BA74" t="n">
        <v>484592557.701243</v>
      </c>
      <c r="BB74" t="n">
        <v>724463013.100215</v>
      </c>
      <c r="BC74" t="n">
        <v>158023851.650221</v>
      </c>
      <c r="BD74" t="n">
        <v>376840318.03681</v>
      </c>
      <c r="BE74" t="n">
        <v>10108559.5229305</v>
      </c>
      <c r="BF74" t="n">
        <v>31731799.3628806</v>
      </c>
      <c r="BG74" t="n">
        <v>599288474.297625</v>
      </c>
      <c r="BH74" t="n">
        <v>364261765.198906</v>
      </c>
      <c r="BI74" t="n">
        <v>171628867.396348</v>
      </c>
      <c r="BJ74" t="n">
        <v>77226474.4322823</v>
      </c>
      <c r="BK74" t="n">
        <v>8789435.55217103</v>
      </c>
      <c r="BL74" t="n">
        <v>23594725.0199261</v>
      </c>
      <c r="BM74" t="n">
        <v>166629423.024618</v>
      </c>
      <c r="BN74" t="n">
        <v>160171946.338299</v>
      </c>
      <c r="BO74" t="n">
        <v>53425874.0980697</v>
      </c>
      <c r="BP74" t="n">
        <v>57352902.0510737</v>
      </c>
      <c r="BQ74" t="n">
        <v>23477601.4372926</v>
      </c>
      <c r="BR74" t="n">
        <v>19806726.6424228</v>
      </c>
      <c r="BS74" t="n">
        <v>325273666.796154</v>
      </c>
      <c r="BT74" t="n">
        <v>9603061.42761536</v>
      </c>
      <c r="BU74" t="n">
        <v>20691405049.9989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69121413.1585222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160</v>
      </c>
      <c r="B75" t="n">
        <v>3890869.96439141</v>
      </c>
      <c r="C75" t="n">
        <v>319874.977463849</v>
      </c>
      <c r="D75" t="n">
        <v>32542.6176160329</v>
      </c>
      <c r="E75" t="n">
        <v>3497003.83001896</v>
      </c>
      <c r="F75" t="n">
        <v>949065.157924851</v>
      </c>
      <c r="G75" t="n">
        <v>28544059.7684707</v>
      </c>
      <c r="H75" t="n">
        <v>180466571.047202</v>
      </c>
      <c r="I75" t="n">
        <v>13350921.0863436</v>
      </c>
      <c r="J75" t="n">
        <v>22661157.1332551</v>
      </c>
      <c r="K75" t="n">
        <v>10588212.1776212</v>
      </c>
      <c r="L75" t="n">
        <v>25359683.5306293</v>
      </c>
      <c r="M75" t="n">
        <v>12162847.8123348</v>
      </c>
      <c r="N75" t="n">
        <v>5352726.37558642</v>
      </c>
      <c r="O75" t="n">
        <v>3062376.7448185</v>
      </c>
      <c r="P75" t="n">
        <v>11469178.7477694</v>
      </c>
      <c r="Q75" t="n">
        <v>15194488.1996624</v>
      </c>
      <c r="R75" t="n">
        <v>4194949.15441133</v>
      </c>
      <c r="S75" t="n">
        <v>4237986.02531332</v>
      </c>
      <c r="T75" t="n">
        <v>138392474.613943</v>
      </c>
      <c r="U75" t="n">
        <v>4084254.57100597</v>
      </c>
      <c r="V75" t="n">
        <v>81638.2101862441</v>
      </c>
      <c r="W75" t="n">
        <v>26184014.393768</v>
      </c>
      <c r="X75" t="n">
        <v>6721239.55747658</v>
      </c>
      <c r="Y75" t="n">
        <v>3216816.52967708</v>
      </c>
      <c r="Z75" t="n">
        <v>16748352.7797167</v>
      </c>
      <c r="AA75" t="n">
        <v>25453371.4115849</v>
      </c>
      <c r="AB75" t="n">
        <v>378053836.292406</v>
      </c>
      <c r="AC75" t="n">
        <v>61406474.2032986</v>
      </c>
      <c r="AD75" t="n">
        <v>68934224.1981012</v>
      </c>
      <c r="AE75" t="n">
        <v>70968468.602803</v>
      </c>
      <c r="AF75" t="n">
        <v>128313805.794635</v>
      </c>
      <c r="AG75" t="n">
        <v>13919041.0291121</v>
      </c>
      <c r="AH75" t="n">
        <v>2625906.64174404</v>
      </c>
      <c r="AI75" t="n">
        <v>15401777.8473326</v>
      </c>
      <c r="AJ75" t="n">
        <v>128187298.564648</v>
      </c>
      <c r="AK75" t="n">
        <v>40389773.2526138</v>
      </c>
      <c r="AL75" t="n">
        <v>2605142.19904881</v>
      </c>
      <c r="AM75" t="n">
        <v>57438904.2104329</v>
      </c>
      <c r="AN75" t="n">
        <v>20482221.7625623</v>
      </c>
      <c r="AO75" t="n">
        <v>17683379.5570532</v>
      </c>
      <c r="AP75" t="n">
        <v>2818728.26322293</v>
      </c>
      <c r="AQ75" t="n">
        <v>74795783.6478994</v>
      </c>
      <c r="AR75" t="n">
        <v>51834400.4171059</v>
      </c>
      <c r="AS75" t="n">
        <v>151851336.711818</v>
      </c>
      <c r="AT75" t="n">
        <v>48142406.5238748</v>
      </c>
      <c r="AU75" t="n">
        <v>94227712.0676211</v>
      </c>
      <c r="AV75" t="n">
        <v>12676208.3749338</v>
      </c>
      <c r="AW75" t="n">
        <v>665591002.791445</v>
      </c>
      <c r="AX75" t="n">
        <v>106754938.442217</v>
      </c>
      <c r="AY75" t="n">
        <v>134165179.130807</v>
      </c>
      <c r="AZ75" t="n">
        <v>20431321.2754891</v>
      </c>
      <c r="BA75" t="n">
        <v>185384754.822288</v>
      </c>
      <c r="BB75" t="n">
        <v>370571705.754315</v>
      </c>
      <c r="BC75" t="n">
        <v>246565653.547648</v>
      </c>
      <c r="BD75" t="n">
        <v>505298514.990345</v>
      </c>
      <c r="BE75" t="n">
        <v>86888251.6673773</v>
      </c>
      <c r="BF75" t="n">
        <v>52864911.530673</v>
      </c>
      <c r="BG75" t="n">
        <v>137779408.726479</v>
      </c>
      <c r="BH75" t="n">
        <v>220162569.902558</v>
      </c>
      <c r="BI75" t="n">
        <v>34127557.3946415</v>
      </c>
      <c r="BJ75" t="n">
        <v>17386368.166234</v>
      </c>
      <c r="BK75" t="n">
        <v>13475496.9929576</v>
      </c>
      <c r="BL75" t="n">
        <v>26077042.4742145</v>
      </c>
      <c r="BM75" t="n">
        <v>39684155.4021188</v>
      </c>
      <c r="BN75" t="n">
        <v>240221449.320013</v>
      </c>
      <c r="BO75" t="n">
        <v>197837381.690987</v>
      </c>
      <c r="BP75" t="n">
        <v>239230138.869447</v>
      </c>
      <c r="BQ75" t="n">
        <v>685801082.349836</v>
      </c>
      <c r="BR75" t="n">
        <v>45094622.6160095</v>
      </c>
      <c r="BS75" t="n">
        <v>688537336.975532</v>
      </c>
      <c r="BT75" t="n">
        <v>53663339.458419</v>
      </c>
      <c r="BU75" t="n">
        <v>19194414822.9321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2301098.60579697</v>
      </c>
      <c r="CB75" t="n">
        <v>-128519894.094891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161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30882877560.257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162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129292947025.987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163</v>
      </c>
      <c r="B78" t="n">
        <v>23741.4874304602</v>
      </c>
      <c r="C78" t="n">
        <v>2554.24365113279</v>
      </c>
      <c r="D78" t="n">
        <v>0</v>
      </c>
      <c r="E78" t="n">
        <v>15359.4954554214</v>
      </c>
      <c r="F78" t="n">
        <v>0</v>
      </c>
      <c r="G78" t="n">
        <v>1463200.12715797</v>
      </c>
      <c r="H78" t="n">
        <v>45288.3486707827</v>
      </c>
      <c r="I78" t="n">
        <v>0</v>
      </c>
      <c r="J78" t="n">
        <v>0</v>
      </c>
      <c r="K78" t="n">
        <v>61795.6253679409</v>
      </c>
      <c r="L78" t="n">
        <v>366704.956126834</v>
      </c>
      <c r="M78" t="n">
        <v>647970.442274137</v>
      </c>
      <c r="N78" t="n">
        <v>121379.611570625</v>
      </c>
      <c r="O78" t="n">
        <v>532587.787427379</v>
      </c>
      <c r="P78" t="n">
        <v>0</v>
      </c>
      <c r="Q78" t="n">
        <v>0</v>
      </c>
      <c r="R78" t="n">
        <v>0</v>
      </c>
      <c r="S78" t="n">
        <v>33771.3858351374</v>
      </c>
      <c r="T78" t="n">
        <v>0</v>
      </c>
      <c r="U78" t="n">
        <v>12949.4018872112</v>
      </c>
      <c r="V78" t="n">
        <v>0</v>
      </c>
      <c r="W78" t="n">
        <v>0</v>
      </c>
      <c r="X78" t="n">
        <v>181609.121067133</v>
      </c>
      <c r="Y78" t="n">
        <v>28179.9935285084</v>
      </c>
      <c r="Z78" t="n">
        <v>91815.817535868</v>
      </c>
      <c r="AA78" t="n">
        <v>0</v>
      </c>
      <c r="AB78" t="n">
        <v>77844873.5622867</v>
      </c>
      <c r="AC78" t="n">
        <v>4671800.20211982</v>
      </c>
      <c r="AD78" t="n">
        <v>3709267.59576981</v>
      </c>
      <c r="AE78" t="n">
        <v>2122218.73422015</v>
      </c>
      <c r="AF78" t="n">
        <v>17391629.9687924</v>
      </c>
      <c r="AG78" t="n">
        <v>17180.8679997475</v>
      </c>
      <c r="AH78" t="n">
        <v>0</v>
      </c>
      <c r="AI78" t="n">
        <v>20629835.4058231</v>
      </c>
      <c r="AJ78" t="n">
        <v>12510967.3688194</v>
      </c>
      <c r="AK78" t="n">
        <v>1379409.50859391</v>
      </c>
      <c r="AL78" t="n">
        <v>102427.635703455</v>
      </c>
      <c r="AM78" t="n">
        <v>4412241.96717599</v>
      </c>
      <c r="AN78" t="n">
        <v>2975246.24251997</v>
      </c>
      <c r="AO78" t="n">
        <v>1222769.21586631</v>
      </c>
      <c r="AP78" t="n">
        <v>673480.983296043</v>
      </c>
      <c r="AQ78" t="n">
        <v>621631.824389007</v>
      </c>
      <c r="AR78" t="n">
        <v>7086130.26887501</v>
      </c>
      <c r="AS78" t="n">
        <v>10193167.4104466</v>
      </c>
      <c r="AT78" t="n">
        <v>7262981.73517791</v>
      </c>
      <c r="AU78" t="n">
        <v>271632.563479598</v>
      </c>
      <c r="AV78" t="n">
        <v>0</v>
      </c>
      <c r="AW78" t="n">
        <v>0</v>
      </c>
      <c r="AX78" t="n">
        <v>2058589.57822208</v>
      </c>
      <c r="AY78" t="n">
        <v>5216940.87433356</v>
      </c>
      <c r="AZ78" t="n">
        <v>1216056.48803275</v>
      </c>
      <c r="BA78" t="n">
        <v>7247080.61194442</v>
      </c>
      <c r="BB78" t="n">
        <v>19738581.9581538</v>
      </c>
      <c r="BC78" t="n">
        <v>1647399.20531601</v>
      </c>
      <c r="BD78" t="n">
        <v>7957886.12587111</v>
      </c>
      <c r="BE78" t="n">
        <v>538230.789603117</v>
      </c>
      <c r="BF78" t="n">
        <v>2250252.94837173</v>
      </c>
      <c r="BG78" t="n">
        <v>5659090.23328163</v>
      </c>
      <c r="BH78" t="n">
        <v>12744882.4503327</v>
      </c>
      <c r="BI78" t="n">
        <v>1272218.00706092</v>
      </c>
      <c r="BJ78" t="n">
        <v>2312116.5508144</v>
      </c>
      <c r="BK78" t="n">
        <v>526186.312939016</v>
      </c>
      <c r="BL78" t="n">
        <v>290164.093899332</v>
      </c>
      <c r="BM78" t="n">
        <v>3122206.91228491</v>
      </c>
      <c r="BN78" t="n">
        <v>32488833.5919178</v>
      </c>
      <c r="BO78" t="n">
        <v>3337405.00240251</v>
      </c>
      <c r="BP78" t="n">
        <v>11246.7660283296</v>
      </c>
      <c r="BQ78" t="n">
        <v>1483323.76669852</v>
      </c>
      <c r="BR78" t="n">
        <v>1114197.19123493</v>
      </c>
      <c r="BS78" t="n">
        <v>12336723.0090457</v>
      </c>
      <c r="BT78" t="n">
        <v>343814.251906901</v>
      </c>
      <c r="BU78" t="n">
        <v>41996664.0120447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55456326.743966</v>
      </c>
      <c r="CB78" t="n">
        <v>-6022817.45721825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164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45711146339.7434</v>
      </c>
      <c r="CL79" t="n">
        <v>0</v>
      </c>
      <c r="CM79" t="n">
        <v>0</v>
      </c>
      <c r="CN79" t="n">
        <v>0</v>
      </c>
    </row>
    <row r="80">
      <c r="A80" t="s">
        <v>165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15411789.0446392</v>
      </c>
      <c r="H80" t="n">
        <v>0</v>
      </c>
      <c r="I80" t="n">
        <v>2342925.8091848</v>
      </c>
      <c r="J80" t="n">
        <v>3724746.16083071</v>
      </c>
      <c r="K80" t="n">
        <v>1661323.80433736</v>
      </c>
      <c r="L80" t="n">
        <v>3846453.24635003</v>
      </c>
      <c r="M80" t="n">
        <v>2637777.22598824</v>
      </c>
      <c r="N80" t="n">
        <v>565971.820716091</v>
      </c>
      <c r="O80" t="n">
        <v>767905.180476269</v>
      </c>
      <c r="P80" t="n">
        <v>1894498.46990941</v>
      </c>
      <c r="Q80" t="n">
        <v>4835079.56258273</v>
      </c>
      <c r="R80" t="n">
        <v>1231924.69738003</v>
      </c>
      <c r="S80" t="n">
        <v>839423.645249954</v>
      </c>
      <c r="T80" t="n">
        <v>62473771.1065403</v>
      </c>
      <c r="U80" t="n">
        <v>1682036.23014781</v>
      </c>
      <c r="V80" t="n">
        <v>18816.9249095273</v>
      </c>
      <c r="W80" t="n">
        <v>4766487.02082159</v>
      </c>
      <c r="X80" t="n">
        <v>946502.216256447</v>
      </c>
      <c r="Y80" t="n">
        <v>1016773.04594907</v>
      </c>
      <c r="Z80" t="n">
        <v>9674220.928543</v>
      </c>
      <c r="AA80" t="n">
        <v>5037287.29619169</v>
      </c>
      <c r="AB80" t="n">
        <v>28125853.644995</v>
      </c>
      <c r="AC80" t="n">
        <v>13024184.7529314</v>
      </c>
      <c r="AD80" t="n">
        <v>8750581.29689297</v>
      </c>
      <c r="AE80" t="n">
        <v>4918642.03819307</v>
      </c>
      <c r="AF80" t="n">
        <v>15518482.2764364</v>
      </c>
      <c r="AG80" t="n">
        <v>220412.238781052</v>
      </c>
      <c r="AH80" t="n">
        <v>0</v>
      </c>
      <c r="AI80" t="n">
        <v>0</v>
      </c>
      <c r="AJ80" t="n">
        <v>7538572.51405547</v>
      </c>
      <c r="AK80" t="n">
        <v>126516.489988221</v>
      </c>
      <c r="AL80" t="n">
        <v>415143.026035108</v>
      </c>
      <c r="AM80" t="n">
        <v>2271226.20874504</v>
      </c>
      <c r="AN80" t="n">
        <v>3810058.60706011</v>
      </c>
      <c r="AO80" t="n">
        <v>795680.11621496</v>
      </c>
      <c r="AP80" t="n">
        <v>630576.543000728</v>
      </c>
      <c r="AQ80" t="n">
        <v>1517139.21713663</v>
      </c>
      <c r="AR80" t="n">
        <v>2332951.51995257</v>
      </c>
      <c r="AS80" t="n">
        <v>14089354.1182209</v>
      </c>
      <c r="AT80" t="n">
        <v>2522455.64993012</v>
      </c>
      <c r="AU80" t="n">
        <v>1111517.15956839</v>
      </c>
      <c r="AV80" t="n">
        <v>0</v>
      </c>
      <c r="AW80" t="n">
        <v>0</v>
      </c>
      <c r="AX80" t="n">
        <v>51732717.0159238</v>
      </c>
      <c r="AY80" t="n">
        <v>21995475.3635279</v>
      </c>
      <c r="AZ80" t="n">
        <v>9538560.21727367</v>
      </c>
      <c r="BA80" t="n">
        <v>17145732.9540477</v>
      </c>
      <c r="BB80" t="n">
        <v>48231100.1843884</v>
      </c>
      <c r="BC80" t="n">
        <v>17565770.670296</v>
      </c>
      <c r="BD80" t="n">
        <v>44811355.0920245</v>
      </c>
      <c r="BE80" t="n">
        <v>17849686.889933</v>
      </c>
      <c r="BF80" t="n">
        <v>2546628.48389997</v>
      </c>
      <c r="BG80" t="n">
        <v>18409951.89221</v>
      </c>
      <c r="BH80" t="n">
        <v>17122545.2024108</v>
      </c>
      <c r="BI80" t="n">
        <v>12340219.9132452</v>
      </c>
      <c r="BJ80" t="n">
        <v>5010078.01012906</v>
      </c>
      <c r="BK80" t="n">
        <v>1884610.95018824</v>
      </c>
      <c r="BL80" t="n">
        <v>4460186.1148778</v>
      </c>
      <c r="BM80" t="n">
        <v>15376458.090639</v>
      </c>
      <c r="BN80" t="n">
        <v>38271830.6669767</v>
      </c>
      <c r="BO80" t="n">
        <v>41155235.5900424</v>
      </c>
      <c r="BP80" t="n">
        <v>75208050.8028231</v>
      </c>
      <c r="BQ80" t="n">
        <v>61155940.5220662</v>
      </c>
      <c r="BR80" t="n">
        <v>15819233.8200208</v>
      </c>
      <c r="BS80" t="n">
        <v>182121969.312199</v>
      </c>
      <c r="BT80" t="n">
        <v>31796089.6767198</v>
      </c>
      <c r="BU80" t="n">
        <v>1280081369.66224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166</v>
      </c>
      <c r="B81" t="n">
        <v>-171325.124440568</v>
      </c>
      <c r="C81" t="n">
        <v>1523722.49830005</v>
      </c>
      <c r="D81" t="n">
        <v>0</v>
      </c>
      <c r="E81" t="n">
        <v>0</v>
      </c>
      <c r="F81" t="n">
        <v>1660316.6684811</v>
      </c>
      <c r="G81" t="n">
        <v>121495853.992099</v>
      </c>
      <c r="H81" t="n">
        <v>77073451.2187828</v>
      </c>
      <c r="I81" t="n">
        <v>0</v>
      </c>
      <c r="J81" t="n">
        <v>1648307.20910325</v>
      </c>
      <c r="K81" t="n">
        <v>222801009.780633</v>
      </c>
      <c r="L81" t="n">
        <v>8271320.51470759</v>
      </c>
      <c r="M81" t="n">
        <v>80280.1764431203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848449.705951567</v>
      </c>
      <c r="T81" t="n">
        <v>61369.1268237135</v>
      </c>
      <c r="U81" t="n">
        <v>622976.381536226</v>
      </c>
      <c r="V81" t="n">
        <v>0</v>
      </c>
      <c r="W81" t="n">
        <v>37009123.6683347</v>
      </c>
      <c r="X81" t="n">
        <v>0</v>
      </c>
      <c r="Y81" t="n">
        <v>0</v>
      </c>
      <c r="Z81" t="n">
        <v>260682.599870919</v>
      </c>
      <c r="AA81" t="n">
        <v>1239947.64213949</v>
      </c>
      <c r="AB81" t="n">
        <v>0</v>
      </c>
      <c r="AC81" t="n">
        <v>1120359.97874679</v>
      </c>
      <c r="AD81" t="n">
        <v>0</v>
      </c>
      <c r="AE81" t="n">
        <v>0</v>
      </c>
      <c r="AF81" t="n">
        <v>4326714.38934101</v>
      </c>
      <c r="AG81" t="n">
        <v>-6887882.46190788</v>
      </c>
      <c r="AH81" t="n">
        <v>0</v>
      </c>
      <c r="AI81" t="n">
        <v>-6482060.69978736</v>
      </c>
      <c r="AJ81" t="n">
        <v>5839230.02887271</v>
      </c>
      <c r="AK81" t="n">
        <v>63258.2449941107</v>
      </c>
      <c r="AL81" t="n">
        <v>796257.935182092</v>
      </c>
      <c r="AM81" t="n">
        <v>37096694.7428357</v>
      </c>
      <c r="AN81" t="n">
        <v>0</v>
      </c>
      <c r="AO81" t="n">
        <v>0</v>
      </c>
      <c r="AP81" t="n">
        <v>1119051.32983228</v>
      </c>
      <c r="AQ81" t="n">
        <v>19962.3581202188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180694.719192537</v>
      </c>
      <c r="AZ81" t="n">
        <v>0</v>
      </c>
      <c r="BA81" t="n">
        <v>0</v>
      </c>
      <c r="BB81" t="n">
        <v>0</v>
      </c>
      <c r="BC81" t="n">
        <v>8033957.12827492</v>
      </c>
      <c r="BD81" t="n">
        <v>0</v>
      </c>
      <c r="BE81" t="n">
        <v>0</v>
      </c>
      <c r="BF81" t="n">
        <v>5558117.72279755</v>
      </c>
      <c r="BG81" t="n">
        <v>0</v>
      </c>
      <c r="BH81" t="n">
        <v>0</v>
      </c>
      <c r="BI81" t="n">
        <v>0</v>
      </c>
      <c r="BJ81" t="n">
        <v>0</v>
      </c>
      <c r="BK81" t="n">
        <v>-2242037.16487912</v>
      </c>
      <c r="BL81" t="n">
        <v>9005490.28538305</v>
      </c>
      <c r="BM81" t="n">
        <v>0</v>
      </c>
      <c r="BN81" t="n">
        <v>0</v>
      </c>
      <c r="BO81" t="n">
        <v>826536845.838983</v>
      </c>
      <c r="BP81" t="n">
        <v>-4057988.35267031</v>
      </c>
      <c r="BQ81" t="n">
        <v>0</v>
      </c>
      <c r="BR81" t="n">
        <v>0</v>
      </c>
      <c r="BS81" t="n">
        <v>0</v>
      </c>
      <c r="BT81" t="n">
        <v>0</v>
      </c>
      <c r="BU81" t="n">
        <v>2182245073.73627</v>
      </c>
      <c r="BV81" t="n">
        <v>-57229437.9259777</v>
      </c>
      <c r="BW81" t="n">
        <v>-2450711915.31611</v>
      </c>
      <c r="BX81" t="n">
        <v>0</v>
      </c>
      <c r="BY81" t="n">
        <v>-25279549.3645165</v>
      </c>
      <c r="BZ81" t="n">
        <v>48894134.1565536</v>
      </c>
      <c r="CA81" t="n">
        <v>477669737.604611</v>
      </c>
      <c r="CB81" t="n">
        <v>-350503723.345921</v>
      </c>
      <c r="CC81" t="n">
        <v>0</v>
      </c>
      <c r="CD81" t="n">
        <v>-75775.4888129464</v>
      </c>
      <c r="CE81" t="n">
        <v>0</v>
      </c>
      <c r="CF81" t="n">
        <v>0</v>
      </c>
      <c r="CG81" t="n">
        <v>0</v>
      </c>
      <c r="CH81" t="n">
        <v>-10475961.3283898</v>
      </c>
      <c r="CI81" t="n">
        <v>625147.782706807</v>
      </c>
      <c r="CJ81" t="n">
        <v>0</v>
      </c>
      <c r="CK81" t="n">
        <v>0</v>
      </c>
      <c r="CL81" t="n">
        <v>114573988.365608</v>
      </c>
      <c r="CM81" t="n">
        <v>-475860242.330175</v>
      </c>
      <c r="CN81" t="n">
        <v>0</v>
      </c>
    </row>
    <row r="82">
      <c r="A82" t="s">
        <v>167</v>
      </c>
      <c r="B82" t="n">
        <v>8880352.28350279</v>
      </c>
      <c r="C82" t="n">
        <v>221185.523946782</v>
      </c>
      <c r="D82" t="n">
        <v>283359.948902509</v>
      </c>
      <c r="E82" t="n">
        <v>492614.922006064</v>
      </c>
      <c r="F82" t="n">
        <v>651849.677942403</v>
      </c>
      <c r="G82" t="n">
        <v>38866683.5550383</v>
      </c>
      <c r="H82" t="n">
        <v>41314637.9854747</v>
      </c>
      <c r="I82" t="n">
        <v>7063746.46948253</v>
      </c>
      <c r="J82" t="n">
        <v>6336349.79083845</v>
      </c>
      <c r="K82" t="n">
        <v>5473624.74481678</v>
      </c>
      <c r="L82" t="n">
        <v>10469293.7983362</v>
      </c>
      <c r="M82" t="n">
        <v>15608760.0198695</v>
      </c>
      <c r="N82" t="n">
        <v>22791595.38344</v>
      </c>
      <c r="O82" t="n">
        <v>5898907.97729498</v>
      </c>
      <c r="P82" t="n">
        <v>27617851.071082</v>
      </c>
      <c r="Q82" t="n">
        <v>14352229.840831</v>
      </c>
      <c r="R82" t="n">
        <v>3066706.16156305</v>
      </c>
      <c r="S82" t="n">
        <v>3980492.76941107</v>
      </c>
      <c r="T82" t="n">
        <v>135748508.534054</v>
      </c>
      <c r="U82" t="n">
        <v>3021435.4504507</v>
      </c>
      <c r="V82" t="n">
        <v>141126.936821454</v>
      </c>
      <c r="W82" t="n">
        <v>12181022.3865441</v>
      </c>
      <c r="X82" t="n">
        <v>4459481.59582365</v>
      </c>
      <c r="Y82" t="n">
        <v>16629888.0404115</v>
      </c>
      <c r="Z82" t="n">
        <v>17226775.1414699</v>
      </c>
      <c r="AA82" t="n">
        <v>17152609.0495963</v>
      </c>
      <c r="AB82" t="n">
        <v>136651874.780228</v>
      </c>
      <c r="AC82" t="n">
        <v>3165016.93995968</v>
      </c>
      <c r="AD82" t="n">
        <v>12771118.6495195</v>
      </c>
      <c r="AE82" t="n">
        <v>26169698.0237195</v>
      </c>
      <c r="AF82" t="n">
        <v>65573760.3006794</v>
      </c>
      <c r="AG82" t="n">
        <v>465097375.357868</v>
      </c>
      <c r="AH82" t="n">
        <v>2877755.16390248</v>
      </c>
      <c r="AI82" t="n">
        <v>66202029.7699594</v>
      </c>
      <c r="AJ82" t="n">
        <v>17951564.7636861</v>
      </c>
      <c r="AK82" t="n">
        <v>332105.786219081</v>
      </c>
      <c r="AL82" t="n">
        <v>724798.889717032</v>
      </c>
      <c r="AM82" t="n">
        <v>11103772.5760869</v>
      </c>
      <c r="AN82" t="n">
        <v>2019790.10494753</v>
      </c>
      <c r="AO82" t="n">
        <v>10068970.1979202</v>
      </c>
      <c r="AP82" t="n">
        <v>4582781.63645599</v>
      </c>
      <c r="AQ82" t="n">
        <v>122469067.067542</v>
      </c>
      <c r="AR82" t="n">
        <v>19056287.1679294</v>
      </c>
      <c r="AS82" t="n">
        <v>103175435.386825</v>
      </c>
      <c r="AT82" t="n">
        <v>442023257.714224</v>
      </c>
      <c r="AU82" t="n">
        <v>21779728.1266778</v>
      </c>
      <c r="AV82" t="n">
        <v>11577150.997151</v>
      </c>
      <c r="AW82" t="n">
        <v>807355.580938565</v>
      </c>
      <c r="AX82" t="n">
        <v>16706375.2178078</v>
      </c>
      <c r="AY82" t="n">
        <v>25313687.479609</v>
      </c>
      <c r="AZ82" t="n">
        <v>4339430.82845927</v>
      </c>
      <c r="BA82" t="n">
        <v>151153172.094894</v>
      </c>
      <c r="BB82" t="n">
        <v>132735176.540507</v>
      </c>
      <c r="BC82" t="n">
        <v>64305699.2174209</v>
      </c>
      <c r="BD82" t="n">
        <v>45873693.2515338</v>
      </c>
      <c r="BE82" t="n">
        <v>2104384.13860262</v>
      </c>
      <c r="BF82" t="n">
        <v>8751508.99625942</v>
      </c>
      <c r="BG82" t="n">
        <v>0</v>
      </c>
      <c r="BH82" t="n">
        <v>0</v>
      </c>
      <c r="BI82" t="n">
        <v>7077479.06789065</v>
      </c>
      <c r="BJ82" t="n">
        <v>0</v>
      </c>
      <c r="BK82" t="n">
        <v>5637586.20444242</v>
      </c>
      <c r="BL82" t="n">
        <v>3966501.39223866</v>
      </c>
      <c r="BM82" t="n">
        <v>13152431.7333894</v>
      </c>
      <c r="BN82" t="n">
        <v>50038251.0985715</v>
      </c>
      <c r="BO82" t="n">
        <v>124862858.679457</v>
      </c>
      <c r="BP82" t="n">
        <v>477057110.739921</v>
      </c>
      <c r="BQ82" t="n">
        <v>134443164.461579</v>
      </c>
      <c r="BR82" t="n">
        <v>261474.939173898</v>
      </c>
      <c r="BS82" t="n">
        <v>0</v>
      </c>
      <c r="BT82" t="n">
        <v>0</v>
      </c>
      <c r="BU82" t="n">
        <v>-1971965185.84052</v>
      </c>
      <c r="BV82" t="n">
        <v>0</v>
      </c>
      <c r="BW82" t="n">
        <v>0</v>
      </c>
      <c r="BX82" t="n">
        <v>686745690.055996</v>
      </c>
      <c r="BY82" t="n">
        <v>0</v>
      </c>
      <c r="BZ82" t="n">
        <v>0</v>
      </c>
      <c r="CA82" t="n">
        <v>14783371243.3469</v>
      </c>
      <c r="CB82" t="n">
        <v>-7368490078.79132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196</v>
      </c>
    </row>
    <row r="2">
      <c r="A2" t="s">
        <v>197</v>
      </c>
    </row>
    <row r="3">
      <c r="A3" t="s">
        <v>198</v>
      </c>
    </row>
    <row r="4">
      <c r="A4" t="s">
        <v>50</v>
      </c>
    </row>
    <row r="5">
      <c r="A5" t="s">
        <v>1</v>
      </c>
    </row>
    <row r="6">
      <c r="A6" t="s">
        <v>199</v>
      </c>
    </row>
    <row r="7">
      <c r="A7" t="s">
        <v>1</v>
      </c>
    </row>
    <row r="9">
      <c r="A9" t="s">
        <v>200</v>
      </c>
      <c r="B9" t="s">
        <v>201</v>
      </c>
      <c r="C9" t="s">
        <v>202</v>
      </c>
      <c r="D9" t="s">
        <v>203</v>
      </c>
      <c r="E9" t="s">
        <v>204</v>
      </c>
    </row>
    <row r="10">
      <c r="A10" t="s">
        <v>205</v>
      </c>
      <c r="B10" t="n">
        <v>12031000</v>
      </c>
      <c r="C10" t="s">
        <v>206</v>
      </c>
      <c r="D10" t="n">
        <v>600000000</v>
      </c>
      <c r="E10" t="s">
        <v>207</v>
      </c>
    </row>
    <row r="11">
      <c r="A11" t="s">
        <v>208</v>
      </c>
      <c r="B11" t="n">
        <v>1000000</v>
      </c>
      <c r="C11" t="s">
        <v>206</v>
      </c>
      <c r="D11" t="n">
        <v>40000000</v>
      </c>
      <c r="E11" t="s">
        <v>209</v>
      </c>
    </row>
    <row r="12">
      <c r="A12" t="s">
        <v>210</v>
      </c>
      <c r="B12" t="n">
        <v>4220000</v>
      </c>
      <c r="C12" t="s">
        <v>206</v>
      </c>
      <c r="D12" t="n">
        <v>125000000</v>
      </c>
      <c r="E12" t="s">
        <v>211</v>
      </c>
    </row>
    <row r="13">
      <c r="A13" t="s">
        <v>212</v>
      </c>
      <c r="B13" t="n">
        <v>0</v>
      </c>
      <c r="C13" t="s">
        <v>206</v>
      </c>
      <c r="D13" t="n">
        <v>0</v>
      </c>
      <c r="E13"/>
    </row>
    <row r="14">
      <c r="A14" t="s">
        <v>213</v>
      </c>
      <c r="B14" t="n">
        <v>0</v>
      </c>
      <c r="C14" t="s">
        <v>206</v>
      </c>
      <c r="D14" t="n">
        <v>0</v>
      </c>
      <c r="E14"/>
    </row>
    <row r="15">
      <c r="A15" t="s">
        <v>214</v>
      </c>
      <c r="B15" t="n">
        <v>10710000</v>
      </c>
      <c r="C15" t="s">
        <v>206</v>
      </c>
      <c r="D15" t="n">
        <v>330000000</v>
      </c>
      <c r="E15" t="s">
        <v>215</v>
      </c>
    </row>
    <row r="16">
      <c r="A16" t="s">
        <v>216</v>
      </c>
      <c r="B16" t="n">
        <v>0</v>
      </c>
      <c r="C16" t="s">
        <v>206</v>
      </c>
      <c r="D16" t="n">
        <v>0</v>
      </c>
      <c r="E16"/>
    </row>
    <row r="17">
      <c r="A17" t="s">
        <v>217</v>
      </c>
      <c r="B17" t="n">
        <v>0</v>
      </c>
      <c r="C17" t="s">
        <v>206</v>
      </c>
      <c r="D17" t="n">
        <v>0</v>
      </c>
      <c r="E17"/>
    </row>
    <row r="18">
      <c r="A18" t="s">
        <v>218</v>
      </c>
      <c r="B18" t="n">
        <v>0</v>
      </c>
      <c r="C18" t="s">
        <v>206</v>
      </c>
      <c r="D18" t="n">
        <v>0</v>
      </c>
      <c r="E18"/>
    </row>
    <row r="19">
      <c r="A19" t="s">
        <v>219</v>
      </c>
      <c r="B19" t="n">
        <v>0</v>
      </c>
      <c r="C19" t="s">
        <v>206</v>
      </c>
      <c r="D19" t="n">
        <v>0</v>
      </c>
      <c r="E19"/>
    </row>
    <row r="20">
      <c r="A20" t="s">
        <v>220</v>
      </c>
      <c r="B20" t="n">
        <v>0</v>
      </c>
      <c r="C20" t="s">
        <v>206</v>
      </c>
      <c r="D20" t="n">
        <v>0</v>
      </c>
      <c r="E20"/>
    </row>
    <row r="21">
      <c r="A21" t="s">
        <v>221</v>
      </c>
      <c r="B21" t="n">
        <v>0</v>
      </c>
      <c r="C21" t="s">
        <v>206</v>
      </c>
      <c r="D21" t="n">
        <v>0</v>
      </c>
      <c r="E21"/>
    </row>
    <row r="22">
      <c r="A22" t="s">
        <v>222</v>
      </c>
      <c r="B22" t="n">
        <v>0</v>
      </c>
      <c r="C22" t="s">
        <v>206</v>
      </c>
      <c r="D22" t="n">
        <v>0</v>
      </c>
      <c r="E22"/>
    </row>
    <row r="23">
      <c r="A23" t="s">
        <v>223</v>
      </c>
      <c r="B23" t="n">
        <v>45919000</v>
      </c>
      <c r="C23" t="s">
        <v>206</v>
      </c>
      <c r="D23" t="n">
        <v>1950000000</v>
      </c>
      <c r="E23" t="s">
        <v>224</v>
      </c>
    </row>
    <row r="24">
      <c r="A24" t="s">
        <v>225</v>
      </c>
      <c r="B24" t="n">
        <v>28820000</v>
      </c>
      <c r="C24" t="s">
        <v>206</v>
      </c>
      <c r="D24" t="n">
        <v>1210000000</v>
      </c>
      <c r="E24" t="s">
        <v>224</v>
      </c>
    </row>
    <row r="25">
      <c r="A25" t="s">
        <v>226</v>
      </c>
      <c r="B25" t="n">
        <v>0</v>
      </c>
      <c r="C25" t="s">
        <v>206</v>
      </c>
      <c r="D25" t="n">
        <v>0</v>
      </c>
      <c r="E25"/>
    </row>
    <row r="26">
      <c r="A26" t="s">
        <v>227</v>
      </c>
      <c r="B26" t="n">
        <v>0</v>
      </c>
      <c r="C26" t="s">
        <v>206</v>
      </c>
      <c r="D26" t="n">
        <v>0</v>
      </c>
      <c r="E26"/>
    </row>
    <row r="27">
      <c r="A27" t="s">
        <v>228</v>
      </c>
      <c r="B27" t="n">
        <v>36140000</v>
      </c>
      <c r="C27" t="s">
        <v>206</v>
      </c>
      <c r="D27" t="n">
        <v>1730000000</v>
      </c>
      <c r="E27" t="s">
        <v>229</v>
      </c>
    </row>
    <row r="28">
      <c r="A28" t="s">
        <v>230</v>
      </c>
      <c r="B28" t="n">
        <v>2720000</v>
      </c>
      <c r="C28" t="s">
        <v>206</v>
      </c>
      <c r="D28" t="n">
        <v>60000000</v>
      </c>
      <c r="E28" t="s">
        <v>231</v>
      </c>
    </row>
    <row r="29">
      <c r="A29" t="s">
        <v>232</v>
      </c>
      <c r="B29" t="n">
        <v>0</v>
      </c>
      <c r="C29" t="s">
        <v>206</v>
      </c>
      <c r="D29" t="n">
        <v>0</v>
      </c>
      <c r="E29"/>
    </row>
    <row r="30">
      <c r="A30" t="s">
        <v>233</v>
      </c>
      <c r="B30" t="n">
        <v>1320000</v>
      </c>
      <c r="C30" t="s">
        <v>206</v>
      </c>
      <c r="D30" t="n">
        <v>70000000</v>
      </c>
      <c r="E30" t="s">
        <v>234</v>
      </c>
    </row>
    <row r="31">
      <c r="A31" t="s">
        <v>235</v>
      </c>
      <c r="B31" t="n">
        <v>0</v>
      </c>
      <c r="C31" t="s">
        <v>206</v>
      </c>
      <c r="D31" t="n">
        <v>0</v>
      </c>
      <c r="E31"/>
    </row>
    <row r="32">
      <c r="A32" t="s">
        <v>236</v>
      </c>
      <c r="B32" t="n">
        <v>0</v>
      </c>
      <c r="C32" t="s">
        <v>206</v>
      </c>
      <c r="D32" t="n">
        <v>0</v>
      </c>
      <c r="E32"/>
    </row>
    <row r="33">
      <c r="A33" t="s">
        <v>237</v>
      </c>
      <c r="B33" t="n">
        <v>0</v>
      </c>
      <c r="C33" t="s">
        <v>206</v>
      </c>
      <c r="D33" t="n">
        <v>0</v>
      </c>
      <c r="E33"/>
    </row>
    <row r="34">
      <c r="A34" t="s">
        <v>238</v>
      </c>
      <c r="B34" t="n">
        <v>2800000</v>
      </c>
      <c r="C34" t="s">
        <v>206</v>
      </c>
      <c r="D34" t="n">
        <v>65000000</v>
      </c>
      <c r="E34" t="s">
        <v>239</v>
      </c>
    </row>
    <row r="35">
      <c r="A35" t="s">
        <v>240</v>
      </c>
      <c r="B35" t="n">
        <v>264000</v>
      </c>
      <c r="C35" t="s">
        <v>206</v>
      </c>
      <c r="D35" t="n">
        <v>12000000</v>
      </c>
      <c r="E35"/>
    </row>
    <row r="36">
      <c r="A36" t="s">
        <v>241</v>
      </c>
      <c r="B36" t="n">
        <v>38660000</v>
      </c>
      <c r="C36" t="s">
        <v>206</v>
      </c>
      <c r="D36" t="n">
        <v>590000000</v>
      </c>
      <c r="E36" t="s">
        <v>242</v>
      </c>
    </row>
    <row r="37">
      <c r="A37" t="s">
        <v>243</v>
      </c>
      <c r="B37" t="n">
        <v>0</v>
      </c>
      <c r="C37" t="s">
        <v>206</v>
      </c>
      <c r="D37" t="n">
        <v>0</v>
      </c>
      <c r="E37"/>
    </row>
    <row r="38">
      <c r="A38" t="s">
        <v>244</v>
      </c>
      <c r="B38" t="n">
        <v>0</v>
      </c>
      <c r="C38" t="s">
        <v>206</v>
      </c>
      <c r="D38" t="n">
        <v>0</v>
      </c>
      <c r="E38"/>
    </row>
    <row r="39">
      <c r="A39" t="s">
        <v>245</v>
      </c>
      <c r="B39" t="n">
        <v>0</v>
      </c>
      <c r="C39" t="s">
        <v>206</v>
      </c>
      <c r="D39" t="n">
        <v>0</v>
      </c>
      <c r="E39"/>
    </row>
    <row r="40">
      <c r="A40" t="s">
        <v>246</v>
      </c>
      <c r="B40" t="n">
        <v>0</v>
      </c>
      <c r="C40" t="s">
        <v>206</v>
      </c>
      <c r="D40" t="n">
        <v>0</v>
      </c>
      <c r="E40"/>
    </row>
    <row r="41">
      <c r="A41" t="s">
        <v>247</v>
      </c>
      <c r="B41" t="n">
        <v>10720000</v>
      </c>
      <c r="C41" t="s">
        <v>206</v>
      </c>
      <c r="D41" t="n">
        <v>260000000</v>
      </c>
      <c r="E41" t="s">
        <v>248</v>
      </c>
    </row>
    <row r="42">
      <c r="A42" t="s">
        <v>249</v>
      </c>
      <c r="B42" t="n">
        <v>0</v>
      </c>
      <c r="C42" t="s">
        <v>206</v>
      </c>
      <c r="D42" t="n">
        <v>0</v>
      </c>
      <c r="E42"/>
    </row>
    <row r="43">
      <c r="A43" t="s">
        <v>250</v>
      </c>
      <c r="B43" t="n">
        <v>0</v>
      </c>
      <c r="C43" t="s">
        <v>206</v>
      </c>
      <c r="D43" t="n">
        <v>0</v>
      </c>
      <c r="E43"/>
    </row>
    <row r="44">
      <c r="A44" t="s">
        <v>251</v>
      </c>
      <c r="B44" t="n">
        <v>27870000</v>
      </c>
      <c r="C44" t="s">
        <v>206</v>
      </c>
      <c r="D44" t="n">
        <v>560000000</v>
      </c>
      <c r="E44" t="s">
        <v>252</v>
      </c>
    </row>
    <row r="45">
      <c r="A45" t="s">
        <v>253</v>
      </c>
      <c r="B45" t="n">
        <v>8220000</v>
      </c>
      <c r="C45" t="s">
        <v>206</v>
      </c>
      <c r="D45" t="n">
        <v>430000000</v>
      </c>
      <c r="E45" t="s">
        <v>254</v>
      </c>
    </row>
    <row r="46">
      <c r="A46" t="s">
        <v>255</v>
      </c>
      <c r="B46" t="n">
        <v>930000</v>
      </c>
      <c r="C46" t="s">
        <v>206</v>
      </c>
      <c r="D46" t="n">
        <v>40000000</v>
      </c>
      <c r="E46"/>
    </row>
    <row r="47">
      <c r="A47" t="s">
        <v>256</v>
      </c>
      <c r="B47" t="n">
        <v>0</v>
      </c>
      <c r="C47" t="s">
        <v>206</v>
      </c>
      <c r="D47" t="n">
        <v>0</v>
      </c>
      <c r="E47"/>
    </row>
    <row r="48">
      <c r="A48" t="s">
        <v>257</v>
      </c>
      <c r="B48" t="n">
        <v>50110000</v>
      </c>
      <c r="C48" t="s">
        <v>206</v>
      </c>
      <c r="D48" t="n">
        <v>3000000000</v>
      </c>
      <c r="E48" t="s">
        <v>258</v>
      </c>
    </row>
    <row r="49">
      <c r="A49" t="s">
        <v>259</v>
      </c>
      <c r="B49" t="n">
        <v>0</v>
      </c>
      <c r="C49" t="s">
        <v>206</v>
      </c>
      <c r="D49" t="n">
        <v>0</v>
      </c>
      <c r="E49"/>
    </row>
    <row r="50">
      <c r="A50" t="s">
        <v>260</v>
      </c>
      <c r="B50" t="n">
        <v>0</v>
      </c>
      <c r="C50" t="s">
        <v>206</v>
      </c>
      <c r="D50" t="n">
        <v>0</v>
      </c>
      <c r="E50"/>
    </row>
    <row r="51">
      <c r="A51" t="s">
        <v>261</v>
      </c>
      <c r="B51" t="n">
        <v>0</v>
      </c>
      <c r="C51" t="s">
        <v>206</v>
      </c>
      <c r="D51" t="n">
        <v>0</v>
      </c>
      <c r="E51"/>
    </row>
    <row r="52">
      <c r="A52" t="s">
        <v>262</v>
      </c>
      <c r="B52" t="n">
        <v>400000</v>
      </c>
      <c r="C52" t="s">
        <v>206</v>
      </c>
      <c r="D52" t="n">
        <v>22000000</v>
      </c>
      <c r="E52" t="s">
        <v>263</v>
      </c>
    </row>
    <row r="53">
      <c r="A53" t="s">
        <v>264</v>
      </c>
      <c r="B53" t="n">
        <v>22820000</v>
      </c>
      <c r="C53" t="s">
        <v>206</v>
      </c>
      <c r="D53" t="n">
        <v>500000000</v>
      </c>
      <c r="E53" t="s">
        <v>231</v>
      </c>
    </row>
    <row r="54">
      <c r="A54" t="s">
        <v>265</v>
      </c>
      <c r="B54" t="n">
        <v>12810000</v>
      </c>
      <c r="C54" t="s">
        <v>206</v>
      </c>
      <c r="D54" t="n">
        <v>380000000</v>
      </c>
      <c r="E54" t="s">
        <v>266</v>
      </c>
    </row>
    <row r="55">
      <c r="A55" t="s">
        <v>267</v>
      </c>
      <c r="B55" t="n">
        <v>0</v>
      </c>
      <c r="C55" t="s">
        <v>206</v>
      </c>
      <c r="D55" t="n">
        <v>0</v>
      </c>
      <c r="E55"/>
    </row>
    <row r="56">
      <c r="A56" t="s">
        <v>268</v>
      </c>
      <c r="B56" t="n">
        <v>11480000</v>
      </c>
      <c r="C56" t="s">
        <v>206</v>
      </c>
      <c r="D56" t="n">
        <v>620000000</v>
      </c>
      <c r="E56" t="s">
        <v>269</v>
      </c>
    </row>
    <row r="57">
      <c r="A57" t="s">
        <v>270</v>
      </c>
      <c r="B57" t="n">
        <v>3050000</v>
      </c>
      <c r="C57" t="s">
        <v>206</v>
      </c>
      <c r="D57" t="n">
        <v>90000000</v>
      </c>
      <c r="E57" t="s">
        <v>271</v>
      </c>
    </row>
    <row r="58">
      <c r="A58" t="s">
        <v>272</v>
      </c>
      <c r="B58" t="n">
        <v>93320000</v>
      </c>
      <c r="C58" t="s">
        <v>206</v>
      </c>
      <c r="D58" t="n">
        <v>5050000000</v>
      </c>
      <c r="E58" t="s">
        <v>273</v>
      </c>
    </row>
    <row r="59">
      <c r="A59" t="s">
        <v>274</v>
      </c>
      <c r="B59" t="n">
        <v>0</v>
      </c>
      <c r="C59" t="s">
        <v>206</v>
      </c>
      <c r="D59" t="n">
        <v>0</v>
      </c>
      <c r="E59"/>
    </row>
    <row r="60">
      <c r="A60" t="s">
        <v>275</v>
      </c>
      <c r="B60" t="n">
        <v>276040000</v>
      </c>
      <c r="C60" t="s">
        <v>206</v>
      </c>
      <c r="D60" t="n">
        <v>3690000000</v>
      </c>
      <c r="E60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277</v>
      </c>
    </row>
    <row r="2">
      <c r="A2" t="s">
        <v>278</v>
      </c>
    </row>
    <row r="3">
      <c r="A3" t="s">
        <v>279</v>
      </c>
    </row>
    <row r="4">
      <c r="A4" t="s">
        <v>1</v>
      </c>
    </row>
    <row r="5">
      <c r="A5" t="s">
        <v>280</v>
      </c>
    </row>
    <row r="6">
      <c r="A6" t="s">
        <v>281</v>
      </c>
    </row>
    <row r="7">
      <c r="A7" t="s">
        <v>282</v>
      </c>
    </row>
    <row r="8">
      <c r="A8" t="s">
        <v>283</v>
      </c>
    </row>
    <row r="9">
      <c r="A9" t="s">
        <v>284</v>
      </c>
    </row>
    <row r="10">
      <c r="A10" t="s">
        <v>285</v>
      </c>
    </row>
    <row r="11">
      <c r="A11" t="s">
        <v>286</v>
      </c>
    </row>
    <row r="12">
      <c r="A12" t="s">
        <v>287</v>
      </c>
    </row>
    <row r="13">
      <c r="A13" t="s">
        <v>1</v>
      </c>
    </row>
    <row r="14">
      <c r="A14" t="s">
        <v>288</v>
      </c>
    </row>
    <row r="15">
      <c r="A15" t="s">
        <v>1</v>
      </c>
    </row>
    <row r="17">
      <c r="A17" t="s">
        <v>289</v>
      </c>
    </row>
    <row r="18">
      <c r="A18" t="s">
        <v>290</v>
      </c>
    </row>
    <row r="20">
      <c r="A20" t="s">
        <v>291</v>
      </c>
    </row>
    <row r="21">
      <c r="A21" t="s">
        <v>292</v>
      </c>
    </row>
    <row r="23">
      <c r="A23" t="s">
        <v>293</v>
      </c>
    </row>
    <row r="25">
      <c r="A25" t="s">
        <v>200</v>
      </c>
      <c r="B25" t="s">
        <v>294</v>
      </c>
      <c r="C25" t="s">
        <v>295</v>
      </c>
      <c r="D25" t="s">
        <v>296</v>
      </c>
      <c r="E25" t="s">
        <v>297</v>
      </c>
    </row>
    <row r="26">
      <c r="A26" t="s">
        <v>208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205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212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210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213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214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216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218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217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219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220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221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226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222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223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225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227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228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230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235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233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232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236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237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240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238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241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250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251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243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245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246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247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244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249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253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255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256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257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259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260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261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262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264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265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268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267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270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274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272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275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3.71" hidden="0" customWidth="1"/>
  </cols>
  <sheetData>
    <row r="1">
      <c r="A1" t="s">
        <v>298</v>
      </c>
    </row>
    <row r="2">
      <c r="A2" t="s">
        <v>1</v>
      </c>
    </row>
    <row r="3">
      <c r="A3" t="s">
        <v>299</v>
      </c>
    </row>
    <row r="4">
      <c r="A4" t="s">
        <v>300</v>
      </c>
    </row>
    <row r="5">
      <c r="A5" t="s">
        <v>301</v>
      </c>
    </row>
    <row r="6">
      <c r="A6" t="s">
        <v>1</v>
      </c>
    </row>
    <row r="8">
      <c r="A8" t="s">
        <v>302</v>
      </c>
      <c r="B8" t="s">
        <v>303</v>
      </c>
      <c r="C8" t="s">
        <v>304</v>
      </c>
      <c r="D8" t="s">
        <v>305</v>
      </c>
      <c r="E8" t="s">
        <v>306</v>
      </c>
      <c r="F8" t="s">
        <v>307</v>
      </c>
      <c r="G8" t="s">
        <v>308</v>
      </c>
    </row>
    <row r="9">
      <c r="A9" t="s">
        <v>95</v>
      </c>
      <c r="B9" t="s">
        <v>309</v>
      </c>
      <c r="C9" t="s">
        <v>310</v>
      </c>
      <c r="D9" t="s">
        <v>311</v>
      </c>
      <c r="E9" t="n">
        <v>1</v>
      </c>
      <c r="F9"/>
      <c r="G9"/>
    </row>
    <row r="10">
      <c r="A10" t="s">
        <v>96</v>
      </c>
      <c r="B10" t="s">
        <v>312</v>
      </c>
      <c r="C10" t="s">
        <v>310</v>
      </c>
      <c r="D10" t="s">
        <v>311</v>
      </c>
      <c r="E10" t="n">
        <v>1</v>
      </c>
      <c r="F10"/>
      <c r="G10"/>
    </row>
    <row r="11">
      <c r="A11" t="s">
        <v>97</v>
      </c>
      <c r="B11" t="s">
        <v>313</v>
      </c>
      <c r="C11" t="s">
        <v>314</v>
      </c>
      <c r="D11" t="s">
        <v>315</v>
      </c>
      <c r="E11" t="n">
        <v>1</v>
      </c>
      <c r="F11"/>
      <c r="G11"/>
    </row>
    <row r="12">
      <c r="A12" t="s">
        <v>99</v>
      </c>
      <c r="B12" t="s">
        <v>316</v>
      </c>
      <c r="C12" t="s">
        <v>317</v>
      </c>
      <c r="D12" t="s">
        <v>318</v>
      </c>
      <c r="E12" t="n">
        <v>1</v>
      </c>
      <c r="F12"/>
      <c r="G12"/>
    </row>
    <row r="13">
      <c r="A13" t="s">
        <v>100</v>
      </c>
      <c r="B13" t="s">
        <v>319</v>
      </c>
      <c r="C13" t="s">
        <v>320</v>
      </c>
      <c r="D13" t="s">
        <v>321</v>
      </c>
      <c r="E13" t="n">
        <v>0.72</v>
      </c>
      <c r="F13" t="s">
        <v>322</v>
      </c>
      <c r="G13"/>
    </row>
    <row r="14">
      <c r="A14" t="s">
        <v>100</v>
      </c>
      <c r="B14" t="s">
        <v>319</v>
      </c>
      <c r="C14" t="s">
        <v>323</v>
      </c>
      <c r="D14" t="s">
        <v>324</v>
      </c>
      <c r="E14" t="n">
        <v>0.2</v>
      </c>
      <c r="F14" t="s">
        <v>325</v>
      </c>
      <c r="G14"/>
    </row>
    <row r="15">
      <c r="A15" t="s">
        <v>100</v>
      </c>
      <c r="B15" t="s">
        <v>319</v>
      </c>
      <c r="C15" t="s">
        <v>326</v>
      </c>
      <c r="D15" t="s">
        <v>327</v>
      </c>
      <c r="E15" t="n">
        <v>0.08</v>
      </c>
      <c r="F15" t="s">
        <v>328</v>
      </c>
      <c r="G15"/>
    </row>
    <row r="16">
      <c r="A16" t="s">
        <v>101</v>
      </c>
      <c r="B16" t="s">
        <v>329</v>
      </c>
      <c r="C16" t="s">
        <v>330</v>
      </c>
      <c r="D16" t="s">
        <v>329</v>
      </c>
      <c r="E16" t="n">
        <v>1</v>
      </c>
      <c r="F16"/>
      <c r="G16"/>
    </row>
    <row r="17">
      <c r="A17" t="s">
        <v>113</v>
      </c>
      <c r="B17" t="s">
        <v>331</v>
      </c>
      <c r="C17" t="s">
        <v>332</v>
      </c>
      <c r="D17" t="s">
        <v>333</v>
      </c>
      <c r="E17" t="n">
        <v>1</v>
      </c>
      <c r="F17"/>
      <c r="G17"/>
    </row>
    <row r="18">
      <c r="A18" t="s">
        <v>114</v>
      </c>
      <c r="B18" t="s">
        <v>334</v>
      </c>
      <c r="C18" t="s">
        <v>335</v>
      </c>
      <c r="D18" t="s">
        <v>336</v>
      </c>
      <c r="E18" t="n">
        <v>1</v>
      </c>
      <c r="F18"/>
      <c r="G18"/>
    </row>
    <row r="19">
      <c r="A19" t="s">
        <v>115</v>
      </c>
      <c r="B19" t="s">
        <v>337</v>
      </c>
      <c r="C19" t="s">
        <v>335</v>
      </c>
      <c r="D19" t="s">
        <v>336</v>
      </c>
      <c r="E19" t="n">
        <v>1</v>
      </c>
      <c r="F19"/>
      <c r="G19"/>
    </row>
    <row r="20">
      <c r="A20" t="s">
        <v>102</v>
      </c>
      <c r="B20" t="s">
        <v>338</v>
      </c>
      <c r="C20" t="s">
        <v>339</v>
      </c>
      <c r="D20" t="s">
        <v>340</v>
      </c>
      <c r="E20" t="n">
        <v>1</v>
      </c>
      <c r="F20"/>
      <c r="G20"/>
    </row>
    <row r="21">
      <c r="A21" t="s">
        <v>116</v>
      </c>
      <c r="B21" t="s">
        <v>341</v>
      </c>
      <c r="C21" t="s">
        <v>342</v>
      </c>
      <c r="D21" t="s">
        <v>343</v>
      </c>
      <c r="E21" t="n">
        <v>1</v>
      </c>
      <c r="F21"/>
      <c r="G21"/>
    </row>
    <row r="22">
      <c r="A22" t="s">
        <v>117</v>
      </c>
      <c r="B22" t="s">
        <v>344</v>
      </c>
      <c r="C22" t="s">
        <v>342</v>
      </c>
      <c r="D22" t="s">
        <v>343</v>
      </c>
      <c r="E22" t="n">
        <v>1</v>
      </c>
      <c r="F22"/>
      <c r="G22"/>
    </row>
    <row r="23">
      <c r="A23" t="s">
        <v>118</v>
      </c>
      <c r="B23" t="s">
        <v>345</v>
      </c>
      <c r="C23" t="s">
        <v>346</v>
      </c>
      <c r="D23" t="s">
        <v>347</v>
      </c>
      <c r="E23" t="n">
        <v>0.961</v>
      </c>
      <c r="F23" t="s">
        <v>348</v>
      </c>
      <c r="G23"/>
    </row>
    <row r="24">
      <c r="A24" t="s">
        <v>118</v>
      </c>
      <c r="B24" t="s">
        <v>345</v>
      </c>
      <c r="C24" t="s">
        <v>349</v>
      </c>
      <c r="D24" t="s">
        <v>350</v>
      </c>
      <c r="E24" t="n">
        <v>0.039</v>
      </c>
      <c r="F24" t="s">
        <v>351</v>
      </c>
      <c r="G24"/>
    </row>
    <row r="25">
      <c r="A25" t="s">
        <v>120</v>
      </c>
      <c r="B25" t="s">
        <v>352</v>
      </c>
      <c r="C25" t="s">
        <v>100</v>
      </c>
      <c r="D25" t="s">
        <v>353</v>
      </c>
      <c r="E25" t="n">
        <v>1</v>
      </c>
      <c r="F25"/>
      <c r="G25"/>
    </row>
    <row r="26">
      <c r="A26" t="s">
        <v>105</v>
      </c>
      <c r="B26" t="s">
        <v>354</v>
      </c>
      <c r="C26" t="s">
        <v>355</v>
      </c>
      <c r="D26" t="s">
        <v>354</v>
      </c>
      <c r="E26" t="n">
        <v>1</v>
      </c>
      <c r="F26"/>
      <c r="G26"/>
    </row>
    <row r="27">
      <c r="A27" t="s">
        <v>106</v>
      </c>
      <c r="B27" t="s">
        <v>356</v>
      </c>
      <c r="C27" t="s">
        <v>357</v>
      </c>
      <c r="D27" t="s">
        <v>358</v>
      </c>
      <c r="E27" t="n">
        <v>1</v>
      </c>
      <c r="F27"/>
      <c r="G27"/>
    </row>
    <row r="28">
      <c r="A28" t="s">
        <v>107</v>
      </c>
      <c r="B28" t="s">
        <v>359</v>
      </c>
      <c r="C28" t="s">
        <v>360</v>
      </c>
      <c r="D28" t="s">
        <v>361</v>
      </c>
      <c r="E28" t="n">
        <v>1</v>
      </c>
      <c r="F28"/>
      <c r="G28"/>
    </row>
    <row r="29">
      <c r="A29" t="s">
        <v>108</v>
      </c>
      <c r="B29" t="s">
        <v>362</v>
      </c>
      <c r="C29" t="s">
        <v>363</v>
      </c>
      <c r="D29" t="s">
        <v>364</v>
      </c>
      <c r="E29" t="n">
        <v>1</v>
      </c>
      <c r="F29"/>
      <c r="G29"/>
    </row>
    <row r="30">
      <c r="A30" t="s">
        <v>109</v>
      </c>
      <c r="B30" t="s">
        <v>365</v>
      </c>
      <c r="C30" t="s">
        <v>366</v>
      </c>
      <c r="D30" t="s">
        <v>367</v>
      </c>
      <c r="E30" t="n">
        <v>1</v>
      </c>
      <c r="F30"/>
      <c r="G30"/>
    </row>
    <row r="31">
      <c r="A31" t="s">
        <v>110</v>
      </c>
      <c r="B31" t="s">
        <v>368</v>
      </c>
      <c r="C31" t="s">
        <v>369</v>
      </c>
      <c r="D31" t="s">
        <v>370</v>
      </c>
      <c r="E31" t="n">
        <v>1</v>
      </c>
      <c r="F31"/>
      <c r="G31"/>
    </row>
    <row r="32">
      <c r="A32" t="s">
        <v>111</v>
      </c>
      <c r="B32" t="s">
        <v>371</v>
      </c>
      <c r="C32" t="s">
        <v>372</v>
      </c>
      <c r="D32" t="s">
        <v>373</v>
      </c>
      <c r="E32" t="n">
        <v>1</v>
      </c>
      <c r="F32"/>
      <c r="G32"/>
    </row>
    <row r="33">
      <c r="A33" t="s">
        <v>112</v>
      </c>
      <c r="B33" t="s">
        <v>374</v>
      </c>
      <c r="C33" t="s">
        <v>372</v>
      </c>
      <c r="D33" t="s">
        <v>373</v>
      </c>
      <c r="E33" t="n">
        <v>1</v>
      </c>
      <c r="F33"/>
      <c r="G33"/>
    </row>
    <row r="34">
      <c r="A34" t="s">
        <v>121</v>
      </c>
      <c r="B34" t="s">
        <v>375</v>
      </c>
      <c r="C34" t="s">
        <v>376</v>
      </c>
      <c r="D34" t="s">
        <v>377</v>
      </c>
      <c r="E34" t="n">
        <v>1</v>
      </c>
      <c r="F34"/>
      <c r="G34"/>
    </row>
    <row r="35">
      <c r="A35" t="s">
        <v>122</v>
      </c>
      <c r="B35" t="s">
        <v>378</v>
      </c>
      <c r="C35" t="s">
        <v>376</v>
      </c>
      <c r="D35" t="s">
        <v>377</v>
      </c>
      <c r="E35" t="n">
        <v>1</v>
      </c>
      <c r="F35"/>
      <c r="G35"/>
    </row>
    <row r="36">
      <c r="A36" t="s">
        <v>123</v>
      </c>
      <c r="B36" t="s">
        <v>379</v>
      </c>
      <c r="C36" t="s">
        <v>376</v>
      </c>
      <c r="D36" t="s">
        <v>377</v>
      </c>
      <c r="E36" t="n">
        <v>1</v>
      </c>
      <c r="F36"/>
      <c r="G36"/>
    </row>
    <row r="37">
      <c r="A37" t="s">
        <v>124</v>
      </c>
      <c r="B37" t="s">
        <v>380</v>
      </c>
      <c r="C37" t="s">
        <v>376</v>
      </c>
      <c r="D37" t="s">
        <v>377</v>
      </c>
      <c r="E37" t="n">
        <v>1</v>
      </c>
      <c r="F37"/>
      <c r="G37"/>
    </row>
    <row r="38">
      <c r="A38" t="s">
        <v>125</v>
      </c>
      <c r="B38" t="s">
        <v>381</v>
      </c>
      <c r="C38" t="s">
        <v>376</v>
      </c>
      <c r="D38" t="s">
        <v>377</v>
      </c>
      <c r="E38" t="n">
        <v>1</v>
      </c>
      <c r="F38"/>
      <c r="G38"/>
    </row>
    <row r="39">
      <c r="A39" t="s">
        <v>126</v>
      </c>
      <c r="B39" t="s">
        <v>382</v>
      </c>
      <c r="C39" t="s">
        <v>383</v>
      </c>
      <c r="D39" t="s">
        <v>384</v>
      </c>
      <c r="E39" t="n">
        <v>1</v>
      </c>
      <c r="F39"/>
      <c r="G39"/>
    </row>
    <row r="40">
      <c r="A40" t="s">
        <v>127</v>
      </c>
      <c r="B40" t="s">
        <v>385</v>
      </c>
      <c r="C40" t="s">
        <v>383</v>
      </c>
      <c r="D40" t="s">
        <v>384</v>
      </c>
      <c r="E40" t="n">
        <v>1</v>
      </c>
      <c r="F40"/>
      <c r="G40"/>
    </row>
    <row r="41">
      <c r="A41" t="s">
        <v>128</v>
      </c>
      <c r="B41" t="s">
        <v>386</v>
      </c>
      <c r="C41" t="s">
        <v>383</v>
      </c>
      <c r="D41" t="s">
        <v>384</v>
      </c>
      <c r="E41" t="n">
        <v>1</v>
      </c>
      <c r="F41"/>
      <c r="G41"/>
    </row>
    <row r="42">
      <c r="A42" t="s">
        <v>129</v>
      </c>
      <c r="B42" t="s">
        <v>387</v>
      </c>
      <c r="C42" t="s">
        <v>383</v>
      </c>
      <c r="D42" t="s">
        <v>384</v>
      </c>
      <c r="E42" t="n">
        <v>1</v>
      </c>
      <c r="F42"/>
      <c r="G42"/>
    </row>
    <row r="43">
      <c r="A43" t="s">
        <v>130</v>
      </c>
      <c r="B43" t="s">
        <v>388</v>
      </c>
      <c r="C43" t="s">
        <v>383</v>
      </c>
      <c r="D43" t="s">
        <v>384</v>
      </c>
      <c r="E43" t="n">
        <v>1</v>
      </c>
      <c r="F43"/>
      <c r="G43"/>
    </row>
    <row r="44">
      <c r="A44" t="s">
        <v>131</v>
      </c>
      <c r="B44" t="s">
        <v>389</v>
      </c>
      <c r="C44" t="s">
        <v>323</v>
      </c>
      <c r="D44" t="s">
        <v>390</v>
      </c>
      <c r="E44" t="n">
        <v>1</v>
      </c>
      <c r="F44" t="s">
        <v>391</v>
      </c>
      <c r="G44"/>
    </row>
    <row r="45">
      <c r="A45" t="s">
        <v>132</v>
      </c>
      <c r="B45" t="s">
        <v>392</v>
      </c>
      <c r="C45" t="s">
        <v>383</v>
      </c>
      <c r="D45" t="s">
        <v>384</v>
      </c>
      <c r="E45" t="n">
        <v>1</v>
      </c>
      <c r="F45"/>
      <c r="G45"/>
    </row>
    <row r="46">
      <c r="A46" t="s">
        <v>133</v>
      </c>
      <c r="B46" t="s">
        <v>393</v>
      </c>
      <c r="C46" t="s">
        <v>383</v>
      </c>
      <c r="D46" t="s">
        <v>384</v>
      </c>
      <c r="E46" t="n">
        <v>1</v>
      </c>
      <c r="F46"/>
      <c r="G46"/>
    </row>
    <row r="47">
      <c r="A47" t="s">
        <v>134</v>
      </c>
      <c r="B47" t="s">
        <v>394</v>
      </c>
      <c r="C47" t="s">
        <v>395</v>
      </c>
      <c r="D47" t="s">
        <v>396</v>
      </c>
      <c r="E47" t="n">
        <v>1</v>
      </c>
      <c r="F47"/>
      <c r="G47"/>
    </row>
    <row r="48">
      <c r="A48" t="s">
        <v>135</v>
      </c>
      <c r="B48" t="s">
        <v>397</v>
      </c>
      <c r="C48" t="s">
        <v>395</v>
      </c>
      <c r="D48" t="s">
        <v>396</v>
      </c>
      <c r="E48" t="n">
        <v>1</v>
      </c>
      <c r="F48"/>
      <c r="G48"/>
    </row>
    <row r="49">
      <c r="A49" t="s">
        <v>136</v>
      </c>
      <c r="B49" t="s">
        <v>398</v>
      </c>
      <c r="C49" t="s">
        <v>395</v>
      </c>
      <c r="D49" t="s">
        <v>396</v>
      </c>
      <c r="E49" t="n">
        <v>0.25</v>
      </c>
      <c r="F49" t="s">
        <v>399</v>
      </c>
      <c r="G49"/>
    </row>
    <row r="50">
      <c r="A50" t="s">
        <v>136</v>
      </c>
      <c r="B50" t="s">
        <v>398</v>
      </c>
      <c r="C50" t="s">
        <v>151</v>
      </c>
      <c r="D50" t="s">
        <v>400</v>
      </c>
      <c r="E50" t="n">
        <v>0.75</v>
      </c>
      <c r="F50"/>
      <c r="G50"/>
    </row>
    <row r="51">
      <c r="A51" t="s">
        <v>137</v>
      </c>
      <c r="B51" t="s">
        <v>401</v>
      </c>
      <c r="C51" t="s">
        <v>402</v>
      </c>
      <c r="D51" t="s">
        <v>403</v>
      </c>
      <c r="E51" t="n">
        <v>1</v>
      </c>
      <c r="F51"/>
      <c r="G51"/>
    </row>
    <row r="52">
      <c r="A52" t="s">
        <v>138</v>
      </c>
      <c r="B52" t="s">
        <v>404</v>
      </c>
      <c r="C52" t="s">
        <v>405</v>
      </c>
      <c r="D52" t="s">
        <v>406</v>
      </c>
      <c r="E52" t="n">
        <v>1</v>
      </c>
      <c r="F52"/>
      <c r="G52"/>
    </row>
    <row r="53">
      <c r="A53" t="s">
        <v>139</v>
      </c>
      <c r="B53" t="s">
        <v>407</v>
      </c>
      <c r="C53" t="s">
        <v>405</v>
      </c>
      <c r="D53" t="s">
        <v>406</v>
      </c>
      <c r="E53" t="n">
        <v>1</v>
      </c>
      <c r="F53"/>
      <c r="G53"/>
    </row>
    <row r="54">
      <c r="A54" t="s">
        <v>140</v>
      </c>
      <c r="B54" t="s">
        <v>408</v>
      </c>
      <c r="C54" t="s">
        <v>405</v>
      </c>
      <c r="D54" t="s">
        <v>406</v>
      </c>
      <c r="E54" t="n">
        <v>1</v>
      </c>
      <c r="F54"/>
      <c r="G54"/>
    </row>
    <row r="55">
      <c r="A55" t="s">
        <v>141</v>
      </c>
      <c r="B55" t="s">
        <v>409</v>
      </c>
      <c r="C55" t="s">
        <v>405</v>
      </c>
      <c r="D55" t="s">
        <v>406</v>
      </c>
      <c r="E55" t="n">
        <v>1</v>
      </c>
      <c r="F55"/>
      <c r="G55"/>
    </row>
    <row r="56">
      <c r="A56" t="s">
        <v>142</v>
      </c>
      <c r="B56" t="s">
        <v>410</v>
      </c>
      <c r="C56" t="s">
        <v>411</v>
      </c>
      <c r="D56" t="s">
        <v>412</v>
      </c>
      <c r="E56" t="n">
        <v>1</v>
      </c>
      <c r="F56"/>
      <c r="G56"/>
    </row>
    <row r="57">
      <c r="A57" t="s">
        <v>143</v>
      </c>
      <c r="B57" t="s">
        <v>413</v>
      </c>
      <c r="C57" t="s">
        <v>411</v>
      </c>
      <c r="D57" t="s">
        <v>412</v>
      </c>
      <c r="E57" t="n">
        <v>1</v>
      </c>
      <c r="F57"/>
      <c r="G57"/>
    </row>
    <row r="58">
      <c r="A58" t="s">
        <v>144</v>
      </c>
      <c r="B58" t="s">
        <v>414</v>
      </c>
      <c r="C58" t="s">
        <v>415</v>
      </c>
      <c r="D58" t="s">
        <v>416</v>
      </c>
      <c r="E58" t="n">
        <v>1</v>
      </c>
      <c r="F58" t="s">
        <v>417</v>
      </c>
      <c r="G58"/>
    </row>
    <row r="59">
      <c r="A59" t="s">
        <v>145</v>
      </c>
      <c r="B59" t="s">
        <v>418</v>
      </c>
      <c r="C59" t="s">
        <v>415</v>
      </c>
      <c r="D59" t="s">
        <v>416</v>
      </c>
      <c r="E59" t="n">
        <v>1</v>
      </c>
      <c r="F59"/>
      <c r="G59"/>
    </row>
    <row r="60">
      <c r="A60" t="s">
        <v>147</v>
      </c>
      <c r="B60" t="s">
        <v>419</v>
      </c>
      <c r="C60" t="s">
        <v>415</v>
      </c>
      <c r="D60" t="s">
        <v>416</v>
      </c>
      <c r="E60" t="n">
        <v>1</v>
      </c>
      <c r="F60"/>
      <c r="G60"/>
    </row>
    <row r="61">
      <c r="A61" t="s">
        <v>146</v>
      </c>
      <c r="B61" t="s">
        <v>420</v>
      </c>
      <c r="C61" t="s">
        <v>402</v>
      </c>
      <c r="D61" t="s">
        <v>403</v>
      </c>
      <c r="E61" t="n">
        <v>1</v>
      </c>
      <c r="F61" t="s">
        <v>421</v>
      </c>
      <c r="G61"/>
    </row>
    <row r="62">
      <c r="A62" t="s">
        <v>148</v>
      </c>
      <c r="B62" t="s">
        <v>422</v>
      </c>
      <c r="C62" t="s">
        <v>415</v>
      </c>
      <c r="D62" t="s">
        <v>416</v>
      </c>
      <c r="E62" t="n">
        <v>1</v>
      </c>
      <c r="F62"/>
      <c r="G62"/>
    </row>
    <row r="63">
      <c r="A63" t="s">
        <v>149</v>
      </c>
      <c r="B63" t="s">
        <v>423</v>
      </c>
      <c r="C63" t="s">
        <v>415</v>
      </c>
      <c r="D63" t="s">
        <v>416</v>
      </c>
      <c r="E63" t="n">
        <v>1</v>
      </c>
      <c r="F63"/>
      <c r="G63"/>
    </row>
    <row r="64">
      <c r="A64" t="s">
        <v>150</v>
      </c>
      <c r="B64" t="s">
        <v>424</v>
      </c>
      <c r="C64" t="s">
        <v>326</v>
      </c>
      <c r="D64" t="s">
        <v>425</v>
      </c>
      <c r="E64" t="n">
        <v>1</v>
      </c>
      <c r="F64"/>
      <c r="G64"/>
    </row>
    <row r="65">
      <c r="A65" t="s">
        <v>151</v>
      </c>
      <c r="B65" t="s">
        <v>426</v>
      </c>
      <c r="C65" t="s">
        <v>427</v>
      </c>
      <c r="D65" t="s">
        <v>428</v>
      </c>
      <c r="E65" t="n">
        <v>1</v>
      </c>
      <c r="F65"/>
      <c r="G65"/>
    </row>
    <row r="66">
      <c r="A66" t="s">
        <v>152</v>
      </c>
      <c r="B66" t="s">
        <v>429</v>
      </c>
      <c r="C66" t="s">
        <v>430</v>
      </c>
      <c r="D66" t="s">
        <v>431</v>
      </c>
      <c r="E66" t="n">
        <v>1</v>
      </c>
      <c r="F66"/>
      <c r="G66"/>
    </row>
    <row r="67">
      <c r="A67" t="s">
        <v>153</v>
      </c>
      <c r="B67" t="s">
        <v>432</v>
      </c>
      <c r="C67" t="s">
        <v>430</v>
      </c>
      <c r="D67" t="s">
        <v>431</v>
      </c>
      <c r="E67" t="n">
        <v>1</v>
      </c>
      <c r="F67"/>
      <c r="G67"/>
    </row>
    <row r="68">
      <c r="A68" t="s">
        <v>154</v>
      </c>
      <c r="B68" t="s">
        <v>433</v>
      </c>
      <c r="C68" t="s">
        <v>430</v>
      </c>
      <c r="D68" t="s">
        <v>431</v>
      </c>
      <c r="E68" t="n">
        <v>1</v>
      </c>
      <c r="F68"/>
      <c r="G68"/>
    </row>
    <row r="69">
      <c r="A69" t="s">
        <v>155</v>
      </c>
      <c r="B69" t="s">
        <v>434</v>
      </c>
      <c r="C69" t="s">
        <v>430</v>
      </c>
      <c r="D69" t="s">
        <v>431</v>
      </c>
      <c r="E69" t="n">
        <v>1</v>
      </c>
      <c r="F69"/>
      <c r="G69"/>
    </row>
    <row r="70">
      <c r="A70" t="s">
        <v>156</v>
      </c>
      <c r="B70" t="s">
        <v>435</v>
      </c>
      <c r="C70" t="s">
        <v>436</v>
      </c>
      <c r="D70" t="s">
        <v>437</v>
      </c>
      <c r="E70" t="n">
        <v>1</v>
      </c>
      <c r="F70"/>
      <c r="G70"/>
    </row>
    <row r="71">
      <c r="A71" t="s">
        <v>157</v>
      </c>
      <c r="B71" t="s">
        <v>438</v>
      </c>
      <c r="C71" t="s">
        <v>436</v>
      </c>
      <c r="D71" t="s">
        <v>437</v>
      </c>
      <c r="E71" t="n">
        <v>1</v>
      </c>
      <c r="F71"/>
      <c r="G71"/>
    </row>
    <row r="72">
      <c r="A72" t="s">
        <v>158</v>
      </c>
      <c r="B72" t="s">
        <v>439</v>
      </c>
      <c r="C72" t="s">
        <v>440</v>
      </c>
      <c r="D72" t="s">
        <v>441</v>
      </c>
      <c r="E72" t="n">
        <v>1</v>
      </c>
      <c r="F72"/>
      <c r="G72"/>
    </row>
    <row r="73">
      <c r="A73" t="s">
        <v>159</v>
      </c>
      <c r="B73" t="s">
        <v>442</v>
      </c>
      <c r="C73" t="s">
        <v>440</v>
      </c>
      <c r="D73" t="s">
        <v>441</v>
      </c>
      <c r="E73" t="n">
        <v>1</v>
      </c>
      <c r="F73"/>
      <c r="G73"/>
    </row>
    <row r="74">
      <c r="A74" t="s">
        <v>160</v>
      </c>
      <c r="B74" t="s">
        <v>443</v>
      </c>
      <c r="C74" t="s">
        <v>436</v>
      </c>
      <c r="D74" t="s">
        <v>437</v>
      </c>
      <c r="E74" t="n">
        <v>1</v>
      </c>
      <c r="F74"/>
      <c r="G74"/>
    </row>
    <row r="75">
      <c r="A75" t="s">
        <v>161</v>
      </c>
      <c r="B75" t="s">
        <v>444</v>
      </c>
      <c r="C75" t="s">
        <v>445</v>
      </c>
      <c r="D75" t="s">
        <v>446</v>
      </c>
      <c r="E75" t="n">
        <v>1</v>
      </c>
      <c r="F75"/>
      <c r="G75"/>
    </row>
    <row r="76">
      <c r="A76" t="s">
        <v>162</v>
      </c>
      <c r="B76" t="s">
        <v>447</v>
      </c>
      <c r="C76" t="s">
        <v>445</v>
      </c>
      <c r="D76" t="s">
        <v>446</v>
      </c>
      <c r="E76" t="n">
        <v>1</v>
      </c>
      <c r="F76"/>
      <c r="G76"/>
    </row>
    <row r="77">
      <c r="A77" t="s">
        <v>163</v>
      </c>
      <c r="B77" t="s">
        <v>448</v>
      </c>
      <c r="C77" t="s">
        <v>445</v>
      </c>
      <c r="D77" t="s">
        <v>446</v>
      </c>
      <c r="E77" t="n">
        <v>1</v>
      </c>
      <c r="F77"/>
      <c r="G77"/>
    </row>
    <row r="78">
      <c r="A78" t="s">
        <v>164</v>
      </c>
      <c r="B78" t="s">
        <v>449</v>
      </c>
      <c r="C78" t="s">
        <v>445</v>
      </c>
      <c r="D78" t="s">
        <v>446</v>
      </c>
      <c r="E78" t="n">
        <v>1</v>
      </c>
      <c r="F78"/>
      <c r="G78"/>
    </row>
    <row r="79">
      <c r="A79" t="s">
        <v>165</v>
      </c>
      <c r="B79" t="s">
        <v>450</v>
      </c>
      <c r="C79" t="s">
        <v>445</v>
      </c>
      <c r="D79" t="s">
        <v>446</v>
      </c>
      <c r="E79" t="n">
        <v>1</v>
      </c>
      <c r="F79"/>
      <c r="G79"/>
    </row>
    <row r="80">
      <c r="A80" t="s">
        <v>98</v>
      </c>
      <c r="B80" t="s">
        <v>451</v>
      </c>
      <c r="C80" t="s">
        <v>452</v>
      </c>
      <c r="D80" t="s">
        <v>453</v>
      </c>
      <c r="E80" t="n">
        <v>0.298155430580855</v>
      </c>
      <c r="F80"/>
      <c r="G80" t="s">
        <v>454</v>
      </c>
    </row>
    <row r="81">
      <c r="A81" t="s">
        <v>98</v>
      </c>
      <c r="B81" t="s">
        <v>451</v>
      </c>
      <c r="C81" t="s">
        <v>455</v>
      </c>
      <c r="D81" t="s">
        <v>456</v>
      </c>
      <c r="E81" t="n">
        <v>0.701844569419145</v>
      </c>
      <c r="F81"/>
      <c r="G81" t="s">
        <v>454</v>
      </c>
    </row>
    <row r="82">
      <c r="A82" t="s">
        <v>103</v>
      </c>
      <c r="B82" t="s">
        <v>457</v>
      </c>
      <c r="C82" t="s">
        <v>458</v>
      </c>
      <c r="D82" t="s">
        <v>459</v>
      </c>
      <c r="E82" t="n">
        <v>0.25</v>
      </c>
      <c r="F82"/>
      <c r="G82" t="s">
        <v>460</v>
      </c>
    </row>
    <row r="83">
      <c r="A83" t="s">
        <v>103</v>
      </c>
      <c r="B83" t="s">
        <v>457</v>
      </c>
      <c r="C83" t="s">
        <v>461</v>
      </c>
      <c r="D83" t="s">
        <v>462</v>
      </c>
      <c r="E83" t="n">
        <v>0.75</v>
      </c>
      <c r="F83"/>
      <c r="G83" t="s">
        <v>460</v>
      </c>
    </row>
    <row r="84">
      <c r="A84" t="s">
        <v>104</v>
      </c>
      <c r="B84" t="s">
        <v>463</v>
      </c>
      <c r="C84" t="s">
        <v>349</v>
      </c>
      <c r="D84" t="s">
        <v>350</v>
      </c>
      <c r="E84" t="n">
        <v>0.55</v>
      </c>
      <c r="F84"/>
      <c r="G84" t="s">
        <v>464</v>
      </c>
    </row>
    <row r="85">
      <c r="A85" t="s">
        <v>104</v>
      </c>
      <c r="B85" t="s">
        <v>463</v>
      </c>
      <c r="C85" t="s">
        <v>465</v>
      </c>
      <c r="D85" t="s">
        <v>466</v>
      </c>
      <c r="E85" t="n">
        <v>0.45</v>
      </c>
      <c r="F85"/>
      <c r="G85" t="s">
        <v>464</v>
      </c>
    </row>
    <row r="86">
      <c r="A86" t="s">
        <v>119</v>
      </c>
      <c r="B86" t="s">
        <v>467</v>
      </c>
      <c r="C86" t="s">
        <v>468</v>
      </c>
      <c r="D86" t="s">
        <v>469</v>
      </c>
      <c r="E86" t="n">
        <v>0.65</v>
      </c>
      <c r="F86"/>
      <c r="G86" t="s">
        <v>470</v>
      </c>
    </row>
    <row r="87">
      <c r="A87" t="s">
        <v>119</v>
      </c>
      <c r="B87" t="s">
        <v>467</v>
      </c>
      <c r="C87" t="s">
        <v>471</v>
      </c>
      <c r="D87" t="s">
        <v>472</v>
      </c>
      <c r="E87" t="n">
        <v>0.35</v>
      </c>
      <c r="F87"/>
      <c r="G87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473</v>
      </c>
    </row>
    <row r="2">
      <c r="A2" t="s">
        <v>1</v>
      </c>
    </row>
    <row r="3">
      <c r="A3" t="s">
        <v>474</v>
      </c>
    </row>
    <row r="4">
      <c r="A4" t="s">
        <v>475</v>
      </c>
    </row>
    <row r="5">
      <c r="A5" t="s">
        <v>476</v>
      </c>
    </row>
    <row r="6">
      <c r="A6" t="s">
        <v>477</v>
      </c>
    </row>
    <row r="7">
      <c r="A7" t="s">
        <v>478</v>
      </c>
    </row>
    <row r="8">
      <c r="A8" t="s">
        <v>479</v>
      </c>
    </row>
    <row r="9">
      <c r="A9" t="s">
        <v>1</v>
      </c>
    </row>
    <row r="11">
      <c r="A11" t="s">
        <v>302</v>
      </c>
      <c r="B11" t="s">
        <v>304</v>
      </c>
      <c r="C11" t="s">
        <v>306</v>
      </c>
      <c r="D11" t="s">
        <v>308</v>
      </c>
    </row>
    <row r="12">
      <c r="A12" t="n">
        <v>212</v>
      </c>
      <c r="B12" t="s">
        <v>452</v>
      </c>
      <c r="C12" t="n">
        <v>0.298155430580855</v>
      </c>
      <c r="D12" t="s">
        <v>454</v>
      </c>
    </row>
    <row r="13">
      <c r="A13" t="n">
        <v>212</v>
      </c>
      <c r="B13" t="s">
        <v>455</v>
      </c>
      <c r="C13" t="n">
        <v>0.701844569419145</v>
      </c>
      <c r="D13" t="s">
        <v>454</v>
      </c>
    </row>
    <row r="14">
      <c r="A14" t="n">
        <v>327</v>
      </c>
      <c r="B14" t="s">
        <v>458</v>
      </c>
      <c r="C14" t="n">
        <v>0.25</v>
      </c>
      <c r="D14" t="s">
        <v>460</v>
      </c>
    </row>
    <row r="15">
      <c r="A15" t="n">
        <v>327</v>
      </c>
      <c r="B15" t="s">
        <v>461</v>
      </c>
      <c r="C15" t="n">
        <v>0.75</v>
      </c>
      <c r="D15" t="s">
        <v>460</v>
      </c>
    </row>
    <row r="16">
      <c r="A16" t="n">
        <v>331</v>
      </c>
      <c r="B16" t="s">
        <v>349</v>
      </c>
      <c r="C16" t="n">
        <v>0.55</v>
      </c>
      <c r="D16" t="s">
        <v>464</v>
      </c>
    </row>
    <row r="17">
      <c r="A17" t="n">
        <v>331</v>
      </c>
      <c r="B17" t="s">
        <v>465</v>
      </c>
      <c r="C17" t="n">
        <v>0.45</v>
      </c>
      <c r="D17" t="s">
        <v>464</v>
      </c>
    </row>
    <row r="18">
      <c r="A18" t="n">
        <v>325</v>
      </c>
      <c r="B18" t="s">
        <v>468</v>
      </c>
      <c r="C18" t="n">
        <v>0.65</v>
      </c>
      <c r="D18" t="s">
        <v>470</v>
      </c>
    </row>
    <row r="19">
      <c r="A19" t="n">
        <v>325</v>
      </c>
      <c r="B19" t="s">
        <v>471</v>
      </c>
      <c r="C19" t="n">
        <v>0.35</v>
      </c>
      <c r="D19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480</v>
      </c>
    </row>
    <row r="2">
      <c r="A2" t="s">
        <v>481</v>
      </c>
    </row>
    <row r="3">
      <c r="A3" t="s">
        <v>482</v>
      </c>
    </row>
    <row r="4">
      <c r="A4" t="s">
        <v>483</v>
      </c>
    </row>
    <row r="5">
      <c r="A5" t="s">
        <v>1</v>
      </c>
    </row>
    <row r="7">
      <c r="A7" t="s">
        <v>484</v>
      </c>
      <c r="B7" t="s">
        <v>485</v>
      </c>
      <c r="C7" t="s">
        <v>486</v>
      </c>
    </row>
    <row r="8">
      <c r="A8" t="s">
        <v>310</v>
      </c>
      <c r="B8" t="s">
        <v>487</v>
      </c>
      <c r="C8" t="s">
        <v>488</v>
      </c>
    </row>
    <row r="9">
      <c r="A9" t="s">
        <v>452</v>
      </c>
      <c r="B9" t="s">
        <v>453</v>
      </c>
      <c r="C9" t="s">
        <v>489</v>
      </c>
    </row>
    <row r="10">
      <c r="A10" t="s">
        <v>314</v>
      </c>
      <c r="B10" t="s">
        <v>315</v>
      </c>
      <c r="C10" t="s">
        <v>490</v>
      </c>
    </row>
    <row r="11">
      <c r="A11" t="s">
        <v>455</v>
      </c>
      <c r="B11" t="s">
        <v>491</v>
      </c>
      <c r="C11" t="s">
        <v>492</v>
      </c>
    </row>
    <row r="12">
      <c r="A12" t="s">
        <v>317</v>
      </c>
      <c r="B12" t="s">
        <v>318</v>
      </c>
      <c r="C12" t="s">
        <v>493</v>
      </c>
    </row>
    <row r="13">
      <c r="A13" t="s">
        <v>332</v>
      </c>
      <c r="B13" t="s">
        <v>494</v>
      </c>
      <c r="C13" t="s">
        <v>495</v>
      </c>
    </row>
    <row r="14">
      <c r="A14" t="s">
        <v>335</v>
      </c>
      <c r="B14" t="s">
        <v>496</v>
      </c>
      <c r="C14" t="s">
        <v>497</v>
      </c>
    </row>
    <row r="15">
      <c r="A15" t="s">
        <v>339</v>
      </c>
      <c r="B15" t="s">
        <v>498</v>
      </c>
      <c r="C15" t="s">
        <v>499</v>
      </c>
    </row>
    <row r="16">
      <c r="A16" t="s">
        <v>342</v>
      </c>
      <c r="B16" t="s">
        <v>343</v>
      </c>
      <c r="C16" t="s">
        <v>500</v>
      </c>
    </row>
    <row r="17">
      <c r="A17" t="s">
        <v>346</v>
      </c>
      <c r="B17" t="s">
        <v>347</v>
      </c>
      <c r="C17" t="s">
        <v>501</v>
      </c>
    </row>
    <row r="18">
      <c r="A18" t="s">
        <v>468</v>
      </c>
      <c r="B18" t="s">
        <v>502</v>
      </c>
      <c r="C18" t="s">
        <v>503</v>
      </c>
    </row>
    <row r="19">
      <c r="A19" t="s">
        <v>471</v>
      </c>
      <c r="B19" t="s">
        <v>504</v>
      </c>
      <c r="C19" t="s">
        <v>505</v>
      </c>
    </row>
    <row r="20">
      <c r="A20" t="s">
        <v>100</v>
      </c>
      <c r="B20" t="s">
        <v>353</v>
      </c>
      <c r="C20" t="s">
        <v>506</v>
      </c>
    </row>
    <row r="21">
      <c r="A21" t="s">
        <v>458</v>
      </c>
      <c r="B21" t="s">
        <v>507</v>
      </c>
      <c r="C21" t="s">
        <v>508</v>
      </c>
    </row>
    <row r="22">
      <c r="A22" t="s">
        <v>461</v>
      </c>
      <c r="B22" t="s">
        <v>509</v>
      </c>
      <c r="C22" t="s">
        <v>510</v>
      </c>
    </row>
    <row r="23">
      <c r="A23" t="s">
        <v>349</v>
      </c>
      <c r="B23" t="s">
        <v>511</v>
      </c>
      <c r="C23" t="s">
        <v>512</v>
      </c>
    </row>
    <row r="24">
      <c r="A24" t="s">
        <v>465</v>
      </c>
      <c r="B24" t="s">
        <v>513</v>
      </c>
      <c r="C24" t="s">
        <v>514</v>
      </c>
    </row>
    <row r="25">
      <c r="A25" t="s">
        <v>355</v>
      </c>
      <c r="B25" t="s">
        <v>515</v>
      </c>
      <c r="C25" t="s">
        <v>516</v>
      </c>
    </row>
    <row r="26">
      <c r="A26" t="s">
        <v>360</v>
      </c>
      <c r="B26" t="s">
        <v>361</v>
      </c>
      <c r="C26" t="s">
        <v>517</v>
      </c>
    </row>
    <row r="27">
      <c r="A27" t="s">
        <v>363</v>
      </c>
      <c r="B27" t="s">
        <v>364</v>
      </c>
      <c r="C27" t="s">
        <v>518</v>
      </c>
    </row>
    <row r="28">
      <c r="A28" t="s">
        <v>357</v>
      </c>
      <c r="B28" t="s">
        <v>358</v>
      </c>
      <c r="C28" t="s">
        <v>519</v>
      </c>
    </row>
    <row r="29">
      <c r="A29" t="s">
        <v>366</v>
      </c>
      <c r="B29" t="s">
        <v>520</v>
      </c>
      <c r="C29" t="s">
        <v>521</v>
      </c>
    </row>
    <row r="30">
      <c r="A30" t="s">
        <v>369</v>
      </c>
      <c r="B30" t="s">
        <v>370</v>
      </c>
      <c r="C30" t="s">
        <v>522</v>
      </c>
    </row>
    <row r="31">
      <c r="A31" t="s">
        <v>372</v>
      </c>
      <c r="B31" t="s">
        <v>523</v>
      </c>
      <c r="C31" t="s">
        <v>524</v>
      </c>
    </row>
    <row r="32">
      <c r="A32" t="s">
        <v>320</v>
      </c>
      <c r="B32" t="s">
        <v>525</v>
      </c>
      <c r="C32" t="s">
        <v>526</v>
      </c>
    </row>
    <row r="33">
      <c r="A33" t="s">
        <v>323</v>
      </c>
      <c r="B33" t="s">
        <v>527</v>
      </c>
      <c r="C33" t="s">
        <v>528</v>
      </c>
    </row>
    <row r="34">
      <c r="A34" t="s">
        <v>326</v>
      </c>
      <c r="B34" t="s">
        <v>529</v>
      </c>
      <c r="C34" t="s">
        <v>530</v>
      </c>
    </row>
    <row r="35">
      <c r="A35" t="s">
        <v>330</v>
      </c>
      <c r="B35" t="s">
        <v>329</v>
      </c>
      <c r="C35" t="s">
        <v>531</v>
      </c>
    </row>
    <row r="36">
      <c r="A36" t="s">
        <v>376</v>
      </c>
      <c r="B36" t="s">
        <v>532</v>
      </c>
      <c r="C36" t="s">
        <v>533</v>
      </c>
    </row>
    <row r="37">
      <c r="A37" t="s">
        <v>383</v>
      </c>
      <c r="B37" t="s">
        <v>384</v>
      </c>
      <c r="C37" t="s">
        <v>534</v>
      </c>
    </row>
    <row r="38">
      <c r="A38" t="s">
        <v>440</v>
      </c>
      <c r="B38" t="s">
        <v>535</v>
      </c>
      <c r="C38" t="s">
        <v>536</v>
      </c>
    </row>
    <row r="39">
      <c r="A39" t="s">
        <v>395</v>
      </c>
      <c r="B39" t="s">
        <v>537</v>
      </c>
      <c r="C39" t="s">
        <v>538</v>
      </c>
    </row>
    <row r="40">
      <c r="A40" t="s">
        <v>151</v>
      </c>
      <c r="B40" t="s">
        <v>400</v>
      </c>
      <c r="C40" t="s">
        <v>539</v>
      </c>
    </row>
    <row r="41">
      <c r="A41" t="s">
        <v>402</v>
      </c>
      <c r="B41" t="s">
        <v>403</v>
      </c>
      <c r="C41" t="s">
        <v>540</v>
      </c>
    </row>
    <row r="42">
      <c r="A42" t="s">
        <v>405</v>
      </c>
      <c r="B42" t="s">
        <v>541</v>
      </c>
      <c r="C42" t="s">
        <v>542</v>
      </c>
    </row>
    <row r="43">
      <c r="A43" t="s">
        <v>411</v>
      </c>
      <c r="B43" t="s">
        <v>412</v>
      </c>
      <c r="C43" t="s">
        <v>543</v>
      </c>
    </row>
    <row r="44">
      <c r="A44" t="s">
        <v>415</v>
      </c>
      <c r="B44" t="s">
        <v>544</v>
      </c>
      <c r="C44" t="s">
        <v>545</v>
      </c>
    </row>
    <row r="45">
      <c r="A45" t="s">
        <v>445</v>
      </c>
      <c r="B45" t="s">
        <v>546</v>
      </c>
      <c r="C45" t="s">
        <v>547</v>
      </c>
    </row>
    <row r="46">
      <c r="A46" t="s">
        <v>427</v>
      </c>
      <c r="B46" t="s">
        <v>428</v>
      </c>
      <c r="C46" t="s">
        <v>548</v>
      </c>
    </row>
    <row r="47">
      <c r="A47" t="s">
        <v>430</v>
      </c>
      <c r="B47" t="s">
        <v>549</v>
      </c>
      <c r="C47" t="s">
        <v>550</v>
      </c>
    </row>
    <row r="48">
      <c r="A48" t="s">
        <v>436</v>
      </c>
      <c r="B48" t="s">
        <v>551</v>
      </c>
      <c r="C48" t="s">
        <v>552</v>
      </c>
    </row>
    <row r="49">
      <c r="A49" t="s">
        <v>553</v>
      </c>
      <c r="B49" t="s">
        <v>554</v>
      </c>
      <c r="C49" t="s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IFERROR(INDEX('1_Gov_by_BEA'!$B$2:$B$74, MATCH($A3, '1_Gov_by_BEA'!$A$2:$A$74,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IFERROR(INDEX('1_Gov_by_BEA'!$B$2:$B$74, MATCH($A4, '1_Gov_by_BEA'!$A$2:$A$74,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IFERROR(INDEX('1_Gov_by_BEA'!$B$2:$B$74, MATCH($A5, '1_Gov_by_BEA'!$A$2:$A$74,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IFERROR(INDEX('1_Gov_by_BEA'!$B$2:$B$74, MATCH($A6, '1_Gov_by_BEA'!$A$2:$A$74,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IFERROR(INDEX('1_Gov_by_BEA'!$B$2:$B$74, MATCH($A7, '1_Gov_by_BEA'!$A$2:$A$74,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IFERROR(INDEX('1_Gov_by_BEA'!$B$2:$B$74, MATCH($A8, '1_Gov_by_BEA'!$A$2:$A$74,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IFERROR(INDEX('1_Gov_by_BEA'!$B$2:$B$74, MATCH($A9, '1_Gov_by_BEA'!$A$2:$A$74,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IFERROR(INDEX('1_Gov_by_BEA'!$B$2:$B$74, MATCH($A10, '1_Gov_by_BEA'!$A$2:$A$74,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IFERROR(INDEX('1_Gov_by_BEA'!$B$2:$B$74, MATCH($A11, '1_Gov_by_BEA'!$A$2:$A$74,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IFERROR(INDEX('1_Gov_by_BEA'!$B$2:$B$74, MATCH($A12, '1_Gov_by_BEA'!$A$2:$A$74,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IFERROR(INDEX('1_Gov_by_BEA'!$B$2:$B$74, MATCH($A13, '1_Gov_by_BEA'!$A$2:$A$74,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IFERROR(INDEX('1_Gov_by_BEA'!$B$2:$B$74, MATCH($A14, '1_Gov_by_BEA'!$A$2:$A$74,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IFERROR(INDEX('1_Gov_by_BEA'!$B$2:$B$74, MATCH($A15, '1_Gov_by_BEA'!$A$2:$A$74,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IFERROR(INDEX('1_Gov_by_BEA'!$B$2:$B$74, MATCH($A16, '1_Gov_by_BEA'!$A$2:$A$74,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IFERROR(INDEX('1_Gov_by_BEA'!$B$2:$B$74, MATCH($A17, '1_Gov_by_BEA'!$A$2:$A$74,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IFERROR(INDEX('1_Gov_by_BEA'!$B$2:$B$74, MATCH($A18, '1_Gov_by_BEA'!$A$2:$A$74,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IFERROR(INDEX('1_Gov_by_BEA'!$B$2:$B$74, MATCH($A19, '1_Gov_by_BEA'!$A$2:$A$74,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IFERROR(INDEX('1_Gov_by_BEA'!$B$2:$B$74, MATCH($A20, '1_Gov_by_BEA'!$A$2:$A$74,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IFERROR(INDEX('1_Gov_by_BEA'!$B$2:$B$74, MATCH($A21, '1_Gov_by_BEA'!$A$2:$A$74,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IFERROR(INDEX('1_Gov_by_BEA'!$B$2:$B$74, MATCH($A22, '1_Gov_by_BEA'!$A$2:$A$74,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IFERROR(INDEX('1_Gov_by_BEA'!$B$2:$B$74, MATCH($A23, '1_Gov_by_BEA'!$A$2:$A$74,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IFERROR(INDEX('1_Gov_by_BEA'!$B$2:$B$74, MATCH($A24, '1_Gov_by_BEA'!$A$2:$A$74,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IFERROR(INDEX('1_Gov_by_BEA'!$B$2:$B$74, MATCH($A25, '1_Gov_by_BEA'!$A$2:$A$74,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IFERROR(INDEX('1_Gov_by_BEA'!$B$2:$B$74, MATCH($A26, '1_Gov_by_BEA'!$A$2:$A$74,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IFERROR(INDEX('1_Gov_by_BEA'!$B$2:$B$74, MATCH($A27, '1_Gov_by_BEA'!$A$2:$A$74,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IFERROR(INDEX('1_Gov_by_BEA'!$B$2:$B$74, MATCH($A28, '1_Gov_by_BEA'!$A$2:$A$74,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IFERROR(INDEX('1_Gov_by_BEA'!$B$2:$B$74, MATCH($A29, '1_Gov_by_BEA'!$A$2:$A$74,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IFERROR(INDEX('1_Gov_by_BEA'!$B$2:$B$74, MATCH($A30, '1_Gov_by_BEA'!$A$2:$A$74,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IFERROR(INDEX('1_Gov_by_BEA'!$B$2:$B$74, MATCH($A31, '1_Gov_by_BEA'!$A$2:$A$74,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IFERROR(INDEX('1_Gov_by_BEA'!$B$2:$B$74, MATCH($A32, '1_Gov_by_BEA'!$A$2:$A$74,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IFERROR(INDEX('1_Gov_by_BEA'!$B$2:$B$74, MATCH($A33, '1_Gov_by_BEA'!$A$2:$A$74,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IFERROR(INDEX('1_Gov_by_BEA'!$B$2:$B$74, MATCH($A34, '1_Gov_by_BEA'!$A$2:$A$74,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IFERROR(INDEX('1_Gov_by_BEA'!$B$2:$B$74, MATCH($A35, '1_Gov_by_BEA'!$A$2:$A$74,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IFERROR(INDEX('1_Gov_by_BEA'!$B$2:$B$74, MATCH($A36, '1_Gov_by_BEA'!$A$2:$A$74,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IFERROR(INDEX('1_Gov_by_BEA'!$B$2:$B$74, MATCH($A37, '1_Gov_by_BEA'!$A$2:$A$74,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IFERROR(INDEX('1_Gov_by_BEA'!$B$2:$B$74, MATCH($A38, '1_Gov_by_BEA'!$A$2:$A$74,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IFERROR(INDEX('1_Gov_by_BEA'!$B$2:$B$74, MATCH($A39, '1_Gov_by_BEA'!$A$2:$A$74,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IFERROR(INDEX('1_Gov_by_BEA'!$B$2:$B$74, MATCH($A40, '1_Gov_by_BEA'!$A$2:$A$74,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IFERROR(INDEX('1_Gov_by_BEA'!$B$2:$B$74, MATCH($A41, '1_Gov_by_BEA'!$A$2:$A$74,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IFERROR(INDEX('1_Gov_by_BEA'!$B$2:$B$74, MATCH($A42, '1_Gov_by_BEA'!$A$2:$A$74,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IFERROR(INDEX('1_Gov_by_BEA'!$B$2:$B$74, MATCH($A43, '1_Gov_by_BEA'!$A$2:$A$74,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IFERROR(INDEX('1_Gov_by_BEA'!$B$2:$B$74, MATCH($A44, '1_Gov_by_BEA'!$A$2:$A$74,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IFERROR(INDEX('1_Gov_by_BEA'!$B$2:$B$74, MATCH($A45, '1_Gov_by_BEA'!$A$2:$A$74,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IFERROR(INDEX('1_Gov_by_BEA'!$B$2:$B$74, MATCH($A46, '1_Gov_by_BEA'!$A$2:$A$74,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IFERROR(INDEX('1_Gov_by_BEA'!$B$2:$B$74, MATCH($A47, '1_Gov_by_BEA'!$A$2:$A$74,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IFERROR(INDEX('1_Gov_by_BEA'!$B$2:$B$74, MATCH($A48, '1_Gov_by_BEA'!$A$2:$A$74,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IFERROR(INDEX('1_Gov_by_BEA'!$B$2:$B$74, MATCH($A49, '1_Gov_by_BEA'!$A$2:$A$74,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IFERROR(INDEX('1_Gov_by_BEA'!$B$2:$B$74, MATCH($A50, '1_Gov_by_BEA'!$A$2:$A$74,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IFERROR(INDEX('1_Gov_by_BEA'!$B$2:$B$74, MATCH($A51, '1_Gov_by_BEA'!$A$2:$A$74,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IFERROR(INDEX('1_Gov_by_BEA'!$B$2:$B$74, MATCH($A52, '1_Gov_by_BEA'!$A$2:$A$74,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IFERROR(INDEX('1_Gov_by_BEA'!$B$2:$B$74, MATCH($A53, '1_Gov_by_BEA'!$A$2:$A$74,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IFERROR(INDEX('1_Gov_by_BEA'!$B$2:$B$74, MATCH($A54, '1_Gov_by_BEA'!$A$2:$A$74,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IFERROR(INDEX('1_Gov_by_BEA'!$B$2:$B$74, MATCH($A55, '1_Gov_by_BEA'!$A$2:$A$74,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IFERROR(INDEX('1_Gov_by_BEA'!$B$2:$B$74, MATCH($A56, '1_Gov_by_BEA'!$A$2:$A$74,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IFERROR(INDEX('1_Gov_by_BEA'!$B$2:$B$74, MATCH($A57, '1_Gov_by_BEA'!$A$2:$A$74,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IFERROR(INDEX('1_Gov_by_BEA'!$B$2:$B$74, MATCH($A58, '1_Gov_by_BEA'!$A$2:$A$74,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IFERROR(INDEX('1_Gov_by_BEA'!$B$2:$B$74, MATCH($A59, '1_Gov_by_BEA'!$A$2:$A$74,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IFERROR(INDEX('1_Gov_by_BEA'!$B$2:$B$74, MATCH($A60, '1_Gov_by_BEA'!$A$2:$A$74,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IFERROR(INDEX('1_Gov_by_BEA'!$B$2:$B$74, MATCH($A61, '1_Gov_by_BEA'!$A$2:$A$74,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IFERROR(INDEX('1_Gov_by_BEA'!$B$2:$B$74, MATCH($A62, '1_Gov_by_BEA'!$A$2:$A$74,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IFERROR(INDEX('1_Gov_by_BEA'!$B$2:$B$74, MATCH($A63, '1_Gov_by_BEA'!$A$2:$A$74,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IFERROR(INDEX('1_Gov_by_BEA'!$B$2:$B$74, MATCH($A64, '1_Gov_by_BEA'!$A$2:$A$74,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IFERROR(INDEX('1_Gov_by_BEA'!$B$2:$B$74, MATCH($A65, '1_Gov_by_BEA'!$A$2:$A$74,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IFERROR(INDEX('1_Gov_by_BEA'!$B$2:$B$74, MATCH($A66, '1_Gov_by_BEA'!$A$2:$A$74,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IFERROR(INDEX('1_Gov_by_BEA'!$B$2:$B$74, MATCH($A67, '1_Gov_by_BEA'!$A$2:$A$74,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IFERROR(INDEX('1_Gov_by_BEA'!$B$2:$B$74, MATCH($A68, '1_Gov_by_BEA'!$A$2:$A$74,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IFERROR(INDEX('1_Gov_by_BEA'!$B$2:$B$74, MATCH($A69, '1_Gov_by_BEA'!$A$2:$A$74,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IFERROR(INDEX('1_Gov_by_BEA'!$B$2:$B$74, MATCH($A70, '1_Gov_by_BEA'!$A$2:$A$74,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IFERROR(INDEX('1_Gov_by_BEA'!$B$2:$B$74, MATCH($A71, '1_Gov_by_BEA'!$A$2:$A$74,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IFERROR(INDEX('1_Gov_by_BEA'!$B$2:$B$74, MATCH($A72, '1_Gov_by_BEA'!$A$2:$A$74,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IFERROR(INDEX('1_Gov_by_BEA'!$B$2:$B$74, MATCH($A73, '1_Gov_by_BEA'!$A$2:$A$74,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IFERROR(INDEX('1_Gov_by_BEA'!$B$2:$B$74, MATCH($A74, '1_Gov_by_BEA'!$A$2:$A$74,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IFERROR(INDEX('1_Gov_by_BEA'!$B$2:$B$74, MATCH($A75, '1_Gov_by_BEA'!$A$2:$A$74,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IFERROR(INDEX('1_Gov_by_BEA'!$B$2:$B$74, MATCH($A76, '1_Gov_by_BEA'!$A$2:$A$74,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IFERROR(INDEX('1_Gov_by_BEA'!$B$2:$B$74, MATCH($A77, '1_Gov_by_BEA'!$A$2:$A$74,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IFERROR(INDEX('1_Gov_by_BEA'!$B$2:$B$74, MATCH($A78, '1_Gov_by_BEA'!$A$2:$A$74,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IFERROR(INDEX('1_Gov_by_BEA'!$B$2:$B$74, MATCH($A79, '1_Gov_by_BEA'!$A$2:$A$74,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IFERROR(INDEX('1_Gov_by_BEA'!$B$2:$B$74, MATCH($A80, '1_Gov_by_BEA'!$A$2:$A$74,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IFERROR(INDEX('1_Gov_by_BEA'!$B$2:$B$74, MATCH($A81, '1_Gov_by_BEA'!$A$2:$A$74,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SUMIFS('3_Calc_Gov_ISIC'!$E$3:$E$81, '3_Calc_Gov_ISIC'!$B$3:$B$81, $A85)</f>
      </c>
      <c r="C85" t="str">
        <f>B85/Keys!$C$2</f>
      </c>
    </row>
    <row r="86">
      <c r="A86" t="s">
        <v>452</v>
      </c>
      <c r="B86" t="str">
        <f>SUMIFS('3_Calc_Gov_ISIC'!$E$3:$E$81, '3_Calc_Gov_ISIC'!$B$3:$B$81, $A86)</f>
      </c>
      <c r="C86" t="str">
        <f>B86/Keys!$C$2</f>
      </c>
    </row>
    <row r="87">
      <c r="A87" t="s">
        <v>314</v>
      </c>
      <c r="B87" t="str">
        <f>SUMIFS('3_Calc_Gov_ISIC'!$E$3:$E$81, '3_Calc_Gov_ISIC'!$B$3:$B$81, $A87)</f>
      </c>
      <c r="C87" t="str">
        <f>B87/Keys!$C$2</f>
      </c>
    </row>
    <row r="88">
      <c r="A88" t="s">
        <v>455</v>
      </c>
      <c r="B88" t="str">
        <f>SUMIFS('3_Calc_Gov_ISIC'!$E$3:$E$81, '3_Calc_Gov_ISIC'!$B$3:$B$81, $A88)</f>
      </c>
      <c r="C88" t="str">
        <f>B88/Keys!$C$2</f>
      </c>
    </row>
    <row r="89">
      <c r="A89" t="s">
        <v>317</v>
      </c>
      <c r="B89" t="str">
        <f>SUMIFS('3_Calc_Gov_ISIC'!$E$3:$E$81, '3_Calc_Gov_ISIC'!$B$3:$B$81, $A89)</f>
      </c>
      <c r="C89" t="str">
        <f>B89/Keys!$C$2</f>
      </c>
    </row>
    <row r="90">
      <c r="A90" t="s">
        <v>332</v>
      </c>
      <c r="B90" t="str">
        <f>SUMIFS('3_Calc_Gov_ISIC'!$E$3:$E$81, '3_Calc_Gov_ISIC'!$B$3:$B$81, $A90)</f>
      </c>
      <c r="C90" t="str">
        <f>B90/Keys!$C$2</f>
      </c>
    </row>
    <row r="91">
      <c r="A91" t="s">
        <v>335</v>
      </c>
      <c r="B91" t="str">
        <f>SUMIFS('3_Calc_Gov_ISIC'!$E$3:$E$81, '3_Calc_Gov_ISIC'!$B$3:$B$81, $A91)</f>
      </c>
      <c r="C91" t="str">
        <f>B91/Keys!$C$2</f>
      </c>
    </row>
    <row r="92">
      <c r="A92" t="s">
        <v>339</v>
      </c>
      <c r="B92" t="str">
        <f>SUMIFS('3_Calc_Gov_ISIC'!$E$3:$E$81, '3_Calc_Gov_ISIC'!$B$3:$B$81, $A92)</f>
      </c>
      <c r="C92" t="str">
        <f>B92/Keys!$C$2</f>
      </c>
    </row>
    <row r="93">
      <c r="A93" t="s">
        <v>342</v>
      </c>
      <c r="B93" t="str">
        <f>SUMIFS('3_Calc_Gov_ISIC'!$E$3:$E$81, '3_Calc_Gov_ISIC'!$B$3:$B$81, $A93)</f>
      </c>
      <c r="C93" t="str">
        <f>B93/Keys!$C$2</f>
      </c>
    </row>
    <row r="94">
      <c r="A94" t="s">
        <v>346</v>
      </c>
      <c r="B94" t="str">
        <f>SUMIFS('3_Calc_Gov_ISIC'!$E$3:$E$81, '3_Calc_Gov_ISIC'!$B$3:$B$81, $A94)</f>
      </c>
      <c r="C94" t="str">
        <f>B94/Keys!$C$2</f>
      </c>
    </row>
    <row r="95">
      <c r="A95" t="s">
        <v>468</v>
      </c>
      <c r="B95" t="str">
        <f>SUMIFS('3_Calc_Gov_ISIC'!$E$3:$E$81, '3_Calc_Gov_ISIC'!$B$3:$B$81, $A95)</f>
      </c>
      <c r="C95" t="str">
        <f>B95/Keys!$C$2</f>
      </c>
    </row>
    <row r="96">
      <c r="A96" t="s">
        <v>471</v>
      </c>
      <c r="B96" t="str">
        <f>SUMIFS('3_Calc_Gov_ISIC'!$E$3:$E$81, '3_Calc_Gov_ISIC'!$B$3:$B$81, $A96)</f>
      </c>
      <c r="C96" t="str">
        <f>B96/Keys!$C$2</f>
      </c>
    </row>
    <row r="97">
      <c r="A97" t="s">
        <v>100</v>
      </c>
      <c r="B97" t="str">
        <f>SUMIFS('3_Calc_Gov_ISIC'!$E$3:$E$81, '3_Calc_Gov_ISIC'!$B$3:$B$81, $A97)</f>
      </c>
      <c r="C97" t="str">
        <f>B97/Keys!$C$2</f>
      </c>
    </row>
    <row r="98">
      <c r="A98" t="s">
        <v>458</v>
      </c>
      <c r="B98" t="str">
        <f>SUMIFS('3_Calc_Gov_ISIC'!$E$3:$E$81, '3_Calc_Gov_ISIC'!$B$3:$B$81, $A98)</f>
      </c>
      <c r="C98" t="str">
        <f>B98/Keys!$C$2</f>
      </c>
    </row>
    <row r="99">
      <c r="A99" t="s">
        <v>461</v>
      </c>
      <c r="B99" t="str">
        <f>SUMIFS('3_Calc_Gov_ISIC'!$E$3:$E$81, '3_Calc_Gov_ISIC'!$B$3:$B$81, $A99)</f>
      </c>
      <c r="C99" t="str">
        <f>B99/Keys!$C$2</f>
      </c>
    </row>
    <row r="100">
      <c r="A100" t="s">
        <v>349</v>
      </c>
      <c r="B100" t="str">
        <f>SUMIFS('3_Calc_Gov_ISIC'!$E$3:$E$81, '3_Calc_Gov_ISIC'!$B$3:$B$81, $A100)</f>
      </c>
      <c r="C100" t="str">
        <f>B100/Keys!$C$2</f>
      </c>
    </row>
    <row r="101">
      <c r="A101" t="s">
        <v>465</v>
      </c>
      <c r="B101" t="str">
        <f>SUMIFS('3_Calc_Gov_ISIC'!$E$3:$E$81, '3_Calc_Gov_ISIC'!$B$3:$B$81, $A101)</f>
      </c>
      <c r="C101" t="str">
        <f>B101/Keys!$C$2</f>
      </c>
    </row>
    <row r="102">
      <c r="A102" t="s">
        <v>355</v>
      </c>
      <c r="B102" t="str">
        <f>SUMIFS('3_Calc_Gov_ISIC'!$E$3:$E$81, '3_Calc_Gov_ISIC'!$B$3:$B$81, $A102)</f>
      </c>
      <c r="C102" t="str">
        <f>B102/Keys!$C$2</f>
      </c>
    </row>
    <row r="103">
      <c r="A103" t="s">
        <v>360</v>
      </c>
      <c r="B103" t="str">
        <f>SUMIFS('3_Calc_Gov_ISIC'!$E$3:$E$81, '3_Calc_Gov_ISIC'!$B$3:$B$81, $A103)</f>
      </c>
      <c r="C103" t="str">
        <f>B103/Keys!$C$2</f>
      </c>
    </row>
    <row r="104">
      <c r="A104" t="s">
        <v>363</v>
      </c>
      <c r="B104" t="str">
        <f>SUMIFS('3_Calc_Gov_ISIC'!$E$3:$E$81, '3_Calc_Gov_ISIC'!$B$3:$B$81, $A104)</f>
      </c>
      <c r="C104" t="str">
        <f>B104/Keys!$C$2</f>
      </c>
    </row>
    <row r="105">
      <c r="A105" t="s">
        <v>357</v>
      </c>
      <c r="B105" t="str">
        <f>SUMIFS('3_Calc_Gov_ISIC'!$E$3:$E$81, '3_Calc_Gov_ISIC'!$B$3:$B$81, $A105)</f>
      </c>
      <c r="C105" t="str">
        <f>B105/Keys!$C$2</f>
      </c>
    </row>
    <row r="106">
      <c r="A106" t="s">
        <v>366</v>
      </c>
      <c r="B106" t="str">
        <f>SUMIFS('3_Calc_Gov_ISIC'!$E$3:$E$81, '3_Calc_Gov_ISIC'!$B$3:$B$81, $A106)</f>
      </c>
      <c r="C106" t="str">
        <f>B106/Keys!$C$2</f>
      </c>
    </row>
    <row r="107">
      <c r="A107" t="s">
        <v>369</v>
      </c>
      <c r="B107" t="str">
        <f>SUMIFS('3_Calc_Gov_ISIC'!$E$3:$E$81, '3_Calc_Gov_ISIC'!$B$3:$B$81, $A107)</f>
      </c>
      <c r="C107" t="str">
        <f>B107/Keys!$C$2</f>
      </c>
    </row>
    <row r="108">
      <c r="A108" t="s">
        <v>372</v>
      </c>
      <c r="B108" t="str">
        <f>SUMIFS('3_Calc_Gov_ISIC'!$E$3:$E$81, '3_Calc_Gov_ISIC'!$B$3:$B$81, $A108)</f>
      </c>
      <c r="C108" t="str">
        <f>B108/Keys!$C$2</f>
      </c>
    </row>
    <row r="109">
      <c r="A109" t="s">
        <v>320</v>
      </c>
      <c r="B109" t="str">
        <f>SUMIFS('3_Calc_Gov_ISIC'!$E$3:$E$81, '3_Calc_Gov_ISIC'!$B$3:$B$81, $A109)</f>
      </c>
      <c r="C109" t="str">
        <f>B109/Keys!$C$2</f>
      </c>
    </row>
    <row r="110">
      <c r="A110" t="s">
        <v>323</v>
      </c>
      <c r="B110" t="str">
        <f>SUMIFS('3_Calc_Gov_ISIC'!$E$3:$E$81, '3_Calc_Gov_ISIC'!$B$3:$B$81, $A110)</f>
      </c>
      <c r="C110" t="str">
        <f>B110/Keys!$C$2</f>
      </c>
    </row>
    <row r="111">
      <c r="A111" t="s">
        <v>326</v>
      </c>
      <c r="B111" t="str">
        <f>SUMIFS('3_Calc_Gov_ISIC'!$E$3:$E$81, '3_Calc_Gov_ISIC'!$B$3:$B$81, $A111)</f>
      </c>
      <c r="C111" t="str">
        <f>B111/Keys!$C$2</f>
      </c>
    </row>
    <row r="112">
      <c r="A112" t="s">
        <v>330</v>
      </c>
      <c r="B112" t="str">
        <f>SUMIFS('3_Calc_Gov_ISIC'!$E$3:$E$81, '3_Calc_Gov_ISIC'!$B$3:$B$81, $A112)</f>
      </c>
      <c r="C112" t="str">
        <f>B112/Keys!$C$2</f>
      </c>
    </row>
    <row r="113">
      <c r="A113" t="s">
        <v>376</v>
      </c>
      <c r="B113" t="str">
        <f>SUMIFS('3_Calc_Gov_ISIC'!$E$3:$E$81, '3_Calc_Gov_ISIC'!$B$3:$B$81, $A113)</f>
      </c>
      <c r="C113" t="str">
        <f>B113/Keys!$C$2</f>
      </c>
    </row>
    <row r="114">
      <c r="A114" t="s">
        <v>383</v>
      </c>
      <c r="B114" t="str">
        <f>SUMIFS('3_Calc_Gov_ISIC'!$E$3:$E$81, '3_Calc_Gov_ISIC'!$B$3:$B$81, $A114)</f>
      </c>
      <c r="C114" t="str">
        <f>B114/Keys!$C$2</f>
      </c>
    </row>
    <row r="115">
      <c r="A115" t="s">
        <v>440</v>
      </c>
      <c r="B115" t="str">
        <f>SUMIFS('3_Calc_Gov_ISIC'!$E$3:$E$81, '3_Calc_Gov_ISIC'!$B$3:$B$81, $A115)</f>
      </c>
      <c r="C115" t="str">
        <f>B115/Keys!$C$2</f>
      </c>
    </row>
    <row r="116">
      <c r="A116" t="s">
        <v>395</v>
      </c>
      <c r="B116" t="str">
        <f>SUMIFS('3_Calc_Gov_ISIC'!$E$3:$E$81, '3_Calc_Gov_ISIC'!$B$3:$B$81, $A116)</f>
      </c>
      <c r="C116" t="str">
        <f>B116/Keys!$C$2</f>
      </c>
    </row>
    <row r="117">
      <c r="A117" t="s">
        <v>151</v>
      </c>
      <c r="B117" t="str">
        <f>SUMIFS('3_Calc_Gov_ISIC'!$E$3:$E$81, '3_Calc_Gov_ISIC'!$B$3:$B$81, $A117)</f>
      </c>
      <c r="C117" t="str">
        <f>B117/Keys!$C$2</f>
      </c>
    </row>
    <row r="118">
      <c r="A118" t="s">
        <v>402</v>
      </c>
      <c r="B118" t="str">
        <f>SUMIFS('3_Calc_Gov_ISIC'!$E$3:$E$81, '3_Calc_Gov_ISIC'!$B$3:$B$81, $A118)</f>
      </c>
      <c r="C118" t="str">
        <f>B118/Keys!$C$2</f>
      </c>
    </row>
    <row r="119">
      <c r="A119" t="s">
        <v>405</v>
      </c>
      <c r="B119" t="str">
        <f>SUMIFS('3_Calc_Gov_ISIC'!$E$3:$E$81, '3_Calc_Gov_ISIC'!$B$3:$B$81, $A119)</f>
      </c>
      <c r="C119" t="str">
        <f>B119/Keys!$C$2</f>
      </c>
    </row>
    <row r="120">
      <c r="A120" t="s">
        <v>411</v>
      </c>
      <c r="B120" t="str">
        <f>SUMIFS('3_Calc_Gov_ISIC'!$E$3:$E$81, '3_Calc_Gov_ISIC'!$B$3:$B$81, $A120)</f>
      </c>
      <c r="C120" t="str">
        <f>B120/Keys!$C$2</f>
      </c>
    </row>
    <row r="121">
      <c r="A121" t="s">
        <v>415</v>
      </c>
      <c r="B121" t="str">
        <f>SUMIFS('3_Calc_Gov_ISIC'!$E$3:$E$81, '3_Calc_Gov_ISIC'!$B$3:$B$81, $A121)</f>
      </c>
      <c r="C121" t="str">
        <f>B121/Keys!$C$2</f>
      </c>
    </row>
    <row r="122">
      <c r="A122" t="s">
        <v>445</v>
      </c>
      <c r="B122" t="str">
        <f>SUMIFS('3_Calc_Gov_ISIC'!$E$3:$E$81, '3_Calc_Gov_ISIC'!$B$3:$B$81, $A122)</f>
      </c>
      <c r="C122" t="str">
        <f>B122/Keys!$C$2</f>
      </c>
    </row>
    <row r="123">
      <c r="A123" t="s">
        <v>427</v>
      </c>
      <c r="B123" t="str">
        <f>SUMIFS('3_Calc_Gov_ISIC'!$E$3:$E$81, '3_Calc_Gov_ISIC'!$B$3:$B$81, $A123)</f>
      </c>
      <c r="C123" t="str">
        <f>B123/Keys!$C$2</f>
      </c>
    </row>
    <row r="124">
      <c r="A124" t="s">
        <v>430</v>
      </c>
      <c r="B124" t="str">
        <f>SUMIFS('3_Calc_Gov_ISIC'!$E$3:$E$81, '3_Calc_Gov_ISIC'!$B$3:$B$81, $A124)</f>
      </c>
      <c r="C124" t="str">
        <f>B124/Keys!$C$2</f>
      </c>
    </row>
    <row r="125">
      <c r="A125" t="s">
        <v>436</v>
      </c>
      <c r="B125" t="str">
        <f>SUMIFS('3_Calc_Gov_ISIC'!$E$3:$E$81, '3_Calc_Gov_ISIC'!$B$3:$B$81, $A125)</f>
      </c>
      <c r="C125" t="str">
        <f>B125/Keys!$C$2</f>
      </c>
    </row>
    <row r="126">
      <c r="A126" t="s">
        <v>553</v>
      </c>
      <c r="B126" t="str">
        <f>SUMIFS('3_Calc_Gov_ISIC'!$E$3:$E$81, '3_Calc_Gov_ISIC'!$B$3:$B$81,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563</v>
      </c>
      <c r="B2" t="str">
        <f>INDEX('3_Calc_Gov_ISIC'!$C$85:$C$126, MATCH(B$1, '3_Calc_Gov_ISIC'!$A$85:$A$126, 0))</f>
      </c>
      <c r="C2" t="str">
        <f>INDEX('3_Calc_Gov_ISIC'!$C$85:$C$126, MATCH(C$1, '3_Calc_Gov_ISIC'!$A$85:$A$126, 0))</f>
      </c>
      <c r="D2" t="str">
        <f>INDEX('3_Calc_Gov_ISIC'!$C$85:$C$126, MATCH(D$1, '3_Calc_Gov_ISIC'!$A$85:$A$126, 0))</f>
      </c>
      <c r="E2" t="str">
        <f>INDEX('3_Calc_Gov_ISIC'!$C$85:$C$126, MATCH(E$1, '3_Calc_Gov_ISIC'!$A$85:$A$126, 0))</f>
      </c>
      <c r="F2" t="str">
        <f>INDEX('3_Calc_Gov_ISIC'!$C$85:$C$126, MATCH(F$1, '3_Calc_Gov_ISIC'!$A$85:$A$126, 0))</f>
      </c>
      <c r="G2" t="str">
        <f>INDEX('3_Calc_Gov_ISIC'!$C$85:$C$126, MATCH(G$1, '3_Calc_Gov_ISIC'!$A$85:$A$126, 0))</f>
      </c>
      <c r="H2" t="str">
        <f>INDEX('3_Calc_Gov_ISIC'!$C$85:$C$126, MATCH(H$1, '3_Calc_Gov_ISIC'!$A$85:$A$126, 0))</f>
      </c>
      <c r="I2" t="str">
        <f>INDEX('3_Calc_Gov_ISIC'!$C$85:$C$126, MATCH(I$1, '3_Calc_Gov_ISIC'!$A$85:$A$126, 0))</f>
      </c>
      <c r="J2" t="str">
        <f>INDEX('3_Calc_Gov_ISIC'!$C$85:$C$126, MATCH(J$1, '3_Calc_Gov_ISIC'!$A$85:$A$126, 0))</f>
      </c>
      <c r="K2" t="str">
        <f>INDEX('3_Calc_Gov_ISIC'!$C$85:$C$126, MATCH(K$1, '3_Calc_Gov_ISIC'!$A$85:$A$126, 0))</f>
      </c>
      <c r="L2" t="str">
        <f>INDEX('3_Calc_Gov_ISIC'!$C$85:$C$126, MATCH(L$1, '3_Calc_Gov_ISIC'!$A$85:$A$126, 0))</f>
      </c>
      <c r="M2" t="str">
        <f>INDEX('3_Calc_Gov_ISIC'!$C$85:$C$126, MATCH(M$1, '3_Calc_Gov_ISIC'!$A$85:$A$126, 0))</f>
      </c>
      <c r="N2" t="str">
        <f>INDEX('3_Calc_Gov_ISIC'!$C$85:$C$126, MATCH(N$1, '3_Calc_Gov_ISIC'!$A$85:$A$126, 0))</f>
      </c>
      <c r="O2" t="str">
        <f>INDEX('3_Calc_Gov_ISIC'!$C$85:$C$126, MATCH(O$1, '3_Calc_Gov_ISIC'!$A$85:$A$126, 0))</f>
      </c>
      <c r="P2" t="str">
        <f>INDEX('3_Calc_Gov_ISIC'!$C$85:$C$126, MATCH(P$1, '3_Calc_Gov_ISIC'!$A$85:$A$126, 0))</f>
      </c>
      <c r="Q2" t="str">
        <f>INDEX('3_Calc_Gov_ISIC'!$C$85:$C$126, MATCH(Q$1, '3_Calc_Gov_ISIC'!$A$85:$A$126, 0))</f>
      </c>
      <c r="R2" t="str">
        <f>INDEX('3_Calc_Gov_ISIC'!$C$85:$C$126, MATCH(R$1, '3_Calc_Gov_ISIC'!$A$85:$A$126, 0))</f>
      </c>
      <c r="S2" t="str">
        <f>INDEX('3_Calc_Gov_ISIC'!$C$85:$C$126, MATCH(S$1, '3_Calc_Gov_ISIC'!$A$85:$A$126, 0))</f>
      </c>
      <c r="T2" t="str">
        <f>INDEX('3_Calc_Gov_ISIC'!$C$85:$C$126, MATCH(T$1, '3_Calc_Gov_ISIC'!$A$85:$A$126, 0))</f>
      </c>
      <c r="U2" t="str">
        <f>INDEX('3_Calc_Gov_ISIC'!$C$85:$C$126, MATCH(U$1, '3_Calc_Gov_ISIC'!$A$85:$A$126, 0))</f>
      </c>
      <c r="V2" t="str">
        <f>INDEX('3_Calc_Gov_ISIC'!$C$85:$C$126, MATCH(V$1, '3_Calc_Gov_ISIC'!$A$85:$A$126, 0))</f>
      </c>
      <c r="W2" t="str">
        <f>INDEX('3_Calc_Gov_ISIC'!$C$85:$C$126, MATCH(W$1, '3_Calc_Gov_ISIC'!$A$85:$A$126, 0))</f>
      </c>
      <c r="X2" t="str">
        <f>INDEX('3_Calc_Gov_ISIC'!$C$85:$C$126, MATCH(X$1, '3_Calc_Gov_ISIC'!$A$85:$A$126, 0))</f>
      </c>
      <c r="Y2" t="str">
        <f>INDEX('3_Calc_Gov_ISIC'!$C$85:$C$126, MATCH(Y$1, '3_Calc_Gov_ISIC'!$A$85:$A$126, 0))</f>
      </c>
      <c r="Z2" t="str">
        <f>INDEX('3_Calc_Gov_ISIC'!$C$85:$C$126, MATCH(Z$1, '3_Calc_Gov_ISIC'!$A$85:$A$126, 0))</f>
      </c>
      <c r="AA2" t="str">
        <f>INDEX('3_Calc_Gov_ISIC'!$C$85:$C$126, MATCH(AA$1, '3_Calc_Gov_ISIC'!$A$85:$A$126, 0))</f>
      </c>
      <c r="AB2" t="str">
        <f>INDEX('3_Calc_Gov_ISIC'!$C$85:$C$126, MATCH(AB$1, '3_Calc_Gov_ISIC'!$A$85:$A$126, 0))</f>
      </c>
      <c r="AC2" t="str">
        <f>INDEX('3_Calc_Gov_ISIC'!$C$85:$C$126, MATCH(AC$1, '3_Calc_Gov_ISIC'!$A$85:$A$126, 0))</f>
      </c>
      <c r="AD2" t="str">
        <f>INDEX('3_Calc_Gov_ISIC'!$C$85:$C$126, MATCH(AD$1, '3_Calc_Gov_ISIC'!$A$85:$A$126, 0))</f>
      </c>
      <c r="AE2" t="str">
        <f>INDEX('3_Calc_Gov_ISIC'!$C$85:$C$126, MATCH(AE$1, '3_Calc_Gov_ISIC'!$A$85:$A$126, 0))</f>
      </c>
      <c r="AF2" t="str">
        <f>INDEX('3_Calc_Gov_ISIC'!$C$85:$C$126, MATCH(AF$1, '3_Calc_Gov_ISIC'!$A$85:$A$126, 0))</f>
      </c>
      <c r="AG2" t="str">
        <f>INDEX('3_Calc_Gov_ISIC'!$C$85:$C$126, MATCH(AG$1, '3_Calc_Gov_ISIC'!$A$85:$A$126, 0))</f>
      </c>
      <c r="AH2" t="str">
        <f>INDEX('3_Calc_Gov_ISIC'!$C$85:$C$126, MATCH(AH$1, '3_Calc_Gov_ISIC'!$A$85:$A$126, 0))</f>
      </c>
      <c r="AI2" t="str">
        <f>INDEX('3_Calc_Gov_ISIC'!$C$85:$C$126, MATCH(AI$1, '3_Calc_Gov_ISIC'!$A$85:$A$126, 0))</f>
      </c>
      <c r="AJ2" t="str">
        <f>INDEX('3_Calc_Gov_ISIC'!$C$85:$C$126, MATCH(AJ$1, '3_Calc_Gov_ISIC'!$A$85:$A$126, 0))</f>
      </c>
      <c r="AK2" t="str">
        <f>INDEX('3_Calc_Gov_ISIC'!$C$85:$C$126, MATCH(AK$1, '3_Calc_Gov_ISIC'!$A$85:$A$126, 0))</f>
      </c>
      <c r="AL2" t="str">
        <f>INDEX('3_Calc_Gov_ISIC'!$C$85:$C$126, MATCH(AL$1, '3_Calc_Gov_ISIC'!$A$85:$A$126, 0))</f>
      </c>
      <c r="AM2" t="str">
        <f>INDEX('3_Calc_Gov_ISIC'!$C$85:$C$126, MATCH(AM$1, '3_Calc_Gov_ISIC'!$A$85:$A$126, 0))</f>
      </c>
      <c r="AN2" t="str">
        <f>INDEX('3_Calc_Gov_ISIC'!$C$85:$C$126, MATCH(AN$1, '3_Calc_Gov_ISIC'!$A$85:$A$126, 0))</f>
      </c>
      <c r="AO2" t="str">
        <f>INDEX('3_Calc_Gov_ISIC'!$C$85:$C$126, MATCH(AO$1, '3_Calc_Gov_ISIC'!$A$85:$A$126, 0))</f>
      </c>
      <c r="AP2" t="str">
        <f>INDEX('3_Calc_Gov_ISIC'!$C$85:$C$126, MATCH(AP$1, '3_Calc_Gov_ISIC'!$A$85:$A$126, 0))</f>
      </c>
      <c r="AQ2" t="str">
        <f>INDEX('3_Calc_Gov_ISIC'!$C$85:$C$126, MATCH(AQ$1, '3_Calc_Gov_ISIC'!$A$85:$A$126,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IFERROR(INDEX('2_HH_by_BEA'!$B$2:$B$74, MATCH($A3, '2_HH_by_BEA'!$A$2:$A$74,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IFERROR(INDEX('2_HH_by_BEA'!$B$2:$B$74, MATCH($A4, '2_HH_by_BEA'!$A$2:$A$74,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IFERROR(INDEX('2_HH_by_BEA'!$B$2:$B$74, MATCH($A5, '2_HH_by_BEA'!$A$2:$A$74,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IFERROR(INDEX('2_HH_by_BEA'!$B$2:$B$74, MATCH($A6, '2_HH_by_BEA'!$A$2:$A$74,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IFERROR(INDEX('2_HH_by_BEA'!$B$2:$B$74, MATCH($A7, '2_HH_by_BEA'!$A$2:$A$74,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IFERROR(INDEX('2_HH_by_BEA'!$B$2:$B$74, MATCH($A8, '2_HH_by_BEA'!$A$2:$A$74,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IFERROR(INDEX('2_HH_by_BEA'!$B$2:$B$74, MATCH($A9, '2_HH_by_BEA'!$A$2:$A$74,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IFERROR(INDEX('2_HH_by_BEA'!$B$2:$B$74, MATCH($A10, '2_HH_by_BEA'!$A$2:$A$74,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IFERROR(INDEX('2_HH_by_BEA'!$B$2:$B$74, MATCH($A11, '2_HH_by_BEA'!$A$2:$A$74,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IFERROR(INDEX('2_HH_by_BEA'!$B$2:$B$74, MATCH($A12, '2_HH_by_BEA'!$A$2:$A$74,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IFERROR(INDEX('2_HH_by_BEA'!$B$2:$B$74, MATCH($A13, '2_HH_by_BEA'!$A$2:$A$74,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IFERROR(INDEX('2_HH_by_BEA'!$B$2:$B$74, MATCH($A14, '2_HH_by_BEA'!$A$2:$A$74,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IFERROR(INDEX('2_HH_by_BEA'!$B$2:$B$74, MATCH($A15, '2_HH_by_BEA'!$A$2:$A$74,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IFERROR(INDEX('2_HH_by_BEA'!$B$2:$B$74, MATCH($A16, '2_HH_by_BEA'!$A$2:$A$74,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IFERROR(INDEX('2_HH_by_BEA'!$B$2:$B$74, MATCH($A17, '2_HH_by_BEA'!$A$2:$A$74,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IFERROR(INDEX('2_HH_by_BEA'!$B$2:$B$74, MATCH($A18, '2_HH_by_BEA'!$A$2:$A$74,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IFERROR(INDEX('2_HH_by_BEA'!$B$2:$B$74, MATCH($A19, '2_HH_by_BEA'!$A$2:$A$74,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IFERROR(INDEX('2_HH_by_BEA'!$B$2:$B$74, MATCH($A20, '2_HH_by_BEA'!$A$2:$A$74,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IFERROR(INDEX('2_HH_by_BEA'!$B$2:$B$74, MATCH($A21, '2_HH_by_BEA'!$A$2:$A$74,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IFERROR(INDEX('2_HH_by_BEA'!$B$2:$B$74, MATCH($A22, '2_HH_by_BEA'!$A$2:$A$74,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IFERROR(INDEX('2_HH_by_BEA'!$B$2:$B$74, MATCH($A23, '2_HH_by_BEA'!$A$2:$A$74,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IFERROR(INDEX('2_HH_by_BEA'!$B$2:$B$74, MATCH($A24, '2_HH_by_BEA'!$A$2:$A$74,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IFERROR(INDEX('2_HH_by_BEA'!$B$2:$B$74, MATCH($A25, '2_HH_by_BEA'!$A$2:$A$74,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IFERROR(INDEX('2_HH_by_BEA'!$B$2:$B$74, MATCH($A26, '2_HH_by_BEA'!$A$2:$A$74,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IFERROR(INDEX('2_HH_by_BEA'!$B$2:$B$74, MATCH($A27, '2_HH_by_BEA'!$A$2:$A$74,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IFERROR(INDEX('2_HH_by_BEA'!$B$2:$B$74, MATCH($A28, '2_HH_by_BEA'!$A$2:$A$74,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IFERROR(INDEX('2_HH_by_BEA'!$B$2:$B$74, MATCH($A29, '2_HH_by_BEA'!$A$2:$A$74,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IFERROR(INDEX('2_HH_by_BEA'!$B$2:$B$74, MATCH($A30, '2_HH_by_BEA'!$A$2:$A$74,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IFERROR(INDEX('2_HH_by_BEA'!$B$2:$B$74, MATCH($A31, '2_HH_by_BEA'!$A$2:$A$74,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IFERROR(INDEX('2_HH_by_BEA'!$B$2:$B$74, MATCH($A32, '2_HH_by_BEA'!$A$2:$A$74,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IFERROR(INDEX('2_HH_by_BEA'!$B$2:$B$74, MATCH($A33, '2_HH_by_BEA'!$A$2:$A$74,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IFERROR(INDEX('2_HH_by_BEA'!$B$2:$B$74, MATCH($A34, '2_HH_by_BEA'!$A$2:$A$74,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IFERROR(INDEX('2_HH_by_BEA'!$B$2:$B$74, MATCH($A35, '2_HH_by_BEA'!$A$2:$A$74,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IFERROR(INDEX('2_HH_by_BEA'!$B$2:$B$74, MATCH($A36, '2_HH_by_BEA'!$A$2:$A$74,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IFERROR(INDEX('2_HH_by_BEA'!$B$2:$B$74, MATCH($A37, '2_HH_by_BEA'!$A$2:$A$74,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IFERROR(INDEX('2_HH_by_BEA'!$B$2:$B$74, MATCH($A38, '2_HH_by_BEA'!$A$2:$A$74,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IFERROR(INDEX('2_HH_by_BEA'!$B$2:$B$74, MATCH($A39, '2_HH_by_BEA'!$A$2:$A$74,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IFERROR(INDEX('2_HH_by_BEA'!$B$2:$B$74, MATCH($A40, '2_HH_by_BEA'!$A$2:$A$74,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IFERROR(INDEX('2_HH_by_BEA'!$B$2:$B$74, MATCH($A41, '2_HH_by_BEA'!$A$2:$A$74,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IFERROR(INDEX('2_HH_by_BEA'!$B$2:$B$74, MATCH($A42, '2_HH_by_BEA'!$A$2:$A$74,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IFERROR(INDEX('2_HH_by_BEA'!$B$2:$B$74, MATCH($A43, '2_HH_by_BEA'!$A$2:$A$74,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IFERROR(INDEX('2_HH_by_BEA'!$B$2:$B$74, MATCH($A44, '2_HH_by_BEA'!$A$2:$A$74,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IFERROR(INDEX('2_HH_by_BEA'!$B$2:$B$74, MATCH($A45, '2_HH_by_BEA'!$A$2:$A$74,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IFERROR(INDEX('2_HH_by_BEA'!$B$2:$B$74, MATCH($A46, '2_HH_by_BEA'!$A$2:$A$74,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IFERROR(INDEX('2_HH_by_BEA'!$B$2:$B$74, MATCH($A47, '2_HH_by_BEA'!$A$2:$A$74,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IFERROR(INDEX('2_HH_by_BEA'!$B$2:$B$74, MATCH($A48, '2_HH_by_BEA'!$A$2:$A$74,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IFERROR(INDEX('2_HH_by_BEA'!$B$2:$B$74, MATCH($A49, '2_HH_by_BEA'!$A$2:$A$74,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IFERROR(INDEX('2_HH_by_BEA'!$B$2:$B$74, MATCH($A50, '2_HH_by_BEA'!$A$2:$A$74,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IFERROR(INDEX('2_HH_by_BEA'!$B$2:$B$74, MATCH($A51, '2_HH_by_BEA'!$A$2:$A$74,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IFERROR(INDEX('2_HH_by_BEA'!$B$2:$B$74, MATCH($A52, '2_HH_by_BEA'!$A$2:$A$74,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IFERROR(INDEX('2_HH_by_BEA'!$B$2:$B$74, MATCH($A53, '2_HH_by_BEA'!$A$2:$A$74,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IFERROR(INDEX('2_HH_by_BEA'!$B$2:$B$74, MATCH($A54, '2_HH_by_BEA'!$A$2:$A$74,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IFERROR(INDEX('2_HH_by_BEA'!$B$2:$B$74, MATCH($A55, '2_HH_by_BEA'!$A$2:$A$74,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IFERROR(INDEX('2_HH_by_BEA'!$B$2:$B$74, MATCH($A56, '2_HH_by_BEA'!$A$2:$A$74,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IFERROR(INDEX('2_HH_by_BEA'!$B$2:$B$74, MATCH($A57, '2_HH_by_BEA'!$A$2:$A$74,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IFERROR(INDEX('2_HH_by_BEA'!$B$2:$B$74, MATCH($A58, '2_HH_by_BEA'!$A$2:$A$74,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IFERROR(INDEX('2_HH_by_BEA'!$B$2:$B$74, MATCH($A59, '2_HH_by_BEA'!$A$2:$A$74,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IFERROR(INDEX('2_HH_by_BEA'!$B$2:$B$74, MATCH($A60, '2_HH_by_BEA'!$A$2:$A$74,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IFERROR(INDEX('2_HH_by_BEA'!$B$2:$B$74, MATCH($A61, '2_HH_by_BEA'!$A$2:$A$74,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IFERROR(INDEX('2_HH_by_BEA'!$B$2:$B$74, MATCH($A62, '2_HH_by_BEA'!$A$2:$A$74,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IFERROR(INDEX('2_HH_by_BEA'!$B$2:$B$74, MATCH($A63, '2_HH_by_BEA'!$A$2:$A$74,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IFERROR(INDEX('2_HH_by_BEA'!$B$2:$B$74, MATCH($A64, '2_HH_by_BEA'!$A$2:$A$74,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IFERROR(INDEX('2_HH_by_BEA'!$B$2:$B$74, MATCH($A65, '2_HH_by_BEA'!$A$2:$A$74,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IFERROR(INDEX('2_HH_by_BEA'!$B$2:$B$74, MATCH($A66, '2_HH_by_BEA'!$A$2:$A$74,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IFERROR(INDEX('2_HH_by_BEA'!$B$2:$B$74, MATCH($A67, '2_HH_by_BEA'!$A$2:$A$74,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IFERROR(INDEX('2_HH_by_BEA'!$B$2:$B$74, MATCH($A68, '2_HH_by_BEA'!$A$2:$A$74,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IFERROR(INDEX('2_HH_by_BEA'!$B$2:$B$74, MATCH($A69, '2_HH_by_BEA'!$A$2:$A$74,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IFERROR(INDEX('2_HH_by_BEA'!$B$2:$B$74, MATCH($A70, '2_HH_by_BEA'!$A$2:$A$74,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IFERROR(INDEX('2_HH_by_BEA'!$B$2:$B$74, MATCH($A71, '2_HH_by_BEA'!$A$2:$A$74,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IFERROR(INDEX('2_HH_by_BEA'!$B$2:$B$74, MATCH($A72, '2_HH_by_BEA'!$A$2:$A$74,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IFERROR(INDEX('2_HH_by_BEA'!$B$2:$B$74, MATCH($A73, '2_HH_by_BEA'!$A$2:$A$74,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IFERROR(INDEX('2_HH_by_BEA'!$B$2:$B$74, MATCH($A74, '2_HH_by_BEA'!$A$2:$A$74,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IFERROR(INDEX('2_HH_by_BEA'!$B$2:$B$74, MATCH($A75, '2_HH_by_BEA'!$A$2:$A$74,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IFERROR(INDEX('2_HH_by_BEA'!$B$2:$B$74, MATCH($A76, '2_HH_by_BEA'!$A$2:$A$74,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IFERROR(INDEX('2_HH_by_BEA'!$B$2:$B$74, MATCH($A77, '2_HH_by_BEA'!$A$2:$A$74,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IFERROR(INDEX('2_HH_by_BEA'!$B$2:$B$74, MATCH($A78, '2_HH_by_BEA'!$A$2:$A$74,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IFERROR(INDEX('2_HH_by_BEA'!$B$2:$B$74, MATCH($A79, '2_HH_by_BEA'!$A$2:$A$74,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IFERROR(INDEX('2_HH_by_BEA'!$B$2:$B$74, MATCH($A80, '2_HH_by_BEA'!$A$2:$A$74,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IFERROR(INDEX('2_HH_by_BEA'!$B$2:$B$74, MATCH($A81, '2_HH_by_BEA'!$A$2:$A$74,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SUMIFS('4_Calc_HH_ISIC'!$E$3:$E$81, '4_Calc_HH_ISIC'!$B$3:$B$81, $A85)</f>
      </c>
      <c r="C85" t="str">
        <f>B85/Keys!$C$2</f>
      </c>
    </row>
    <row r="86">
      <c r="A86" t="s">
        <v>452</v>
      </c>
      <c r="B86" t="str">
        <f>SUMIFS('4_Calc_HH_ISIC'!$E$3:$E$81, '4_Calc_HH_ISIC'!$B$3:$B$81, $A86)</f>
      </c>
      <c r="C86" t="str">
        <f>B86/Keys!$C$2</f>
      </c>
    </row>
    <row r="87">
      <c r="A87" t="s">
        <v>314</v>
      </c>
      <c r="B87" t="str">
        <f>SUMIFS('4_Calc_HH_ISIC'!$E$3:$E$81, '4_Calc_HH_ISIC'!$B$3:$B$81, $A87)</f>
      </c>
      <c r="C87" t="str">
        <f>B87/Keys!$C$2</f>
      </c>
    </row>
    <row r="88">
      <c r="A88" t="s">
        <v>455</v>
      </c>
      <c r="B88" t="str">
        <f>SUMIFS('4_Calc_HH_ISIC'!$E$3:$E$81, '4_Calc_HH_ISIC'!$B$3:$B$81, $A88)</f>
      </c>
      <c r="C88" t="str">
        <f>B88/Keys!$C$2</f>
      </c>
    </row>
    <row r="89">
      <c r="A89" t="s">
        <v>317</v>
      </c>
      <c r="B89" t="str">
        <f>SUMIFS('4_Calc_HH_ISIC'!$E$3:$E$81, '4_Calc_HH_ISIC'!$B$3:$B$81, $A89)</f>
      </c>
      <c r="C89" t="str">
        <f>B89/Keys!$C$2</f>
      </c>
    </row>
    <row r="90">
      <c r="A90" t="s">
        <v>332</v>
      </c>
      <c r="B90" t="str">
        <f>SUMIFS('4_Calc_HH_ISIC'!$E$3:$E$81, '4_Calc_HH_ISIC'!$B$3:$B$81, $A90)</f>
      </c>
      <c r="C90" t="str">
        <f>B90/Keys!$C$2</f>
      </c>
    </row>
    <row r="91">
      <c r="A91" t="s">
        <v>335</v>
      </c>
      <c r="B91" t="str">
        <f>SUMIFS('4_Calc_HH_ISIC'!$E$3:$E$81, '4_Calc_HH_ISIC'!$B$3:$B$81, $A91)</f>
      </c>
      <c r="C91" t="str">
        <f>B91/Keys!$C$2</f>
      </c>
    </row>
    <row r="92">
      <c r="A92" t="s">
        <v>339</v>
      </c>
      <c r="B92" t="str">
        <f>SUMIFS('4_Calc_HH_ISIC'!$E$3:$E$81, '4_Calc_HH_ISIC'!$B$3:$B$81, $A92)</f>
      </c>
      <c r="C92" t="str">
        <f>B92/Keys!$C$2</f>
      </c>
    </row>
    <row r="93">
      <c r="A93" t="s">
        <v>342</v>
      </c>
      <c r="B93" t="str">
        <f>SUMIFS('4_Calc_HH_ISIC'!$E$3:$E$81, '4_Calc_HH_ISIC'!$B$3:$B$81, $A93)</f>
      </c>
      <c r="C93" t="str">
        <f>B93/Keys!$C$2</f>
      </c>
    </row>
    <row r="94">
      <c r="A94" t="s">
        <v>346</v>
      </c>
      <c r="B94" t="str">
        <f>SUMIFS('4_Calc_HH_ISIC'!$E$3:$E$81, '4_Calc_HH_ISIC'!$B$3:$B$81, $A94)</f>
      </c>
      <c r="C94" t="str">
        <f>B94/Keys!$C$2</f>
      </c>
    </row>
    <row r="95">
      <c r="A95" t="s">
        <v>468</v>
      </c>
      <c r="B95" t="str">
        <f>SUMIFS('4_Calc_HH_ISIC'!$E$3:$E$81, '4_Calc_HH_ISIC'!$B$3:$B$81, $A95)</f>
      </c>
      <c r="C95" t="str">
        <f>B95/Keys!$C$2</f>
      </c>
    </row>
    <row r="96">
      <c r="A96" t="s">
        <v>471</v>
      </c>
      <c r="B96" t="str">
        <f>SUMIFS('4_Calc_HH_ISIC'!$E$3:$E$81, '4_Calc_HH_ISIC'!$B$3:$B$81, $A96)</f>
      </c>
      <c r="C96" t="str">
        <f>B96/Keys!$C$2</f>
      </c>
    </row>
    <row r="97">
      <c r="A97" t="s">
        <v>100</v>
      </c>
      <c r="B97" t="str">
        <f>SUMIFS('4_Calc_HH_ISIC'!$E$3:$E$81, '4_Calc_HH_ISIC'!$B$3:$B$81, $A97)</f>
      </c>
      <c r="C97" t="str">
        <f>B97/Keys!$C$2</f>
      </c>
    </row>
    <row r="98">
      <c r="A98" t="s">
        <v>458</v>
      </c>
      <c r="B98" t="str">
        <f>SUMIFS('4_Calc_HH_ISIC'!$E$3:$E$81, '4_Calc_HH_ISIC'!$B$3:$B$81, $A98)</f>
      </c>
      <c r="C98" t="str">
        <f>B98/Keys!$C$2</f>
      </c>
    </row>
    <row r="99">
      <c r="A99" t="s">
        <v>461</v>
      </c>
      <c r="B99" t="str">
        <f>SUMIFS('4_Calc_HH_ISIC'!$E$3:$E$81, '4_Calc_HH_ISIC'!$B$3:$B$81, $A99)</f>
      </c>
      <c r="C99" t="str">
        <f>B99/Keys!$C$2</f>
      </c>
    </row>
    <row r="100">
      <c r="A100" t="s">
        <v>349</v>
      </c>
      <c r="B100" t="str">
        <f>SUMIFS('4_Calc_HH_ISIC'!$E$3:$E$81, '4_Calc_HH_ISIC'!$B$3:$B$81, $A100)</f>
      </c>
      <c r="C100" t="str">
        <f>B100/Keys!$C$2</f>
      </c>
    </row>
    <row r="101">
      <c r="A101" t="s">
        <v>465</v>
      </c>
      <c r="B101" t="str">
        <f>SUMIFS('4_Calc_HH_ISIC'!$E$3:$E$81, '4_Calc_HH_ISIC'!$B$3:$B$81, $A101)</f>
      </c>
      <c r="C101" t="str">
        <f>B101/Keys!$C$2</f>
      </c>
    </row>
    <row r="102">
      <c r="A102" t="s">
        <v>355</v>
      </c>
      <c r="B102" t="str">
        <f>SUMIFS('4_Calc_HH_ISIC'!$E$3:$E$81, '4_Calc_HH_ISIC'!$B$3:$B$81, $A102)</f>
      </c>
      <c r="C102" t="str">
        <f>B102/Keys!$C$2</f>
      </c>
    </row>
    <row r="103">
      <c r="A103" t="s">
        <v>360</v>
      </c>
      <c r="B103" t="str">
        <f>SUMIFS('4_Calc_HH_ISIC'!$E$3:$E$81, '4_Calc_HH_ISIC'!$B$3:$B$81, $A103)</f>
      </c>
      <c r="C103" t="str">
        <f>B103/Keys!$C$2</f>
      </c>
    </row>
    <row r="104">
      <c r="A104" t="s">
        <v>363</v>
      </c>
      <c r="B104" t="str">
        <f>SUMIFS('4_Calc_HH_ISIC'!$E$3:$E$81, '4_Calc_HH_ISIC'!$B$3:$B$81, $A104)</f>
      </c>
      <c r="C104" t="str">
        <f>B104/Keys!$C$2</f>
      </c>
    </row>
    <row r="105">
      <c r="A105" t="s">
        <v>357</v>
      </c>
      <c r="B105" t="str">
        <f>SUMIFS('4_Calc_HH_ISIC'!$E$3:$E$81, '4_Calc_HH_ISIC'!$B$3:$B$81, $A105)</f>
      </c>
      <c r="C105" t="str">
        <f>B105/Keys!$C$2</f>
      </c>
    </row>
    <row r="106">
      <c r="A106" t="s">
        <v>366</v>
      </c>
      <c r="B106" t="str">
        <f>SUMIFS('4_Calc_HH_ISIC'!$E$3:$E$81, '4_Calc_HH_ISIC'!$B$3:$B$81, $A106)</f>
      </c>
      <c r="C106" t="str">
        <f>B106/Keys!$C$2</f>
      </c>
    </row>
    <row r="107">
      <c r="A107" t="s">
        <v>369</v>
      </c>
      <c r="B107" t="str">
        <f>SUMIFS('4_Calc_HH_ISIC'!$E$3:$E$81, '4_Calc_HH_ISIC'!$B$3:$B$81, $A107)</f>
      </c>
      <c r="C107" t="str">
        <f>B107/Keys!$C$2</f>
      </c>
    </row>
    <row r="108">
      <c r="A108" t="s">
        <v>372</v>
      </c>
      <c r="B108" t="str">
        <f>SUMIFS('4_Calc_HH_ISIC'!$E$3:$E$81, '4_Calc_HH_ISIC'!$B$3:$B$81, $A108)</f>
      </c>
      <c r="C108" t="str">
        <f>B108/Keys!$C$2</f>
      </c>
    </row>
    <row r="109">
      <c r="A109" t="s">
        <v>320</v>
      </c>
      <c r="B109" t="str">
        <f>SUMIFS('4_Calc_HH_ISIC'!$E$3:$E$81, '4_Calc_HH_ISIC'!$B$3:$B$81, $A109)</f>
      </c>
      <c r="C109" t="str">
        <f>B109/Keys!$C$2</f>
      </c>
    </row>
    <row r="110">
      <c r="A110" t="s">
        <v>323</v>
      </c>
      <c r="B110" t="str">
        <f>SUMIFS('4_Calc_HH_ISIC'!$E$3:$E$81, '4_Calc_HH_ISIC'!$B$3:$B$81, $A110)</f>
      </c>
      <c r="C110" t="str">
        <f>B110/Keys!$C$2</f>
      </c>
    </row>
    <row r="111">
      <c r="A111" t="s">
        <v>326</v>
      </c>
      <c r="B111" t="str">
        <f>SUMIFS('4_Calc_HH_ISIC'!$E$3:$E$81, '4_Calc_HH_ISIC'!$B$3:$B$81, $A111)</f>
      </c>
      <c r="C111" t="str">
        <f>B111/Keys!$C$2</f>
      </c>
    </row>
    <row r="112">
      <c r="A112" t="s">
        <v>330</v>
      </c>
      <c r="B112" t="str">
        <f>SUMIFS('4_Calc_HH_ISIC'!$E$3:$E$81, '4_Calc_HH_ISIC'!$B$3:$B$81, $A112)</f>
      </c>
      <c r="C112" t="str">
        <f>B112/Keys!$C$2</f>
      </c>
    </row>
    <row r="113">
      <c r="A113" t="s">
        <v>376</v>
      </c>
      <c r="B113" t="str">
        <f>SUMIFS('4_Calc_HH_ISIC'!$E$3:$E$81, '4_Calc_HH_ISIC'!$B$3:$B$81, $A113)</f>
      </c>
      <c r="C113" t="str">
        <f>B113/Keys!$C$2</f>
      </c>
    </row>
    <row r="114">
      <c r="A114" t="s">
        <v>383</v>
      </c>
      <c r="B114" t="str">
        <f>SUMIFS('4_Calc_HH_ISIC'!$E$3:$E$81, '4_Calc_HH_ISIC'!$B$3:$B$81, $A114)</f>
      </c>
      <c r="C114" t="str">
        <f>B114/Keys!$C$2</f>
      </c>
    </row>
    <row r="115">
      <c r="A115" t="s">
        <v>440</v>
      </c>
      <c r="B115" t="str">
        <f>SUMIFS('4_Calc_HH_ISIC'!$E$3:$E$81, '4_Calc_HH_ISIC'!$B$3:$B$81, $A115)</f>
      </c>
      <c r="C115" t="str">
        <f>B115/Keys!$C$2</f>
      </c>
    </row>
    <row r="116">
      <c r="A116" t="s">
        <v>395</v>
      </c>
      <c r="B116" t="str">
        <f>SUMIFS('4_Calc_HH_ISIC'!$E$3:$E$81, '4_Calc_HH_ISIC'!$B$3:$B$81, $A116)</f>
      </c>
      <c r="C116" t="str">
        <f>B116/Keys!$C$2</f>
      </c>
    </row>
    <row r="117">
      <c r="A117" t="s">
        <v>151</v>
      </c>
      <c r="B117" t="str">
        <f>SUMIFS('4_Calc_HH_ISIC'!$E$3:$E$81, '4_Calc_HH_ISIC'!$B$3:$B$81, $A117)</f>
      </c>
      <c r="C117" t="str">
        <f>B117/Keys!$C$2</f>
      </c>
    </row>
    <row r="118">
      <c r="A118" t="s">
        <v>402</v>
      </c>
      <c r="B118" t="str">
        <f>SUMIFS('4_Calc_HH_ISIC'!$E$3:$E$81, '4_Calc_HH_ISIC'!$B$3:$B$81, $A118)</f>
      </c>
      <c r="C118" t="str">
        <f>B118/Keys!$C$2</f>
      </c>
    </row>
    <row r="119">
      <c r="A119" t="s">
        <v>405</v>
      </c>
      <c r="B119" t="str">
        <f>SUMIFS('4_Calc_HH_ISIC'!$E$3:$E$81, '4_Calc_HH_ISIC'!$B$3:$B$81, $A119)</f>
      </c>
      <c r="C119" t="str">
        <f>B119/Keys!$C$2</f>
      </c>
    </row>
    <row r="120">
      <c r="A120" t="s">
        <v>411</v>
      </c>
      <c r="B120" t="str">
        <f>SUMIFS('4_Calc_HH_ISIC'!$E$3:$E$81, '4_Calc_HH_ISIC'!$B$3:$B$81, $A120)</f>
      </c>
      <c r="C120" t="str">
        <f>B120/Keys!$C$2</f>
      </c>
    </row>
    <row r="121">
      <c r="A121" t="s">
        <v>415</v>
      </c>
      <c r="B121" t="str">
        <f>SUMIFS('4_Calc_HH_ISIC'!$E$3:$E$81, '4_Calc_HH_ISIC'!$B$3:$B$81, $A121)</f>
      </c>
      <c r="C121" t="str">
        <f>B121/Keys!$C$2</f>
      </c>
    </row>
    <row r="122">
      <c r="A122" t="s">
        <v>445</v>
      </c>
      <c r="B122" t="str">
        <f>SUMIFS('4_Calc_HH_ISIC'!$E$3:$E$81, '4_Calc_HH_ISIC'!$B$3:$B$81, $A122)</f>
      </c>
      <c r="C122" t="str">
        <f>B122/Keys!$C$2</f>
      </c>
    </row>
    <row r="123">
      <c r="A123" t="s">
        <v>427</v>
      </c>
      <c r="B123" t="str">
        <f>SUMIFS('4_Calc_HH_ISIC'!$E$3:$E$81, '4_Calc_HH_ISIC'!$B$3:$B$81, $A123)</f>
      </c>
      <c r="C123" t="str">
        <f>B123/Keys!$C$2</f>
      </c>
    </row>
    <row r="124">
      <c r="A124" t="s">
        <v>430</v>
      </c>
      <c r="B124" t="str">
        <f>SUMIFS('4_Calc_HH_ISIC'!$E$3:$E$81, '4_Calc_HH_ISIC'!$B$3:$B$81, $A124)</f>
      </c>
      <c r="C124" t="str">
        <f>B124/Keys!$C$2</f>
      </c>
    </row>
    <row r="125">
      <c r="A125" t="s">
        <v>436</v>
      </c>
      <c r="B125" t="str">
        <f>SUMIFS('4_Calc_HH_ISIC'!$E$3:$E$81, '4_Calc_HH_ISIC'!$B$3:$B$81, $A125)</f>
      </c>
      <c r="C125" t="str">
        <f>B125/Keys!$C$2</f>
      </c>
    </row>
    <row r="126">
      <c r="A126" t="s">
        <v>553</v>
      </c>
      <c r="B126" t="str">
        <f>SUMIFS('4_Calc_HH_ISIC'!$E$3:$E$81, '4_Calc_HH_ISIC'!$B$3:$B$81,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564</v>
      </c>
      <c r="B2" t="str">
        <f>INDEX('4_Calc_HH_ISIC'!$C$85:$C$126, MATCH(B$1, '4_Calc_HH_ISIC'!$A$85:$A$126, 0))</f>
      </c>
      <c r="C2" t="str">
        <f>INDEX('4_Calc_HH_ISIC'!$C$85:$C$126, MATCH(C$1, '4_Calc_HH_ISIC'!$A$85:$A$126, 0))</f>
      </c>
      <c r="D2" t="str">
        <f>INDEX('4_Calc_HH_ISIC'!$C$85:$C$126, MATCH(D$1, '4_Calc_HH_ISIC'!$A$85:$A$126, 0))</f>
      </c>
      <c r="E2" t="str">
        <f>INDEX('4_Calc_HH_ISIC'!$C$85:$C$126, MATCH(E$1, '4_Calc_HH_ISIC'!$A$85:$A$126, 0))</f>
      </c>
      <c r="F2" t="str">
        <f>INDEX('4_Calc_HH_ISIC'!$C$85:$C$126, MATCH(F$1, '4_Calc_HH_ISIC'!$A$85:$A$126, 0))</f>
      </c>
      <c r="G2" t="str">
        <f>INDEX('4_Calc_HH_ISIC'!$C$85:$C$126, MATCH(G$1, '4_Calc_HH_ISIC'!$A$85:$A$126, 0))</f>
      </c>
      <c r="H2" t="str">
        <f>INDEX('4_Calc_HH_ISIC'!$C$85:$C$126, MATCH(H$1, '4_Calc_HH_ISIC'!$A$85:$A$126, 0))</f>
      </c>
      <c r="I2" t="str">
        <f>INDEX('4_Calc_HH_ISIC'!$C$85:$C$126, MATCH(I$1, '4_Calc_HH_ISIC'!$A$85:$A$126, 0))</f>
      </c>
      <c r="J2" t="str">
        <f>INDEX('4_Calc_HH_ISIC'!$C$85:$C$126, MATCH(J$1, '4_Calc_HH_ISIC'!$A$85:$A$126, 0))</f>
      </c>
      <c r="K2" t="str">
        <f>INDEX('4_Calc_HH_ISIC'!$C$85:$C$126, MATCH(K$1, '4_Calc_HH_ISIC'!$A$85:$A$126, 0))</f>
      </c>
      <c r="L2" t="str">
        <f>INDEX('4_Calc_HH_ISIC'!$C$85:$C$126, MATCH(L$1, '4_Calc_HH_ISIC'!$A$85:$A$126, 0))</f>
      </c>
      <c r="M2" t="str">
        <f>INDEX('4_Calc_HH_ISIC'!$C$85:$C$126, MATCH(M$1, '4_Calc_HH_ISIC'!$A$85:$A$126, 0))</f>
      </c>
      <c r="N2" t="str">
        <f>INDEX('4_Calc_HH_ISIC'!$C$85:$C$126, MATCH(N$1, '4_Calc_HH_ISIC'!$A$85:$A$126, 0))</f>
      </c>
      <c r="O2" t="str">
        <f>INDEX('4_Calc_HH_ISIC'!$C$85:$C$126, MATCH(O$1, '4_Calc_HH_ISIC'!$A$85:$A$126, 0))</f>
      </c>
      <c r="P2" t="str">
        <f>INDEX('4_Calc_HH_ISIC'!$C$85:$C$126, MATCH(P$1, '4_Calc_HH_ISIC'!$A$85:$A$126, 0))</f>
      </c>
      <c r="Q2" t="str">
        <f>INDEX('4_Calc_HH_ISIC'!$C$85:$C$126, MATCH(Q$1, '4_Calc_HH_ISIC'!$A$85:$A$126, 0))</f>
      </c>
      <c r="R2" t="str">
        <f>INDEX('4_Calc_HH_ISIC'!$C$85:$C$126, MATCH(R$1, '4_Calc_HH_ISIC'!$A$85:$A$126, 0))</f>
      </c>
      <c r="S2" t="str">
        <f>INDEX('4_Calc_HH_ISIC'!$C$85:$C$126, MATCH(S$1, '4_Calc_HH_ISIC'!$A$85:$A$126, 0))</f>
      </c>
      <c r="T2" t="str">
        <f>INDEX('4_Calc_HH_ISIC'!$C$85:$C$126, MATCH(T$1, '4_Calc_HH_ISIC'!$A$85:$A$126, 0))</f>
      </c>
      <c r="U2" t="str">
        <f>INDEX('4_Calc_HH_ISIC'!$C$85:$C$126, MATCH(U$1, '4_Calc_HH_ISIC'!$A$85:$A$126, 0))</f>
      </c>
      <c r="V2" t="str">
        <f>INDEX('4_Calc_HH_ISIC'!$C$85:$C$126, MATCH(V$1, '4_Calc_HH_ISIC'!$A$85:$A$126, 0))</f>
      </c>
      <c r="W2" t="str">
        <f>INDEX('4_Calc_HH_ISIC'!$C$85:$C$126, MATCH(W$1, '4_Calc_HH_ISIC'!$A$85:$A$126, 0))</f>
      </c>
      <c r="X2" t="str">
        <f>INDEX('4_Calc_HH_ISIC'!$C$85:$C$126, MATCH(X$1, '4_Calc_HH_ISIC'!$A$85:$A$126, 0))</f>
      </c>
      <c r="Y2" t="str">
        <f>INDEX('4_Calc_HH_ISIC'!$C$85:$C$126, MATCH(Y$1, '4_Calc_HH_ISIC'!$A$85:$A$126, 0))</f>
      </c>
      <c r="Z2" t="str">
        <f>INDEX('4_Calc_HH_ISIC'!$C$85:$C$126, MATCH(Z$1, '4_Calc_HH_ISIC'!$A$85:$A$126, 0))</f>
      </c>
      <c r="AA2" t="str">
        <f>INDEX('4_Calc_HH_ISIC'!$C$85:$C$126, MATCH(AA$1, '4_Calc_HH_ISIC'!$A$85:$A$126, 0))</f>
      </c>
      <c r="AB2" t="str">
        <f>INDEX('4_Calc_HH_ISIC'!$C$85:$C$126, MATCH(AB$1, '4_Calc_HH_ISIC'!$A$85:$A$126, 0))</f>
      </c>
      <c r="AC2" t="str">
        <f>INDEX('4_Calc_HH_ISIC'!$C$85:$C$126, MATCH(AC$1, '4_Calc_HH_ISIC'!$A$85:$A$126, 0))</f>
      </c>
      <c r="AD2" t="str">
        <f>INDEX('4_Calc_HH_ISIC'!$C$85:$C$126, MATCH(AD$1, '4_Calc_HH_ISIC'!$A$85:$A$126, 0))</f>
      </c>
      <c r="AE2" t="str">
        <f>INDEX('4_Calc_HH_ISIC'!$C$85:$C$126, MATCH(AE$1, '4_Calc_HH_ISIC'!$A$85:$A$126, 0))</f>
      </c>
      <c r="AF2" t="str">
        <f>INDEX('4_Calc_HH_ISIC'!$C$85:$C$126, MATCH(AF$1, '4_Calc_HH_ISIC'!$A$85:$A$126, 0))</f>
      </c>
      <c r="AG2" t="str">
        <f>INDEX('4_Calc_HH_ISIC'!$C$85:$C$126, MATCH(AG$1, '4_Calc_HH_ISIC'!$A$85:$A$126, 0))</f>
      </c>
      <c r="AH2" t="str">
        <f>INDEX('4_Calc_HH_ISIC'!$C$85:$C$126, MATCH(AH$1, '4_Calc_HH_ISIC'!$A$85:$A$126, 0))</f>
      </c>
      <c r="AI2" t="str">
        <f>INDEX('4_Calc_HH_ISIC'!$C$85:$C$126, MATCH(AI$1, '4_Calc_HH_ISIC'!$A$85:$A$126, 0))</f>
      </c>
      <c r="AJ2" t="str">
        <f>INDEX('4_Calc_HH_ISIC'!$C$85:$C$126, MATCH(AJ$1, '4_Calc_HH_ISIC'!$A$85:$A$126, 0))</f>
      </c>
      <c r="AK2" t="str">
        <f>INDEX('4_Calc_HH_ISIC'!$C$85:$C$126, MATCH(AK$1, '4_Calc_HH_ISIC'!$A$85:$A$126, 0))</f>
      </c>
      <c r="AL2" t="str">
        <f>INDEX('4_Calc_HH_ISIC'!$C$85:$C$126, MATCH(AL$1, '4_Calc_HH_ISIC'!$A$85:$A$126, 0))</f>
      </c>
      <c r="AM2" t="str">
        <f>INDEX('4_Calc_HH_ISIC'!$C$85:$C$126, MATCH(AM$1, '4_Calc_HH_ISIC'!$A$85:$A$126, 0))</f>
      </c>
      <c r="AN2" t="str">
        <f>INDEX('4_Calc_HH_ISIC'!$C$85:$C$126, MATCH(AN$1, '4_Calc_HH_ISIC'!$A$85:$A$126, 0))</f>
      </c>
      <c r="AO2" t="str">
        <f>INDEX('4_Calc_HH_ISIC'!$C$85:$C$126, MATCH(AO$1, '4_Calc_HH_ISIC'!$A$85:$A$126, 0))</f>
      </c>
      <c r="AP2" t="str">
        <f>INDEX('4_Calc_HH_ISIC'!$C$85:$C$126, MATCH(AP$1, '4_Calc_HH_ISIC'!$A$85:$A$126, 0))</f>
      </c>
      <c r="AQ2" t="str">
        <f>INDEX('4_Calc_HH_ISIC'!$C$85:$C$126, MATCH(AQ$1, '4_Calc_HH_ISIC'!$A$85:$A$126,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2026-07-17T19:28:44Z</dcterms:created>
</coreProperties>
</file>