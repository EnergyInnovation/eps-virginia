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alueAdded" sheetId="3" state="visible" r:id="rId3"/>
    <sheet name="2_VA_total_by_BEA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6_Calc_ISIC_aggregation" sheetId="11" state="visible" r:id="rId11"/>
    <sheet name="BVAbIC" sheetId="12" state="visible" r:id="rId12"/>
  </sheets>
  <calcPr calcId="191029" fullCalcOnLoad="1"/>
</workbook>
</file>

<file path=xl/sharedStrings.xml><?xml version="1.0" encoding="utf-8"?>
<sst xmlns="http://schemas.openxmlformats.org/spreadsheetml/2006/main" count="581" uniqueCount="581">
  <si>
    <t xml:space="preserve">BVAbIC - BAU Value Added by ISIC Code</t>
  </si>
  <si>
    <t xml:space="preserve"/>
  </si>
  <si>
    <t xml:space="preserve">State: Virginia (VA)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</si>
  <si>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</si>
  <si>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</si>
  <si>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</si>
  <si>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value added by industry is computed from stateior's ValueAdded</t>
  </si>
  <si>
    <t xml:space="preserve">component, which sums V001 (Compensation of employees), V002 (Taxes on</t>
  </si>
  <si>
    <t xml:space="preserve">production and imports less subsidies), and V003 (Gross operating</t>
  </si>
  <si>
    <t xml:space="preserve">surplus) per BEA Summary industry.</t>
  </si>
  <si>
    <t xml:space="preserve">The same BEA -&gt; ISIC crosswalk and state-specific disaggregation ratios</t>
  </si>
  <si>
    <t xml:space="preserve">used for BObIC are applied here, so that VA, output, and EC all share</t>
  </si>
  <si>
    <t xml:space="preserve">a consistent 42-ISIC structure.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</si>
  <si>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</si>
  <si>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</si>
  <si>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</si>
  <si>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</si>
  <si>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</si>
  <si>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</si>
  <si>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</si>
  <si>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</si>
  <si>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</si>
  <si>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</si>
  <si>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</si>
  <si>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</si>
  <si>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</si>
  <si>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</si>
  <si>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</si>
  <si>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</si>
  <si>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</si>
  <si>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</si>
  <si>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</si>
  <si>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</si>
  <si>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</si>
  <si>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</si>
  <si>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</si>
  <si>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</si>
  <si>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</si>
  <si>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</si>
  <si>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</si>
  <si>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</si>
  <si>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</si>
  <si>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</si>
  <si>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</si>
  <si>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</si>
  <si>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</si>
  <si>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</si>
  <si>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</si>
  <si>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</si>
  <si>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</si>
  <si>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</si>
  <si>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</si>
  <si>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</si>
  <si>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</si>
  <si>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</si>
  <si>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</si>
  <si>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</si>
  <si>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</si>
  <si>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</si>
  <si>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</si>
  <si>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</si>
  <si>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</si>
  <si>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</si>
  <si>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</si>
  <si>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</si>
  <si>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</si>
  <si>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</si>
  <si>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</si>
  <si>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</si>
  <si>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</si>
  <si>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</si>
  <si>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</si>
  <si>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</si>
  <si>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</si>
  <si>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</si>
  <si>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</si>
  <si>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</si>
  <si>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</si>
  <si>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</si>
  <si>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</si>
  <si>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</si>
  <si>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</si>
  <si>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</si>
  <si>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</si>
  <si>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</si>
  <si>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</si>
  <si>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</si>
  <si>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</si>
  <si>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</si>
  <si>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</si>
  <si>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</si>
  <si>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</si>
  <si>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</si>
  <si>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</si>
  <si>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</si>
  <si>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</si>
  <si>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</si>
  <si>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</si>
  <si>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</si>
  <si>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</si>
  <si>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</si>
  <si>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 in this workbook:</t>
  </si>
  <si>
    <t xml:space="preserve">  1. About</t>
  </si>
  <si>
    <t xml:space="preserve">  2. 1_Source_ValueAdded - V001+V002+V003 x industry, raw stateior</t>
  </si>
  <si>
    <t xml:space="preserve">  3. 2_VA_total_by_BEA - sum of V001-V003 per BEA Summary code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</si>
  <si>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</si>
  <si>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</si>
  <si>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</si>
  <si>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3_Crosswalk_BEA_to_ISIC</t>
  </si>
  <si>
    <t xml:space="preserve">  8. 4_State_disagg_splits</t>
  </si>
  <si>
    <t xml:space="preserve">  9. 5_NAICS_to_ISIC_Key</t>
  </si>
  <si>
    <t xml:space="preserve">  10. 6_Calc_ISIC_aggregation</t>
  </si>
  <si>
    <t xml:space="preserve">  11. BVAbIC - final VA vector (matches BVAbIC.csv)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</si>
  <si>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</si>
  <si>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</si>
  <si>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</si>
  <si>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</si>
  <si>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</si>
  <si>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</si>
  <si>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</si>
  <si>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</si>
  <si>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</si>
  <si>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</si>
  <si>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</si>
  <si>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</si>
  <si>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</si>
  <si>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</si>
  <si>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</si>
  <si>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</si>
  <si>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</si>
  <si>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</si>
  <si>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</si>
  <si>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</si>
  <si>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</si>
  <si>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</si>
  <si>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</si>
  <si>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</si>
  <si>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</si>
  <si>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</si>
  <si>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</si>
  <si>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</si>
  <si>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</si>
  <si>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</si>
  <si>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</si>
  <si>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</si>
  <si>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</si>
  <si>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</si>
  <si>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</si>
  <si>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</si>
  <si>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</si>
  <si>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</si>
  <si>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</si>
  <si>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</si>
  <si>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</si>
  <si>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</si>
  <si>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</si>
  <si>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</si>
  <si>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</si>
  <si>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</si>
  <si>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</si>
  <si>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</si>
  <si>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</si>
  <si>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</si>
  <si>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</si>
  <si>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</si>
  <si>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</si>
  <si>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</si>
  <si>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</si>
  <si>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</si>
  <si>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</si>
  <si>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</si>
  <si>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</si>
  <si>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</si>
  <si>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</si>
  <si>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</si>
  <si>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</si>
  <si>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</si>
  <si>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</si>
  <si>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</si>
  <si>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</si>
  <si>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</si>
  <si>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</si>
  <si>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</si>
  <si>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</si>
  <si>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</si>
  <si>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</si>
  <si>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</si>
  <si>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</si>
  <si>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</si>
  <si>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</si>
  <si>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</si>
  <si>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</si>
  <si>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</si>
  <si>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</si>
  <si>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</si>
  <si>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</si>
  <si>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</si>
  <si>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</si>
  <si>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</si>
  <si>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</si>
  <si>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</si>
  <si>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</si>
  <si>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</si>
  <si>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BEA_Summary_code</t>
  </si>
  <si>
    <t xml:space="preserve">VA_USD_2019nominal (=sum of VA rows)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</si>
  <si>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</si>
  <si>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</si>
  <si>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</si>
  <si>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</si>
  <si>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</si>
  <si>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</si>
  <si>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</si>
  <si>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</si>
  <si>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</si>
  <si>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</si>
  <si>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</si>
  <si>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VA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</si>
  <si>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</si>
  <si>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</si>
  <si>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</si>
  <si>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</si>
  <si>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</si>
  <si>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</si>
  <si>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</si>
  <si>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</si>
  <si>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</si>
  <si>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</si>
  <si>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</si>
  <si>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</si>
  <si>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</si>
  <si>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</si>
  <si>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</si>
  <si>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</si>
  <si>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</si>
  <si>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</si>
  <si>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</si>
  <si>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</si>
  <si>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</si>
  <si>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</si>
  <si>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</si>
  <si>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</si>
  <si>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</si>
  <si>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</si>
  <si>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</si>
  <si>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</si>
  <si>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</si>
  <si>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</si>
  <si>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</si>
  <si>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</si>
  <si>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</si>
  <si>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</si>
  <si>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</si>
  <si>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</si>
  <si>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</si>
  <si>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</si>
  <si>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</si>
  <si>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</si>
  <si>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</si>
  <si>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</si>
  <si>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</si>
  <si>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</si>
  <si>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</si>
  <si>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</si>
  <si>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</si>
  <si>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</si>
  <si>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</si>
  <si>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</si>
  <si>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</si>
  <si>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</si>
  <si>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</si>
  <si>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</si>
  <si>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</si>
  <si>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</si>
  <si>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</si>
  <si>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</si>
  <si>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</si>
  <si>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</si>
  <si>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</si>
  <si>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</si>
  <si>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</si>
  <si>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</si>
  <si>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</si>
  <si>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</si>
  <si>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</si>
  <si>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</si>
  <si>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</si>
  <si>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</si>
  <si>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</si>
  <si>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</si>
  <si>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</si>
  <si>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</si>
  <si>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</si>
  <si>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</si>
  <si>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</si>
  <si>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</si>
  <si>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</si>
  <si>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</si>
  <si>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</si>
  <si>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</si>
  <si>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</si>
  <si>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</si>
  <si>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</si>
  <si>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</si>
  <si>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</si>
  <si>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</si>
  <si>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</si>
  <si>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</si>
  <si>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</si>
  <si>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</si>
  <si>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</si>
  <si>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</si>
  <si>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</si>
  <si>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</si>
  <si>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</si>
  <si>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</si>
  <si>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VA.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</si>
  <si>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</si>
  <si>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</si>
  <si>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</si>
  <si>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</si>
  <si>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</si>
  <si>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</si>
  <si>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</si>
  <si>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</si>
  <si>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</si>
  <si>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</si>
  <si>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</si>
  <si>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</si>
  <si>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</si>
  <si>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</si>
  <si>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</si>
  <si>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</si>
  <si>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</si>
  <si>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</si>
  <si>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</si>
  <si>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</si>
  <si>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</si>
  <si>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</si>
  <si>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</si>
  <si>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</si>
  <si>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</si>
  <si>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</si>
  <si>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</si>
  <si>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</si>
  <si>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</si>
  <si>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</si>
  <si>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</si>
  <si>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</si>
  <si>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</si>
  <si>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</si>
  <si>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</si>
  <si>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</si>
  <si>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</si>
  <si>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</si>
  <si>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</si>
  <si>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</si>
  <si>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</si>
  <si>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</si>
  <si>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</si>
  <si>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</si>
  <si>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</si>
  <si>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</si>
  <si>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</si>
  <si>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</si>
  <si>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</si>
  <si>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</si>
  <si>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</si>
  <si>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</si>
  <si>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</si>
  <si>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</si>
  <si>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</si>
  <si>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</si>
  <si>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</si>
  <si>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</si>
  <si>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</si>
  <si>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</si>
  <si>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</si>
  <si>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</si>
  <si>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</si>
  <si>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</si>
  <si>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</si>
  <si>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</si>
  <si>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</si>
  <si>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</si>
  <si>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</si>
  <si>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</si>
  <si>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</si>
  <si>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</si>
  <si>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</si>
  <si>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</si>
  <si>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</si>
  <si>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</si>
  <si>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</si>
  <si>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</si>
  <si>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</si>
  <si>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</si>
  <si>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</si>
  <si>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</si>
  <si>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</si>
  <si>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</si>
  <si>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</si>
  <si>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</si>
  <si>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</si>
  <si>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</si>
  <si>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</si>
  <si>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</si>
  <si>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</si>
  <si>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</si>
  <si>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</si>
  <si>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</si>
  <si>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</si>
  <si>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</si>
  <si>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</si>
  <si>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</si>
  <si>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</si>
  <si>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</si>
  <si>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</si>
  <si>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</si>
  <si>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</si>
  <si>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</si>
  <si>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</si>
  <si>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</si>
  <si>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</si>
  <si>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</si>
  <si>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</si>
  <si>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</si>
  <si>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</si>
  <si>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</si>
  <si>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</si>
  <si>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</si>
  <si>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</si>
  <si>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</si>
  <si>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</si>
  <si>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</si>
  <si>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</si>
  <si>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</si>
  <si>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</si>
  <si>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</si>
  <si>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</si>
  <si>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</si>
  <si>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</si>
  <si>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</si>
  <si>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</si>
  <si>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</si>
  <si>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</si>
  <si>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</si>
  <si>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</si>
  <si>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</si>
  <si>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</si>
  <si>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</si>
  <si>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</si>
  <si>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</si>
  <si>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</si>
  <si>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</si>
  <si>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</si>
  <si>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</si>
  <si>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</si>
  <si>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</si>
  <si>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</si>
  <si>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</si>
  <si>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</si>
  <si>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</si>
  <si>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</si>
  <si>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</si>
  <si>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</si>
  <si>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</si>
  <si>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</si>
  <si>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</si>
  <si>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</si>
  <si>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</si>
  <si>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</si>
  <si>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2019 $552M + USGS T3 nonfuel 2021 $1300M -&gt; coal share 0.298 (applied to stateior 212 $2613M)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</si>
  <si>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</si>
  <si>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</si>
  <si>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</si>
  <si>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</si>
  <si>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</si>
  <si>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</si>
  <si>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</si>
  <si>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</si>
  <si>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</si>
  <si>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</si>
  <si>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</si>
  <si>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</si>
  <si>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</si>
  <si>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</si>
  <si>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</si>
  <si>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</si>
  <si>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</si>
  <si>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</si>
  <si>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VA.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</si>
  <si>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</si>
  <si>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</si>
  <si>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</si>
  <si>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</si>
  <si>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</si>
  <si>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</si>
  <si>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</si>
  <si>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</si>
  <si>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</si>
  <si>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</si>
  <si>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</si>
  <si>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</si>
  <si>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</si>
  <si>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</si>
  <si>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</si>
  <si>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</si>
  <si>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</si>
  <si>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</si>
  <si>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</si>
  <si>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</si>
  <si>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</si>
  <si>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</si>
  <si>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</si>
  <si>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</si>
  <si>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</si>
  <si>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</si>
  <si>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</si>
  <si>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</si>
  <si>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</si>
  <si>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</si>
  <si>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</si>
  <si>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</si>
  <si>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</si>
  <si>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</si>
  <si>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</si>
  <si>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</si>
  <si>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</si>
  <si>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</si>
  <si>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</si>
  <si>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</si>
  <si>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</si>
  <si>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</si>
  <si>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</si>
  <si>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</si>
  <si>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</si>
  <si>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</si>
  <si>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</si>
  <si>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</si>
  <si>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</si>
  <si>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</si>
  <si>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</si>
  <si>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</si>
  <si>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</si>
  <si>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</si>
  <si>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</si>
  <si>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</si>
  <si>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</si>
  <si>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</si>
  <si>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</si>
  <si>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</si>
  <si>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</si>
  <si>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</si>
  <si>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</si>
  <si>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</si>
  <si>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</si>
  <si>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</si>
  <si>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</si>
  <si>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</si>
  <si>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</si>
  <si>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</si>
  <si>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</si>
  <si>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</si>
  <si>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</si>
  <si>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</si>
  <si>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</si>
  <si>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</si>
  <si>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</si>
  <si>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</si>
  <si>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</si>
  <si>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</si>
  <si>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</si>
  <si>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</si>
  <si>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</si>
  <si>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</si>
  <si>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</si>
  <si>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</si>
  <si>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</si>
  <si>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</si>
  <si>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</si>
  <si>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ValueAdded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</si>
</sst>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</v>
      </c>
    </row>
    <row r="20">
      <c r="A20" t="s">
        <v>14</v>
      </c>
    </row>
    <row r="21">
      <c r="A21" t="s">
        <v>15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1</v>
      </c>
    </row>
    <row r="29">
      <c r="A29" t="s">
        <v>22</v>
      </c>
    </row>
    <row r="30">
      <c r="A30" t="s">
        <v>23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27</v>
      </c>
    </row>
    <row r="35">
      <c r="A35" t="s">
        <v>1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1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1</v>
      </c>
    </row>
    <row r="53">
      <c r="A53" t="s">
        <v>43</v>
      </c>
    </row>
    <row r="54">
      <c r="A54" t="s">
        <v>44</v>
      </c>
    </row>
    <row r="55">
      <c r="A55" t="s">
        <v>45</v>
      </c>
    </row>
    <row r="56">
      <c r="A56" t="s">
        <v>46</v>
      </c>
    </row>
    <row r="57">
      <c r="A57" t="s">
        <v>47</v>
      </c>
    </row>
    <row r="58">
      <c r="A58" t="s">
        <v>1</v>
      </c>
    </row>
    <row r="59">
      <c r="A59" t="s">
        <v>48</v>
      </c>
    </row>
    <row r="60">
      <c r="A60" t="s">
        <v>49</v>
      </c>
    </row>
    <row r="61">
      <c r="A61" t="s">
        <v>1</v>
      </c>
    </row>
    <row r="62">
      <c r="A62" t="s">
        <v>4</v>
      </c>
    </row>
    <row r="63">
      <c r="A63" t="s">
        <v>50</v>
      </c>
    </row>
    <row r="64">
      <c r="A64" t="s">
        <v>4</v>
      </c>
    </row>
    <row r="65">
      <c r="A65" t="s">
        <v>51</v>
      </c>
    </row>
    <row r="66">
      <c r="A66" t="s">
        <v>52</v>
      </c>
    </row>
    <row r="67">
      <c r="A67" t="s">
        <v>1</v>
      </c>
    </row>
    <row r="68">
      <c r="A68" t="s">
        <v>53</v>
      </c>
    </row>
    <row r="69">
      <c r="A69" t="s">
        <v>54</v>
      </c>
    </row>
    <row r="70">
      <c r="A70" t="s">
        <v>55</v>
      </c>
    </row>
    <row r="71">
      <c r="A71" t="s">
        <v>56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1</v>
      </c>
    </row>
    <row r="80">
      <c r="A80" t="s">
        <v>64</v>
      </c>
    </row>
    <row r="81">
      <c r="A81" t="s">
        <v>65</v>
      </c>
    </row>
    <row r="82">
      <c r="A82" t="s">
        <v>1</v>
      </c>
    </row>
    <row r="83">
      <c r="A83" t="s">
        <v>4</v>
      </c>
    </row>
    <row r="84">
      <c r="A84" t="s">
        <v>66</v>
      </c>
    </row>
    <row r="85">
      <c r="A85" t="s">
        <v>4</v>
      </c>
    </row>
    <row r="86">
      <c r="A86" t="s">
        <v>67</v>
      </c>
    </row>
    <row r="87">
      <c r="A87" t="s">
        <v>68</v>
      </c>
    </row>
    <row r="88">
      <c r="A88" t="s">
        <v>69</v>
      </c>
    </row>
    <row r="89">
      <c r="A89" t="s">
        <v>1</v>
      </c>
    </row>
    <row r="90">
      <c r="A90" t="s">
        <v>70</v>
      </c>
    </row>
    <row r="91">
      <c r="A91" t="s">
        <v>71</v>
      </c>
    </row>
    <row r="92">
      <c r="A92" t="s">
        <v>72</v>
      </c>
    </row>
    <row r="93">
      <c r="A93" t="s">
        <v>1</v>
      </c>
    </row>
    <row r="94">
      <c r="A94" t="s">
        <v>73</v>
      </c>
    </row>
    <row r="95">
      <c r="A95" t="s">
        <v>74</v>
      </c>
    </row>
    <row r="96">
      <c r="A96" t="s">
        <v>75</v>
      </c>
    </row>
    <row r="97">
      <c r="A97" t="s">
        <v>1</v>
      </c>
    </row>
    <row r="98">
      <c r="A98" t="s">
        <v>76</v>
      </c>
    </row>
    <row r="99">
      <c r="A99" t="s">
        <v>77</v>
      </c>
    </row>
    <row r="100">
      <c r="A100" t="s">
        <v>78</v>
      </c>
    </row>
    <row r="101">
      <c r="A101" t="s">
        <v>1</v>
      </c>
    </row>
    <row r="102">
      <c r="A102" t="s">
        <v>79</v>
      </c>
    </row>
    <row r="103">
      <c r="A103" t="s">
        <v>80</v>
      </c>
    </row>
    <row r="104">
      <c r="A104" t="s">
        <v>81</v>
      </c>
    </row>
    <row r="105">
      <c r="A105" t="s">
        <v>1</v>
      </c>
    </row>
    <row r="106">
      <c r="A106" t="s">
        <v>82</v>
      </c>
    </row>
    <row r="107">
      <c r="A107" t="s">
        <v>83</v>
      </c>
    </row>
    <row r="108">
      <c r="A108" t="s">
        <v>84</v>
      </c>
    </row>
    <row r="109">
      <c r="A109" t="s">
        <v>1</v>
      </c>
    </row>
    <row r="110">
      <c r="A110" t="s">
        <v>85</v>
      </c>
    </row>
    <row r="111">
      <c r="A111" t="s">
        <v>86</v>
      </c>
    </row>
    <row r="112">
      <c r="A112" t="s">
        <v>87</v>
      </c>
    </row>
    <row r="113">
      <c r="A113" t="s">
        <v>1</v>
      </c>
    </row>
    <row r="114">
      <c r="A114" t="s">
        <v>88</v>
      </c>
    </row>
    <row r="115">
      <c r="A115" t="s">
        <v>89</v>
      </c>
    </row>
    <row r="116">
      <c r="A116" t="s">
        <v>90</v>
      </c>
    </row>
    <row r="117">
      <c r="A117" t="s">
        <v>1</v>
      </c>
    </row>
    <row r="118">
      <c r="A118" t="s">
        <v>91</v>
      </c>
    </row>
    <row r="119">
      <c r="A119" t="s">
        <v>92</v>
      </c>
    </row>
    <row r="120">
      <c r="A120" t="s">
        <v>93</v>
      </c>
    </row>
    <row r="121">
      <c r="A121" t="s">
        <v>1</v>
      </c>
    </row>
    <row r="122">
      <c r="A122" t="s">
        <v>94</v>
      </c>
    </row>
    <row r="123">
      <c r="A123" t="s">
        <v>95</v>
      </c>
    </row>
    <row r="124">
      <c r="A124" t="s">
        <v>96</v>
      </c>
    </row>
    <row r="125">
      <c r="A125" t="s">
        <v>1</v>
      </c>
    </row>
    <row r="126">
      <c r="A126" t="s">
        <v>97</v>
      </c>
    </row>
    <row r="127">
      <c r="A127" t="s">
        <v>98</v>
      </c>
    </row>
    <row r="128">
      <c r="A128" t="s">
        <v>99</v>
      </c>
    </row>
    <row r="129">
      <c r="A129" t="s">
        <v>1</v>
      </c>
    </row>
    <row r="130">
      <c r="A130" t="s">
        <v>4</v>
      </c>
    </row>
    <row r="131">
      <c r="A131" t="s">
        <v>100</v>
      </c>
    </row>
    <row r="132">
      <c r="A132" t="s">
        <v>4</v>
      </c>
    </row>
    <row r="133">
      <c r="A133" t="s">
        <v>101</v>
      </c>
    </row>
    <row r="134">
      <c r="A134" t="s">
        <v>102</v>
      </c>
    </row>
    <row r="135">
      <c r="A135" t="s">
        <v>103</v>
      </c>
    </row>
    <row r="136">
      <c r="A136" t="s">
        <v>104</v>
      </c>
    </row>
    <row r="137">
      <c r="A137" t="s">
        <v>105</v>
      </c>
    </row>
    <row r="138">
      <c r="A138" t="s">
        <v>106</v>
      </c>
    </row>
    <row r="139">
      <c r="A139" t="s">
        <v>107</v>
      </c>
    </row>
    <row r="140">
      <c r="A140" t="s">
        <v>108</v>
      </c>
    </row>
    <row r="141">
      <c r="A141" t="s">
        <v>109</v>
      </c>
    </row>
    <row r="142">
      <c r="A142" t="s">
        <v>110</v>
      </c>
    </row>
    <row r="143">
      <c r="A143" t="s">
        <v>111</v>
      </c>
    </row>
    <row r="144">
      <c r="A144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113</v>
      </c>
      <c r="B1" t="s">
        <v>114</v>
      </c>
      <c r="C1" t="s">
        <v>115</v>
      </c>
      <c r="D1" t="s">
        <v>116</v>
      </c>
    </row>
    <row r="2">
      <c r="A2" t="s">
        <v>117</v>
      </c>
      <c r="B2" t="s">
        <v>118</v>
      </c>
      <c r="C2" t="n">
        <v>1.12266</v>
      </c>
      <c r="D2" t="s">
        <v>119</v>
      </c>
    </row>
    <row r="3">
      <c r="A3" t="s">
        <v>120</v>
      </c>
      <c r="B3" t="s">
        <v>121</v>
      </c>
      <c r="C3" t="n">
        <v>2019</v>
      </c>
      <c r="D3" t="s">
        <v>122</v>
      </c>
    </row>
    <row r="4">
      <c r="A4" t="s">
        <v>123</v>
      </c>
      <c r="B4" t="s">
        <v>124</v>
      </c>
      <c r="C4" t="n">
        <v>0.000000001</v>
      </c>
      <c r="D4" t="s">
        <v>125</v>
      </c>
    </row>
    <row r="5">
      <c r="A5" t="s">
        <v>123</v>
      </c>
      <c r="B5" t="s">
        <v>126</v>
      </c>
      <c r="C5" t="n">
        <v>1</v>
      </c>
      <c r="D5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128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  <c r="AH1" t="s">
        <v>161</v>
      </c>
      <c r="AI1" t="s">
        <v>162</v>
      </c>
      <c r="AJ1" t="s">
        <v>163</v>
      </c>
      <c r="AK1" t="s">
        <v>164</v>
      </c>
      <c r="AL1" t="s">
        <v>165</v>
      </c>
      <c r="AM1" t="s">
        <v>166</v>
      </c>
      <c r="AN1" t="s">
        <v>167</v>
      </c>
      <c r="AO1" t="s">
        <v>168</v>
      </c>
      <c r="AP1" t="s">
        <v>169</v>
      </c>
      <c r="AQ1" t="s">
        <v>170</v>
      </c>
      <c r="AR1" t="s">
        <v>171</v>
      </c>
      <c r="AS1" t="s">
        <v>172</v>
      </c>
      <c r="AT1" t="s">
        <v>173</v>
      </c>
      <c r="AU1" t="s">
        <v>174</v>
      </c>
      <c r="AV1" t="s">
        <v>175</v>
      </c>
      <c r="AW1" t="s">
        <v>176</v>
      </c>
      <c r="AX1" t="s">
        <v>177</v>
      </c>
      <c r="AY1" t="s">
        <v>178</v>
      </c>
      <c r="AZ1" t="s">
        <v>179</v>
      </c>
      <c r="BA1" t="s">
        <v>180</v>
      </c>
      <c r="BB1" t="s">
        <v>181</v>
      </c>
      <c r="BC1" t="s">
        <v>182</v>
      </c>
      <c r="BD1" t="s">
        <v>183</v>
      </c>
      <c r="BE1" t="s">
        <v>184</v>
      </c>
      <c r="BF1" t="s">
        <v>185</v>
      </c>
      <c r="BG1" t="s">
        <v>186</v>
      </c>
      <c r="BH1" t="s">
        <v>187</v>
      </c>
      <c r="BI1" t="s">
        <v>188</v>
      </c>
      <c r="BJ1" t="s">
        <v>189</v>
      </c>
      <c r="BK1" t="s">
        <v>190</v>
      </c>
      <c r="BL1" t="s">
        <v>191</v>
      </c>
      <c r="BM1" t="s">
        <v>192</v>
      </c>
      <c r="BN1" t="s">
        <v>193</v>
      </c>
      <c r="BO1" t="s">
        <v>194</v>
      </c>
      <c r="BP1" t="s">
        <v>195</v>
      </c>
      <c r="BQ1" t="s">
        <v>196</v>
      </c>
      <c r="BR1" t="s">
        <v>197</v>
      </c>
      <c r="BS1" t="s">
        <v>198</v>
      </c>
      <c r="BT1" t="s">
        <v>199</v>
      </c>
    </row>
    <row r="2">
      <c r="A2" t="s">
        <v>200</v>
      </c>
      <c r="B2" t="n">
        <v>272473574.166191</v>
      </c>
      <c r="C2" t="n">
        <v>338413851.148251</v>
      </c>
      <c r="D2" t="n">
        <v>11043157.1698091</v>
      </c>
      <c r="E2" t="n">
        <v>467861021.100226</v>
      </c>
      <c r="F2" t="n">
        <v>53217826.1698974</v>
      </c>
      <c r="G2" t="n">
        <v>2196691999.9035</v>
      </c>
      <c r="H2" t="n">
        <v>16298093613.7861</v>
      </c>
      <c r="I2" t="n">
        <v>861532286.009125</v>
      </c>
      <c r="J2" t="n">
        <v>680493998.286585</v>
      </c>
      <c r="K2" t="n">
        <v>297630531.41959</v>
      </c>
      <c r="L2" t="n">
        <v>1545290901.1897</v>
      </c>
      <c r="M2" t="n">
        <v>1168776151.45679</v>
      </c>
      <c r="N2" t="n">
        <v>1448106280.65221</v>
      </c>
      <c r="O2" t="n">
        <v>667204887.468371</v>
      </c>
      <c r="P2" t="n">
        <v>987944046.242774</v>
      </c>
      <c r="Q2" t="n">
        <v>2678817687.73212</v>
      </c>
      <c r="R2" t="n">
        <v>586972801.47446</v>
      </c>
      <c r="S2" t="n">
        <v>521679230.213781</v>
      </c>
      <c r="T2" t="n">
        <v>7462547191.39842</v>
      </c>
      <c r="U2" t="n">
        <v>385497781.508574</v>
      </c>
      <c r="V2" t="n">
        <v>71918286.7241917</v>
      </c>
      <c r="W2" t="n">
        <v>687475719.11474</v>
      </c>
      <c r="X2" t="n">
        <v>484882164.193486</v>
      </c>
      <c r="Y2" t="n">
        <v>52611101.1126225</v>
      </c>
      <c r="Z2" t="n">
        <v>798325979.726394</v>
      </c>
      <c r="AA2" t="n">
        <v>1307783111.04822</v>
      </c>
      <c r="AB2" t="n">
        <v>10578275605.6484</v>
      </c>
      <c r="AC2" t="n">
        <v>3600024710.70759</v>
      </c>
      <c r="AD2" t="n">
        <v>3056790898.9635</v>
      </c>
      <c r="AE2" t="n">
        <v>3047666278.26688</v>
      </c>
      <c r="AF2" t="n">
        <v>6216680924.13041</v>
      </c>
      <c r="AG2" t="n">
        <v>1733487154.98181</v>
      </c>
      <c r="AH2" t="n">
        <v>509340527.432555</v>
      </c>
      <c r="AI2" t="n">
        <v>274230130.807397</v>
      </c>
      <c r="AJ2" t="n">
        <v>1996853966.87098</v>
      </c>
      <c r="AK2" t="n">
        <v>492971503.239105</v>
      </c>
      <c r="AL2" t="n">
        <v>29148484.9263666</v>
      </c>
      <c r="AM2" t="n">
        <v>2352210335.17807</v>
      </c>
      <c r="AN2" t="n">
        <v>1486611421.56195</v>
      </c>
      <c r="AO2" t="n">
        <v>1741960774.0304</v>
      </c>
      <c r="AP2" t="n">
        <v>348193709.413293</v>
      </c>
      <c r="AQ2" t="n">
        <v>2263431975.461</v>
      </c>
      <c r="AR2" t="n">
        <v>2937578637.87254</v>
      </c>
      <c r="AS2" t="n">
        <v>7487961747.30336</v>
      </c>
      <c r="AT2" t="n">
        <v>2973815417.69702</v>
      </c>
      <c r="AU2" t="n">
        <v>4485302189.90588</v>
      </c>
      <c r="AV2" t="n">
        <v>165338005.698006</v>
      </c>
      <c r="AW2" t="n">
        <v>827995801.877343</v>
      </c>
      <c r="AX2" t="n">
        <v>1715133526.01943</v>
      </c>
      <c r="AY2" t="n">
        <v>669769616.876118</v>
      </c>
      <c r="AZ2" t="n">
        <v>2941397217.21508</v>
      </c>
      <c r="BA2" t="n">
        <v>23243673039.1976</v>
      </c>
      <c r="BB2" t="n">
        <v>27012365773.8473</v>
      </c>
      <c r="BC2" t="n">
        <v>12167189775.4338</v>
      </c>
      <c r="BD2" t="n">
        <v>14653409691.2883</v>
      </c>
      <c r="BE2" t="n">
        <v>643697286.012526</v>
      </c>
      <c r="BF2" t="n">
        <v>4315120486.60828</v>
      </c>
      <c r="BG2" t="n">
        <v>15018833804.7531</v>
      </c>
      <c r="BH2" t="n">
        <v>7922271815.25872</v>
      </c>
      <c r="BI2" t="n">
        <v>3220026133.61243</v>
      </c>
      <c r="BJ2" t="n">
        <v>2760552983.58111</v>
      </c>
      <c r="BK2" t="n">
        <v>1081214299.43989</v>
      </c>
      <c r="BL2" t="n">
        <v>1001499042.51245</v>
      </c>
      <c r="BM2" t="n">
        <v>1748774931.87452</v>
      </c>
      <c r="BN2" t="n">
        <v>8236073188.12196</v>
      </c>
      <c r="BO2" t="n">
        <v>10244707493.7639</v>
      </c>
      <c r="BP2" t="n">
        <v>14435995978.8121</v>
      </c>
      <c r="BQ2" t="n">
        <v>13960395514.8343</v>
      </c>
      <c r="BR2" t="n">
        <v>3998540138.58204</v>
      </c>
      <c r="BS2" t="n">
        <v>38653951884.8158</v>
      </c>
      <c r="BT2" t="n">
        <v>1851511995.68523</v>
      </c>
    </row>
    <row r="3">
      <c r="A3" t="s">
        <v>201</v>
      </c>
      <c r="B3" t="n">
        <v>-107915792.220501</v>
      </c>
      <c r="C3" t="n">
        <v>23802019.9591199</v>
      </c>
      <c r="D3" t="n">
        <v>12935328.194266</v>
      </c>
      <c r="E3" t="n">
        <v>143769664.657121</v>
      </c>
      <c r="F3" t="n">
        <v>3443403.23125009</v>
      </c>
      <c r="G3" t="n">
        <v>1662899565.73662</v>
      </c>
      <c r="H3" t="n">
        <v>308784024.706205</v>
      </c>
      <c r="I3" t="n">
        <v>30003437.9752335</v>
      </c>
      <c r="J3" t="n">
        <v>36690890.3414139</v>
      </c>
      <c r="K3" t="n">
        <v>24220352.3027194</v>
      </c>
      <c r="L3" t="n">
        <v>57725719.3961418</v>
      </c>
      <c r="M3" t="n">
        <v>45828512.1451202</v>
      </c>
      <c r="N3" t="n">
        <v>82020995.5913389</v>
      </c>
      <c r="O3" t="n">
        <v>18272652.8166201</v>
      </c>
      <c r="P3" t="n">
        <v>50068888.133288</v>
      </c>
      <c r="Q3" t="n">
        <v>95477520.4565355</v>
      </c>
      <c r="R3" t="n">
        <v>12004713.0068457</v>
      </c>
      <c r="S3" t="n">
        <v>18521476.5541235</v>
      </c>
      <c r="T3" t="n">
        <v>1782404919.58928</v>
      </c>
      <c r="U3" t="n">
        <v>19623755.8460247</v>
      </c>
      <c r="V3" t="n">
        <v>2954257.19929307</v>
      </c>
      <c r="W3" t="n">
        <v>41733241.9159385</v>
      </c>
      <c r="X3" t="n">
        <v>15162237.4253228</v>
      </c>
      <c r="Y3" t="n">
        <v>10747667.6781417</v>
      </c>
      <c r="Z3" t="n">
        <v>139552085.128865</v>
      </c>
      <c r="AA3" t="n">
        <v>63030671.8081155</v>
      </c>
      <c r="AB3" t="n">
        <v>5323854765.6062</v>
      </c>
      <c r="AC3" t="n">
        <v>1498089345.58127</v>
      </c>
      <c r="AD3" t="n">
        <v>828881075.678323</v>
      </c>
      <c r="AE3" t="n">
        <v>1373814556.96922</v>
      </c>
      <c r="AF3" t="n">
        <v>2510917354.10586</v>
      </c>
      <c r="AG3" t="n">
        <v>787174759.289637</v>
      </c>
      <c r="AH3" t="n">
        <v>2169384.66201879</v>
      </c>
      <c r="AI3" t="n">
        <v>42753263.7412204</v>
      </c>
      <c r="AJ3" t="n">
        <v>90010917.3800719</v>
      </c>
      <c r="AK3" t="n">
        <v>35772537.5441696</v>
      </c>
      <c r="AL3" t="n">
        <v>13114436.2486828</v>
      </c>
      <c r="AM3" t="n">
        <v>63456683.7716039</v>
      </c>
      <c r="AN3" t="n">
        <v>23388251.328881</v>
      </c>
      <c r="AO3" t="n">
        <v>96884904.1083097</v>
      </c>
      <c r="AP3" t="n">
        <v>55845990.1744875</v>
      </c>
      <c r="AQ3" t="n">
        <v>880180294.236685</v>
      </c>
      <c r="AR3" t="n">
        <v>152750578.192828</v>
      </c>
      <c r="AS3" t="n">
        <v>539997117.103484</v>
      </c>
      <c r="AT3" t="n">
        <v>70571689.0656919</v>
      </c>
      <c r="AU3" t="n">
        <v>515533675.009542</v>
      </c>
      <c r="AV3" t="n">
        <v>43981538.4615385</v>
      </c>
      <c r="AW3" t="n">
        <v>9125856053.09767</v>
      </c>
      <c r="AX3" t="n">
        <v>504548830.480447</v>
      </c>
      <c r="AY3" t="n">
        <v>386423870.389566</v>
      </c>
      <c r="AZ3" t="n">
        <v>367500665.53848</v>
      </c>
      <c r="BA3" t="n">
        <v>599499048.715687</v>
      </c>
      <c r="BB3" t="n">
        <v>672803917.365531</v>
      </c>
      <c r="BC3" t="n">
        <v>341204882.613134</v>
      </c>
      <c r="BD3" t="n">
        <v>384276685.153374</v>
      </c>
      <c r="BE3" t="n">
        <v>77899791.2317328</v>
      </c>
      <c r="BF3" t="n">
        <v>207792757.483933</v>
      </c>
      <c r="BG3" t="n">
        <v>261451010.340175</v>
      </c>
      <c r="BH3" t="n">
        <v>296772252.615378</v>
      </c>
      <c r="BI3" t="n">
        <v>157020224.704933</v>
      </c>
      <c r="BJ3" t="n">
        <v>50436182.8132658</v>
      </c>
      <c r="BK3" t="n">
        <v>140273542.620046</v>
      </c>
      <c r="BL3" t="n">
        <v>282898369.683356</v>
      </c>
      <c r="BM3" t="n">
        <v>640116965.426637</v>
      </c>
      <c r="BN3" t="n">
        <v>1526612543.91226</v>
      </c>
      <c r="BO3" t="n">
        <v>799899840.958934</v>
      </c>
      <c r="BP3" t="n">
        <v>0</v>
      </c>
      <c r="BQ3" t="n">
        <v>0</v>
      </c>
      <c r="BR3" t="n">
        <v>-421955183.091878</v>
      </c>
      <c r="BS3" t="n">
        <v>0</v>
      </c>
      <c r="BT3" t="n">
        <v>-340314511.327801</v>
      </c>
    </row>
    <row r="4">
      <c r="A4" t="s">
        <v>202</v>
      </c>
      <c r="B4" t="n">
        <v>1002632699.99185</v>
      </c>
      <c r="C4" t="n">
        <v>148784128.89263</v>
      </c>
      <c r="D4" t="n">
        <v>37921156.4058937</v>
      </c>
      <c r="E4" t="n">
        <v>695744683.496609</v>
      </c>
      <c r="F4" t="n">
        <v>42938770.5988525</v>
      </c>
      <c r="G4" t="n">
        <v>4423233412.94829</v>
      </c>
      <c r="H4" t="n">
        <v>9346449595.94274</v>
      </c>
      <c r="I4" t="n">
        <v>396164276.015642</v>
      </c>
      <c r="J4" t="n">
        <v>632136517.959132</v>
      </c>
      <c r="K4" t="n">
        <v>267849116.27769</v>
      </c>
      <c r="L4" t="n">
        <v>692997839.764704</v>
      </c>
      <c r="M4" t="n">
        <v>631495336.398087</v>
      </c>
      <c r="N4" t="n">
        <v>862172723.75645</v>
      </c>
      <c r="O4" t="n">
        <v>362939912.105473</v>
      </c>
      <c r="P4" t="n">
        <v>951887065.623937</v>
      </c>
      <c r="Q4" t="n">
        <v>2293204791.81135</v>
      </c>
      <c r="R4" t="n">
        <v>197422485.518694</v>
      </c>
      <c r="S4" t="n">
        <v>284799293.232096</v>
      </c>
      <c r="T4" t="n">
        <v>7495747889.01231</v>
      </c>
      <c r="U4" t="n">
        <v>114378462.645401</v>
      </c>
      <c r="V4" t="n">
        <v>15636864.5389334</v>
      </c>
      <c r="W4" t="n">
        <v>599391038.969322</v>
      </c>
      <c r="X4" t="n">
        <v>255555598.381191</v>
      </c>
      <c r="Y4" t="n">
        <v>296538720.658505</v>
      </c>
      <c r="Z4" t="n">
        <v>1775921935.14474</v>
      </c>
      <c r="AA4" t="n">
        <v>819786217.143666</v>
      </c>
      <c r="AB4" t="n">
        <v>8659069628.7454</v>
      </c>
      <c r="AC4" t="n">
        <v>2114147288.89466</v>
      </c>
      <c r="AD4" t="n">
        <v>1102691494.50037</v>
      </c>
      <c r="AE4" t="n">
        <v>620442551.455986</v>
      </c>
      <c r="AF4" t="n">
        <v>4568395040.20877</v>
      </c>
      <c r="AG4" t="n">
        <v>1342338085.72855</v>
      </c>
      <c r="AH4" t="n">
        <v>510890087.905426</v>
      </c>
      <c r="AI4" t="n">
        <v>232716605.451382</v>
      </c>
      <c r="AJ4" t="n">
        <v>1481935115.74895</v>
      </c>
      <c r="AK4" t="n">
        <v>330555959.216726</v>
      </c>
      <c r="AL4" t="n">
        <v>90137078.8249505</v>
      </c>
      <c r="AM4" t="n">
        <v>888232981.050322</v>
      </c>
      <c r="AN4" t="n">
        <v>174000327.109173</v>
      </c>
      <c r="AO4" t="n">
        <v>2188554321.86129</v>
      </c>
      <c r="AP4" t="n">
        <v>382351419.052459</v>
      </c>
      <c r="AQ4" t="n">
        <v>6868907692.66043</v>
      </c>
      <c r="AR4" t="n">
        <v>3241670783.93463</v>
      </c>
      <c r="AS4" t="n">
        <v>11104866987.6191</v>
      </c>
      <c r="AT4" t="n">
        <v>140424307.063757</v>
      </c>
      <c r="AU4" t="n">
        <v>4483064135.08458</v>
      </c>
      <c r="AV4" t="n">
        <v>-107219544.159544</v>
      </c>
      <c r="AW4" t="n">
        <v>59247789307.1766</v>
      </c>
      <c r="AX4" t="n">
        <v>7434369569.72977</v>
      </c>
      <c r="AY4" t="n">
        <v>2921390085.94166</v>
      </c>
      <c r="AZ4" t="n">
        <v>2629981648.2331</v>
      </c>
      <c r="BA4" t="n">
        <v>4631227912.08675</v>
      </c>
      <c r="BB4" t="n">
        <v>11550830308.7872</v>
      </c>
      <c r="BC4" t="n">
        <v>1298505341.95305</v>
      </c>
      <c r="BD4" t="n">
        <v>4639713623.55828</v>
      </c>
      <c r="BE4" t="n">
        <v>385402922.755741</v>
      </c>
      <c r="BF4" t="n">
        <v>939766544.57061</v>
      </c>
      <c r="BG4" t="n">
        <v>4105815184.90674</v>
      </c>
      <c r="BH4" t="n">
        <v>1509155932.1259</v>
      </c>
      <c r="BI4" t="n">
        <v>220853641.682639</v>
      </c>
      <c r="BJ4" t="n">
        <v>268510833.60562</v>
      </c>
      <c r="BK4" t="n">
        <v>1061312157.94006</v>
      </c>
      <c r="BL4" t="n">
        <v>360202587.804196</v>
      </c>
      <c r="BM4" t="n">
        <v>1347108102.69885</v>
      </c>
      <c r="BN4" t="n">
        <v>2379789496.55434</v>
      </c>
      <c r="BO4" t="n">
        <v>3469492665.27715</v>
      </c>
      <c r="BP4" t="n">
        <v>8953058542.72945</v>
      </c>
      <c r="BQ4" t="n">
        <v>8836640922.73984</v>
      </c>
      <c r="BR4" t="n">
        <v>714022690.149122</v>
      </c>
      <c r="BS4" t="n">
        <v>6160701048.69197</v>
      </c>
      <c r="BT4" t="n">
        <v>915502561.853431</v>
      </c>
    </row>
    <row r="5">
      <c r="A5" t="s">
        <v>200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201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2.71" hidden="0" customWidth="1"/>
  </cols>
  <sheetData>
    <row r="1">
      <c r="A1" t="s">
        <v>203</v>
      </c>
      <c r="B1" t="s">
        <v>204</v>
      </c>
    </row>
    <row r="2">
      <c r="A2" t="s">
        <v>129</v>
      </c>
      <c r="B2" t="str">
        <f>SUM(INDEX('1_Source_ValueAdded'!$B$2:$BT$7, 0, MATCH($A2, '1_Source_ValueAdded'!$B$1:$BT$1, 0)))</f>
      </c>
    </row>
    <row r="3">
      <c r="A3" t="s">
        <v>130</v>
      </c>
      <c r="B3" t="str">
        <f>SUM(INDEX('1_Source_ValueAdded'!$B$2:$BT$7, 0, MATCH($A3, '1_Source_ValueAdded'!$B$1:$BT$1, 0)))</f>
      </c>
    </row>
    <row r="4">
      <c r="A4" t="s">
        <v>131</v>
      </c>
      <c r="B4" t="str">
        <f>SUM(INDEX('1_Source_ValueAdded'!$B$2:$BT$7, 0, MATCH($A4, '1_Source_ValueAdded'!$B$1:$BT$1, 0)))</f>
      </c>
    </row>
    <row r="5">
      <c r="A5" t="s">
        <v>132</v>
      </c>
      <c r="B5" t="str">
        <f>SUM(INDEX('1_Source_ValueAdded'!$B$2:$BT$7, 0, MATCH($A5, '1_Source_ValueAdded'!$B$1:$BT$1, 0)))</f>
      </c>
    </row>
    <row r="6">
      <c r="A6" t="s">
        <v>133</v>
      </c>
      <c r="B6" t="str">
        <f>SUM(INDEX('1_Source_ValueAdded'!$B$2:$BT$7, 0, MATCH($A6, '1_Source_ValueAdded'!$B$1:$BT$1, 0)))</f>
      </c>
    </row>
    <row r="7">
      <c r="A7" t="s">
        <v>134</v>
      </c>
      <c r="B7" t="str">
        <f>SUM(INDEX('1_Source_ValueAdded'!$B$2:$BT$7, 0, MATCH($A7, '1_Source_ValueAdded'!$B$1:$BT$1, 0)))</f>
      </c>
    </row>
    <row r="8">
      <c r="A8" t="s">
        <v>135</v>
      </c>
      <c r="B8" t="str">
        <f>SUM(INDEX('1_Source_ValueAdded'!$B$2:$BT$7, 0, MATCH($A8, '1_Source_ValueAdded'!$B$1:$BT$1, 0)))</f>
      </c>
    </row>
    <row r="9">
      <c r="A9" t="s">
        <v>136</v>
      </c>
      <c r="B9" t="str">
        <f>SUM(INDEX('1_Source_ValueAdded'!$B$2:$BT$7, 0, MATCH($A9, '1_Source_ValueAdded'!$B$1:$BT$1, 0)))</f>
      </c>
    </row>
    <row r="10">
      <c r="A10" t="s">
        <v>137</v>
      </c>
      <c r="B10" t="str">
        <f>SUM(INDEX('1_Source_ValueAdded'!$B$2:$BT$7, 0, MATCH($A10, '1_Source_ValueAdded'!$B$1:$BT$1, 0)))</f>
      </c>
    </row>
    <row r="11">
      <c r="A11" t="s">
        <v>138</v>
      </c>
      <c r="B11" t="str">
        <f>SUM(INDEX('1_Source_ValueAdded'!$B$2:$BT$7, 0, MATCH($A11, '1_Source_ValueAdded'!$B$1:$BT$1, 0)))</f>
      </c>
    </row>
    <row r="12">
      <c r="A12" t="s">
        <v>139</v>
      </c>
      <c r="B12" t="str">
        <f>SUM(INDEX('1_Source_ValueAdded'!$B$2:$BT$7, 0, MATCH($A12, '1_Source_ValueAdded'!$B$1:$BT$1, 0)))</f>
      </c>
    </row>
    <row r="13">
      <c r="A13" t="s">
        <v>140</v>
      </c>
      <c r="B13" t="str">
        <f>SUM(INDEX('1_Source_ValueAdded'!$B$2:$BT$7, 0, MATCH($A13, '1_Source_ValueAdded'!$B$1:$BT$1, 0)))</f>
      </c>
    </row>
    <row r="14">
      <c r="A14" t="s">
        <v>141</v>
      </c>
      <c r="B14" t="str">
        <f>SUM(INDEX('1_Source_ValueAdded'!$B$2:$BT$7, 0, MATCH($A14, '1_Source_ValueAdded'!$B$1:$BT$1, 0)))</f>
      </c>
    </row>
    <row r="15">
      <c r="A15" t="s">
        <v>142</v>
      </c>
      <c r="B15" t="str">
        <f>SUM(INDEX('1_Source_ValueAdded'!$B$2:$BT$7, 0, MATCH($A15, '1_Source_ValueAdded'!$B$1:$BT$1, 0)))</f>
      </c>
    </row>
    <row r="16">
      <c r="A16" t="s">
        <v>143</v>
      </c>
      <c r="B16" t="str">
        <f>SUM(INDEX('1_Source_ValueAdded'!$B$2:$BT$7, 0, MATCH($A16, '1_Source_ValueAdded'!$B$1:$BT$1, 0)))</f>
      </c>
    </row>
    <row r="17">
      <c r="A17" t="s">
        <v>144</v>
      </c>
      <c r="B17" t="str">
        <f>SUM(INDEX('1_Source_ValueAdded'!$B$2:$BT$7, 0, MATCH($A17, '1_Source_ValueAdded'!$B$1:$BT$1, 0)))</f>
      </c>
    </row>
    <row r="18">
      <c r="A18" t="s">
        <v>145</v>
      </c>
      <c r="B18" t="str">
        <f>SUM(INDEX('1_Source_ValueAdded'!$B$2:$BT$7, 0, MATCH($A18, '1_Source_ValueAdded'!$B$1:$BT$1, 0)))</f>
      </c>
    </row>
    <row r="19">
      <c r="A19" t="s">
        <v>146</v>
      </c>
      <c r="B19" t="str">
        <f>SUM(INDEX('1_Source_ValueAdded'!$B$2:$BT$7, 0, MATCH($A19, '1_Source_ValueAdded'!$B$1:$BT$1, 0)))</f>
      </c>
    </row>
    <row r="20">
      <c r="A20" t="s">
        <v>147</v>
      </c>
      <c r="B20" t="str">
        <f>SUM(INDEX('1_Source_ValueAdded'!$B$2:$BT$7, 0, MATCH($A20, '1_Source_ValueAdded'!$B$1:$BT$1, 0)))</f>
      </c>
    </row>
    <row r="21">
      <c r="A21" t="s">
        <v>148</v>
      </c>
      <c r="B21" t="str">
        <f>SUM(INDEX('1_Source_ValueAdded'!$B$2:$BT$7, 0, MATCH($A21, '1_Source_ValueAdded'!$B$1:$BT$1, 0)))</f>
      </c>
    </row>
    <row r="22">
      <c r="A22" t="s">
        <v>149</v>
      </c>
      <c r="B22" t="str">
        <f>SUM(INDEX('1_Source_ValueAdded'!$B$2:$BT$7, 0, MATCH($A22, '1_Source_ValueAdded'!$B$1:$BT$1, 0)))</f>
      </c>
    </row>
    <row r="23">
      <c r="A23" t="s">
        <v>150</v>
      </c>
      <c r="B23" t="str">
        <f>SUM(INDEX('1_Source_ValueAdded'!$B$2:$BT$7, 0, MATCH($A23, '1_Source_ValueAdded'!$B$1:$BT$1, 0)))</f>
      </c>
    </row>
    <row r="24">
      <c r="A24" t="s">
        <v>151</v>
      </c>
      <c r="B24" t="str">
        <f>SUM(INDEX('1_Source_ValueAdded'!$B$2:$BT$7, 0, MATCH($A24, '1_Source_ValueAdded'!$B$1:$BT$1, 0)))</f>
      </c>
    </row>
    <row r="25">
      <c r="A25" t="s">
        <v>152</v>
      </c>
      <c r="B25" t="str">
        <f>SUM(INDEX('1_Source_ValueAdded'!$B$2:$BT$7, 0, MATCH($A25, '1_Source_ValueAdded'!$B$1:$BT$1, 0)))</f>
      </c>
    </row>
    <row r="26">
      <c r="A26" t="s">
        <v>153</v>
      </c>
      <c r="B26" t="str">
        <f>SUM(INDEX('1_Source_ValueAdded'!$B$2:$BT$7, 0, MATCH($A26, '1_Source_ValueAdded'!$B$1:$BT$1, 0)))</f>
      </c>
    </row>
    <row r="27">
      <c r="A27" t="s">
        <v>154</v>
      </c>
      <c r="B27" t="str">
        <f>SUM(INDEX('1_Source_ValueAdded'!$B$2:$BT$7, 0, MATCH($A27, '1_Source_ValueAdded'!$B$1:$BT$1, 0)))</f>
      </c>
    </row>
    <row r="28">
      <c r="A28" t="s">
        <v>155</v>
      </c>
      <c r="B28" t="str">
        <f>SUM(INDEX('1_Source_ValueAdded'!$B$2:$BT$7, 0, MATCH($A28, '1_Source_ValueAdded'!$B$1:$BT$1, 0)))</f>
      </c>
    </row>
    <row r="29">
      <c r="A29" t="s">
        <v>156</v>
      </c>
      <c r="B29" t="str">
        <f>SUM(INDEX('1_Source_ValueAdded'!$B$2:$BT$7, 0, MATCH($A29, '1_Source_ValueAdded'!$B$1:$BT$1, 0)))</f>
      </c>
    </row>
    <row r="30">
      <c r="A30" t="s">
        <v>157</v>
      </c>
      <c r="B30" t="str">
        <f>SUM(INDEX('1_Source_ValueAdded'!$B$2:$BT$7, 0, MATCH($A30, '1_Source_ValueAdded'!$B$1:$BT$1, 0)))</f>
      </c>
    </row>
    <row r="31">
      <c r="A31" t="s">
        <v>158</v>
      </c>
      <c r="B31" t="str">
        <f>SUM(INDEX('1_Source_ValueAdded'!$B$2:$BT$7, 0, MATCH($A31, '1_Source_ValueAdded'!$B$1:$BT$1, 0)))</f>
      </c>
    </row>
    <row r="32">
      <c r="A32" t="s">
        <v>159</v>
      </c>
      <c r="B32" t="str">
        <f>SUM(INDEX('1_Source_ValueAdded'!$B$2:$BT$7, 0, MATCH($A32, '1_Source_ValueAdded'!$B$1:$BT$1, 0)))</f>
      </c>
    </row>
    <row r="33">
      <c r="A33" t="s">
        <v>160</v>
      </c>
      <c r="B33" t="str">
        <f>SUM(INDEX('1_Source_ValueAdded'!$B$2:$BT$7, 0, MATCH($A33, '1_Source_ValueAdded'!$B$1:$BT$1, 0)))</f>
      </c>
    </row>
    <row r="34">
      <c r="A34" t="s">
        <v>161</v>
      </c>
      <c r="B34" t="str">
        <f>SUM(INDEX('1_Source_ValueAdded'!$B$2:$BT$7, 0, MATCH($A34, '1_Source_ValueAdded'!$B$1:$BT$1, 0)))</f>
      </c>
    </row>
    <row r="35">
      <c r="A35" t="s">
        <v>162</v>
      </c>
      <c r="B35" t="str">
        <f>SUM(INDEX('1_Source_ValueAdded'!$B$2:$BT$7, 0, MATCH($A35, '1_Source_ValueAdded'!$B$1:$BT$1, 0)))</f>
      </c>
    </row>
    <row r="36">
      <c r="A36" t="s">
        <v>163</v>
      </c>
      <c r="B36" t="str">
        <f>SUM(INDEX('1_Source_ValueAdded'!$B$2:$BT$7, 0, MATCH($A36, '1_Source_ValueAdded'!$B$1:$BT$1, 0)))</f>
      </c>
    </row>
    <row r="37">
      <c r="A37" t="s">
        <v>164</v>
      </c>
      <c r="B37" t="str">
        <f>SUM(INDEX('1_Source_ValueAdded'!$B$2:$BT$7, 0, MATCH($A37, '1_Source_ValueAdded'!$B$1:$BT$1, 0)))</f>
      </c>
    </row>
    <row r="38">
      <c r="A38" t="s">
        <v>165</v>
      </c>
      <c r="B38" t="str">
        <f>SUM(INDEX('1_Source_ValueAdded'!$B$2:$BT$7, 0, MATCH($A38, '1_Source_ValueAdded'!$B$1:$BT$1, 0)))</f>
      </c>
    </row>
    <row r="39">
      <c r="A39" t="s">
        <v>166</v>
      </c>
      <c r="B39" t="str">
        <f>SUM(INDEX('1_Source_ValueAdded'!$B$2:$BT$7, 0, MATCH($A39, '1_Source_ValueAdded'!$B$1:$BT$1, 0)))</f>
      </c>
    </row>
    <row r="40">
      <c r="A40" t="s">
        <v>167</v>
      </c>
      <c r="B40" t="str">
        <f>SUM(INDEX('1_Source_ValueAdded'!$B$2:$BT$7, 0, MATCH($A40, '1_Source_ValueAdded'!$B$1:$BT$1, 0)))</f>
      </c>
    </row>
    <row r="41">
      <c r="A41" t="s">
        <v>168</v>
      </c>
      <c r="B41" t="str">
        <f>SUM(INDEX('1_Source_ValueAdded'!$B$2:$BT$7, 0, MATCH($A41, '1_Source_ValueAdded'!$B$1:$BT$1, 0)))</f>
      </c>
    </row>
    <row r="42">
      <c r="A42" t="s">
        <v>169</v>
      </c>
      <c r="B42" t="str">
        <f>SUM(INDEX('1_Source_ValueAdded'!$B$2:$BT$7, 0, MATCH($A42, '1_Source_ValueAdded'!$B$1:$BT$1, 0)))</f>
      </c>
    </row>
    <row r="43">
      <c r="A43" t="s">
        <v>170</v>
      </c>
      <c r="B43" t="str">
        <f>SUM(INDEX('1_Source_ValueAdded'!$B$2:$BT$7, 0, MATCH($A43, '1_Source_ValueAdded'!$B$1:$BT$1, 0)))</f>
      </c>
    </row>
    <row r="44">
      <c r="A44" t="s">
        <v>171</v>
      </c>
      <c r="B44" t="str">
        <f>SUM(INDEX('1_Source_ValueAdded'!$B$2:$BT$7, 0, MATCH($A44, '1_Source_ValueAdded'!$B$1:$BT$1, 0)))</f>
      </c>
    </row>
    <row r="45">
      <c r="A45" t="s">
        <v>172</v>
      </c>
      <c r="B45" t="str">
        <f>SUM(INDEX('1_Source_ValueAdded'!$B$2:$BT$7, 0, MATCH($A45, '1_Source_ValueAdded'!$B$1:$BT$1, 0)))</f>
      </c>
    </row>
    <row r="46">
      <c r="A46" t="s">
        <v>173</v>
      </c>
      <c r="B46" t="str">
        <f>SUM(INDEX('1_Source_ValueAdded'!$B$2:$BT$7, 0, MATCH($A46, '1_Source_ValueAdded'!$B$1:$BT$1, 0)))</f>
      </c>
    </row>
    <row r="47">
      <c r="A47" t="s">
        <v>174</v>
      </c>
      <c r="B47" t="str">
        <f>SUM(INDEX('1_Source_ValueAdded'!$B$2:$BT$7, 0, MATCH($A47, '1_Source_ValueAdded'!$B$1:$BT$1, 0)))</f>
      </c>
    </row>
    <row r="48">
      <c r="A48" t="s">
        <v>175</v>
      </c>
      <c r="B48" t="str">
        <f>SUM(INDEX('1_Source_ValueAdded'!$B$2:$BT$7, 0, MATCH($A48, '1_Source_ValueAdded'!$B$1:$BT$1, 0)))</f>
      </c>
    </row>
    <row r="49">
      <c r="A49" t="s">
        <v>176</v>
      </c>
      <c r="B49" t="str">
        <f>SUM(INDEX('1_Source_ValueAdded'!$B$2:$BT$7, 0, MATCH($A49, '1_Source_ValueAdded'!$B$1:$BT$1, 0)))</f>
      </c>
    </row>
    <row r="50">
      <c r="A50" t="s">
        <v>177</v>
      </c>
      <c r="B50" t="str">
        <f>SUM(INDEX('1_Source_ValueAdded'!$B$2:$BT$7, 0, MATCH($A50, '1_Source_ValueAdded'!$B$1:$BT$1, 0)))</f>
      </c>
    </row>
    <row r="51">
      <c r="A51" t="s">
        <v>178</v>
      </c>
      <c r="B51" t="str">
        <f>SUM(INDEX('1_Source_ValueAdded'!$B$2:$BT$7, 0, MATCH($A51, '1_Source_ValueAdded'!$B$1:$BT$1, 0)))</f>
      </c>
    </row>
    <row r="52">
      <c r="A52" t="s">
        <v>179</v>
      </c>
      <c r="B52" t="str">
        <f>SUM(INDEX('1_Source_ValueAdded'!$B$2:$BT$7, 0, MATCH($A52, '1_Source_ValueAdded'!$B$1:$BT$1, 0)))</f>
      </c>
    </row>
    <row r="53">
      <c r="A53" t="s">
        <v>180</v>
      </c>
      <c r="B53" t="str">
        <f>SUM(INDEX('1_Source_ValueAdded'!$B$2:$BT$7, 0, MATCH($A53, '1_Source_ValueAdded'!$B$1:$BT$1, 0)))</f>
      </c>
    </row>
    <row r="54">
      <c r="A54" t="s">
        <v>181</v>
      </c>
      <c r="B54" t="str">
        <f>SUM(INDEX('1_Source_ValueAdded'!$B$2:$BT$7, 0, MATCH($A54, '1_Source_ValueAdded'!$B$1:$BT$1, 0)))</f>
      </c>
    </row>
    <row r="55">
      <c r="A55" t="s">
        <v>182</v>
      </c>
      <c r="B55" t="str">
        <f>SUM(INDEX('1_Source_ValueAdded'!$B$2:$BT$7, 0, MATCH($A55, '1_Source_ValueAdded'!$B$1:$BT$1, 0)))</f>
      </c>
    </row>
    <row r="56">
      <c r="A56" t="s">
        <v>183</v>
      </c>
      <c r="B56" t="str">
        <f>SUM(INDEX('1_Source_ValueAdded'!$B$2:$BT$7, 0, MATCH($A56, '1_Source_ValueAdded'!$B$1:$BT$1, 0)))</f>
      </c>
    </row>
    <row r="57">
      <c r="A57" t="s">
        <v>184</v>
      </c>
      <c r="B57" t="str">
        <f>SUM(INDEX('1_Source_ValueAdded'!$B$2:$BT$7, 0, MATCH($A57, '1_Source_ValueAdded'!$B$1:$BT$1, 0)))</f>
      </c>
    </row>
    <row r="58">
      <c r="A58" t="s">
        <v>185</v>
      </c>
      <c r="B58" t="str">
        <f>SUM(INDEX('1_Source_ValueAdded'!$B$2:$BT$7, 0, MATCH($A58, '1_Source_ValueAdded'!$B$1:$BT$1, 0)))</f>
      </c>
    </row>
    <row r="59">
      <c r="A59" t="s">
        <v>186</v>
      </c>
      <c r="B59" t="str">
        <f>SUM(INDEX('1_Source_ValueAdded'!$B$2:$BT$7, 0, MATCH($A59, '1_Source_ValueAdded'!$B$1:$BT$1, 0)))</f>
      </c>
    </row>
    <row r="60">
      <c r="A60" t="s">
        <v>187</v>
      </c>
      <c r="B60" t="str">
        <f>SUM(INDEX('1_Source_ValueAdded'!$B$2:$BT$7, 0, MATCH($A60, '1_Source_ValueAdded'!$B$1:$BT$1, 0)))</f>
      </c>
    </row>
    <row r="61">
      <c r="A61" t="s">
        <v>188</v>
      </c>
      <c r="B61" t="str">
        <f>SUM(INDEX('1_Source_ValueAdded'!$B$2:$BT$7, 0, MATCH($A61, '1_Source_ValueAdded'!$B$1:$BT$1, 0)))</f>
      </c>
    </row>
    <row r="62">
      <c r="A62" t="s">
        <v>189</v>
      </c>
      <c r="B62" t="str">
        <f>SUM(INDEX('1_Source_ValueAdded'!$B$2:$BT$7, 0, MATCH($A62, '1_Source_ValueAdded'!$B$1:$BT$1, 0)))</f>
      </c>
    </row>
    <row r="63">
      <c r="A63" t="s">
        <v>190</v>
      </c>
      <c r="B63" t="str">
        <f>SUM(INDEX('1_Source_ValueAdded'!$B$2:$BT$7, 0, MATCH($A63, '1_Source_ValueAdded'!$B$1:$BT$1, 0)))</f>
      </c>
    </row>
    <row r="64">
      <c r="A64" t="s">
        <v>191</v>
      </c>
      <c r="B64" t="str">
        <f>SUM(INDEX('1_Source_ValueAdded'!$B$2:$BT$7, 0, MATCH($A64, '1_Source_ValueAdded'!$B$1:$BT$1, 0)))</f>
      </c>
    </row>
    <row r="65">
      <c r="A65" t="s">
        <v>192</v>
      </c>
      <c r="B65" t="str">
        <f>SUM(INDEX('1_Source_ValueAdded'!$B$2:$BT$7, 0, MATCH($A65, '1_Source_ValueAdded'!$B$1:$BT$1, 0)))</f>
      </c>
    </row>
    <row r="66">
      <c r="A66" t="s">
        <v>193</v>
      </c>
      <c r="B66" t="str">
        <f>SUM(INDEX('1_Source_ValueAdded'!$B$2:$BT$7, 0, MATCH($A66, '1_Source_ValueAdded'!$B$1:$BT$1, 0)))</f>
      </c>
    </row>
    <row r="67">
      <c r="A67" t="s">
        <v>194</v>
      </c>
      <c r="B67" t="str">
        <f>SUM(INDEX('1_Source_ValueAdded'!$B$2:$BT$7, 0, MATCH($A67, '1_Source_ValueAdded'!$B$1:$BT$1, 0)))</f>
      </c>
    </row>
    <row r="68">
      <c r="A68" t="s">
        <v>195</v>
      </c>
      <c r="B68" t="str">
        <f>SUM(INDEX('1_Source_ValueAdded'!$B$2:$BT$7, 0, MATCH($A68, '1_Source_ValueAdded'!$B$1:$BT$1, 0)))</f>
      </c>
    </row>
    <row r="69">
      <c r="A69" t="s">
        <v>196</v>
      </c>
      <c r="B69" t="str">
        <f>SUM(INDEX('1_Source_ValueAdded'!$B$2:$BT$7, 0, MATCH($A69, '1_Source_ValueAdded'!$B$1:$BT$1, 0)))</f>
      </c>
    </row>
    <row r="70">
      <c r="A70" t="s">
        <v>197</v>
      </c>
      <c r="B70" t="str">
        <f>SUM(INDEX('1_Source_ValueAdded'!$B$2:$BT$7, 0, MATCH($A70, '1_Source_ValueAdded'!$B$1:$BT$1, 0)))</f>
      </c>
    </row>
    <row r="71">
      <c r="A71" t="s">
        <v>198</v>
      </c>
      <c r="B71" t="str">
        <f>SUM(INDEX('1_Source_ValueAdded'!$B$2:$BT$7, 0, MATCH($A71, '1_Source_ValueAdded'!$B$1:$BT$1, 0)))</f>
      </c>
    </row>
    <row r="72">
      <c r="A72" t="s">
        <v>199</v>
      </c>
      <c r="B72" t="str">
        <f>SUM(INDEX('1_Source_ValueAdded'!$B$2:$BT$7, 0, MATCH($A72, '1_Source_ValueAdded'!$B$1:$BT$1, 0)))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205</v>
      </c>
    </row>
    <row r="2">
      <c r="A2" t="s">
        <v>206</v>
      </c>
    </row>
    <row r="3">
      <c r="A3" t="s">
        <v>207</v>
      </c>
    </row>
    <row r="4">
      <c r="A4" t="s">
        <v>208</v>
      </c>
    </row>
    <row r="5">
      <c r="A5" t="s">
        <v>209</v>
      </c>
    </row>
    <row r="6">
      <c r="A6" t="s">
        <v>1</v>
      </c>
    </row>
    <row r="8">
      <c r="A8" t="s">
        <v>210</v>
      </c>
      <c r="B8" t="s">
        <v>129</v>
      </c>
      <c r="C8" t="s">
        <v>130</v>
      </c>
      <c r="D8" t="s">
        <v>131</v>
      </c>
      <c r="E8" t="s">
        <v>132</v>
      </c>
      <c r="F8" t="s">
        <v>133</v>
      </c>
      <c r="G8" t="s">
        <v>134</v>
      </c>
      <c r="H8" t="s">
        <v>135</v>
      </c>
      <c r="I8" t="s">
        <v>136</v>
      </c>
      <c r="J8" t="s">
        <v>137</v>
      </c>
      <c r="K8" t="s">
        <v>138</v>
      </c>
      <c r="L8" t="s">
        <v>139</v>
      </c>
      <c r="M8" t="s">
        <v>140</v>
      </c>
      <c r="N8" t="s">
        <v>141</v>
      </c>
      <c r="O8" t="s">
        <v>142</v>
      </c>
      <c r="P8" t="s">
        <v>143</v>
      </c>
      <c r="Q8" t="s">
        <v>144</v>
      </c>
      <c r="R8" t="s">
        <v>145</v>
      </c>
      <c r="S8" t="s">
        <v>146</v>
      </c>
      <c r="T8" t="s">
        <v>147</v>
      </c>
      <c r="U8" t="s">
        <v>148</v>
      </c>
      <c r="V8" t="s">
        <v>149</v>
      </c>
      <c r="W8" t="s">
        <v>150</v>
      </c>
      <c r="X8" t="s">
        <v>151</v>
      </c>
      <c r="Y8" t="s">
        <v>152</v>
      </c>
      <c r="Z8" t="s">
        <v>153</v>
      </c>
      <c r="AA8" t="s">
        <v>154</v>
      </c>
      <c r="AB8" t="s">
        <v>155</v>
      </c>
      <c r="AC8" t="s">
        <v>156</v>
      </c>
      <c r="AD8" t="s">
        <v>157</v>
      </c>
      <c r="AE8" t="s">
        <v>158</v>
      </c>
      <c r="AF8" t="s">
        <v>159</v>
      </c>
      <c r="AG8" t="s">
        <v>160</v>
      </c>
      <c r="AH8" t="s">
        <v>161</v>
      </c>
      <c r="AI8" t="s">
        <v>162</v>
      </c>
      <c r="AJ8" t="s">
        <v>163</v>
      </c>
      <c r="AK8" t="s">
        <v>164</v>
      </c>
      <c r="AL8" t="s">
        <v>165</v>
      </c>
      <c r="AM8" t="s">
        <v>166</v>
      </c>
      <c r="AN8" t="s">
        <v>167</v>
      </c>
      <c r="AO8" t="s">
        <v>168</v>
      </c>
      <c r="AP8" t="s">
        <v>169</v>
      </c>
      <c r="AQ8" t="s">
        <v>170</v>
      </c>
      <c r="AR8" t="s">
        <v>171</v>
      </c>
      <c r="AS8" t="s">
        <v>172</v>
      </c>
      <c r="AT8" t="s">
        <v>173</v>
      </c>
      <c r="AU8" t="s">
        <v>174</v>
      </c>
      <c r="AV8" t="s">
        <v>175</v>
      </c>
      <c r="AW8" t="s">
        <v>176</v>
      </c>
      <c r="AX8" t="s">
        <v>177</v>
      </c>
      <c r="AY8" t="s">
        <v>178</v>
      </c>
      <c r="AZ8" t="s">
        <v>179</v>
      </c>
      <c r="BA8" t="s">
        <v>180</v>
      </c>
      <c r="BB8" t="s">
        <v>181</v>
      </c>
      <c r="BC8" t="s">
        <v>182</v>
      </c>
      <c r="BD8" t="s">
        <v>183</v>
      </c>
      <c r="BE8" t="s">
        <v>184</v>
      </c>
      <c r="BF8" t="s">
        <v>185</v>
      </c>
      <c r="BG8" t="s">
        <v>186</v>
      </c>
      <c r="BH8" t="s">
        <v>187</v>
      </c>
      <c r="BI8" t="s">
        <v>188</v>
      </c>
      <c r="BJ8" t="s">
        <v>189</v>
      </c>
      <c r="BK8" t="s">
        <v>190</v>
      </c>
      <c r="BL8" t="s">
        <v>191</v>
      </c>
      <c r="BM8" t="s">
        <v>192</v>
      </c>
      <c r="BN8" t="s">
        <v>193</v>
      </c>
      <c r="BO8" t="s">
        <v>194</v>
      </c>
      <c r="BP8" t="s">
        <v>195</v>
      </c>
      <c r="BQ8" t="s">
        <v>196</v>
      </c>
      <c r="BR8" t="s">
        <v>197</v>
      </c>
      <c r="BS8" t="s">
        <v>198</v>
      </c>
      <c r="BT8" t="s">
        <v>199</v>
      </c>
      <c r="BU8" t="s">
        <v>211</v>
      </c>
      <c r="BV8" t="s">
        <v>212</v>
      </c>
    </row>
    <row r="9">
      <c r="A9" t="s">
        <v>129</v>
      </c>
      <c r="B9" t="n">
        <v>3545232210.90773</v>
      </c>
      <c r="C9" t="n">
        <v>129961181.505566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61489.4063652243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18286367.6197407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130</v>
      </c>
      <c r="B10" t="n">
        <v>33053.8173828722</v>
      </c>
      <c r="C10" t="n">
        <v>625771445.798369</v>
      </c>
      <c r="D10" t="n">
        <v>0</v>
      </c>
      <c r="E10" t="n">
        <v>0</v>
      </c>
      <c r="F10" t="n">
        <v>0</v>
      </c>
      <c r="G10" t="n">
        <v>0</v>
      </c>
      <c r="H10" t="n">
        <v>801801.640818147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131</v>
      </c>
      <c r="B11" t="n">
        <v>0</v>
      </c>
      <c r="C11" t="n">
        <v>0</v>
      </c>
      <c r="D11" t="n">
        <v>11880.2089186721</v>
      </c>
      <c r="E11" t="n">
        <v>122121.159258353</v>
      </c>
      <c r="F11" t="n">
        <v>22083562.558998</v>
      </c>
      <c r="G11" t="n">
        <v>0</v>
      </c>
      <c r="H11" t="n">
        <v>2245307.76002955</v>
      </c>
      <c r="I11" t="n">
        <v>0</v>
      </c>
      <c r="J11" t="n">
        <v>0</v>
      </c>
      <c r="K11" t="n">
        <v>0</v>
      </c>
      <c r="L11" t="n">
        <v>0</v>
      </c>
      <c r="M11" t="n">
        <v>335654.396421707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84482645.8538941</v>
      </c>
      <c r="Z11" t="n">
        <v>398148.806654524</v>
      </c>
      <c r="AA11" t="n">
        <v>0</v>
      </c>
      <c r="AB11" t="n">
        <v>2098845.43456982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217677.951600711</v>
      </c>
      <c r="BB11" t="n">
        <v>1206634.57121875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132</v>
      </c>
      <c r="B12" t="n">
        <v>0</v>
      </c>
      <c r="C12" t="n">
        <v>0</v>
      </c>
      <c r="D12" t="n">
        <v>0</v>
      </c>
      <c r="E12" t="n">
        <v>2304643027.82847</v>
      </c>
      <c r="F12" t="n">
        <v>92742334.1288302</v>
      </c>
      <c r="G12" t="n">
        <v>0</v>
      </c>
      <c r="H12" t="n">
        <v>172075444.644867</v>
      </c>
      <c r="I12" t="n">
        <v>0</v>
      </c>
      <c r="J12" t="n">
        <v>3325246.20686935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1818649.24275459</v>
      </c>
      <c r="Z12" t="n">
        <v>30140507.7727177</v>
      </c>
      <c r="AA12" t="n">
        <v>0</v>
      </c>
      <c r="AB12" t="n">
        <v>7035526.12302172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43162.7369510535</v>
      </c>
      <c r="BB12" t="n">
        <v>1424370.31938476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133</v>
      </c>
      <c r="B13" t="n">
        <v>0</v>
      </c>
      <c r="C13" t="n">
        <v>0</v>
      </c>
      <c r="D13" t="n">
        <v>7.83878843990987</v>
      </c>
      <c r="E13" t="n">
        <v>0</v>
      </c>
      <c r="F13" t="n">
        <v>184091832.521103</v>
      </c>
      <c r="G13" t="n">
        <v>0</v>
      </c>
      <c r="H13" t="n">
        <v>12253041.6318549</v>
      </c>
      <c r="I13" t="n">
        <v>0</v>
      </c>
      <c r="J13" t="n">
        <v>0</v>
      </c>
      <c r="K13" t="n">
        <v>0</v>
      </c>
      <c r="L13" t="n">
        <v>504664.637462716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145297.625507021</v>
      </c>
      <c r="Z13" t="n">
        <v>0</v>
      </c>
      <c r="AA13" t="n">
        <v>0</v>
      </c>
      <c r="AB13" t="n">
        <v>680398.673669303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74785.1990455484</v>
      </c>
      <c r="BB13" t="n">
        <v>479505.099762634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134</v>
      </c>
      <c r="B14" t="n">
        <v>0</v>
      </c>
      <c r="C14" t="n">
        <v>0</v>
      </c>
      <c r="D14" t="n">
        <v>32.9369929091523</v>
      </c>
      <c r="E14" t="n">
        <v>0</v>
      </c>
      <c r="F14" t="n">
        <v>0</v>
      </c>
      <c r="G14" t="n">
        <v>12612121772.5274</v>
      </c>
      <c r="H14" t="n">
        <v>68377814.6266339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37449157.5174732</v>
      </c>
      <c r="AC14" t="n">
        <v>0</v>
      </c>
      <c r="AD14" t="n">
        <v>0</v>
      </c>
      <c r="AE14" t="n">
        <v>0</v>
      </c>
      <c r="AF14" t="n">
        <v>22434518.6462248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72499970.0571763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10317879.9564486</v>
      </c>
      <c r="BB14" t="n">
        <v>3072879.50276798</v>
      </c>
      <c r="BC14" t="n">
        <v>0</v>
      </c>
      <c r="BD14" t="n">
        <v>0</v>
      </c>
      <c r="BE14" t="n">
        <v>137531.356491738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111697920.787607</v>
      </c>
      <c r="BU14" t="n">
        <v>0</v>
      </c>
      <c r="BV14" t="n">
        <v>0</v>
      </c>
    </row>
    <row r="15">
      <c r="A15" t="s">
        <v>135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47164049947.5843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9831631.05653024</v>
      </c>
      <c r="BB15" t="n">
        <v>626392.006371733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27510519.0175757</v>
      </c>
      <c r="I16" t="n">
        <v>3807705712.89122</v>
      </c>
      <c r="J16" t="n">
        <v>3562797.65339285</v>
      </c>
      <c r="K16" t="n">
        <v>0</v>
      </c>
      <c r="L16" t="n">
        <v>9740088.28940885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13083408.717976</v>
      </c>
      <c r="S16" t="n">
        <v>0</v>
      </c>
      <c r="T16" t="n">
        <v>0</v>
      </c>
      <c r="U16" t="n">
        <v>0</v>
      </c>
      <c r="V16" t="n">
        <v>0</v>
      </c>
      <c r="W16" t="n">
        <v>265785.507013611</v>
      </c>
      <c r="X16" t="n">
        <v>0</v>
      </c>
      <c r="Y16" t="n">
        <v>0</v>
      </c>
      <c r="Z16" t="n">
        <v>808250.920381557</v>
      </c>
      <c r="AA16" t="n">
        <v>2949270.22207189</v>
      </c>
      <c r="AB16" t="n">
        <v>48143408.2807575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854846.636139359</v>
      </c>
      <c r="BB16" t="n">
        <v>4118806.51958055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11113006.2698117</v>
      </c>
      <c r="BV16" t="n">
        <v>0</v>
      </c>
    </row>
    <row r="17">
      <c r="A17" t="s">
        <v>137</v>
      </c>
      <c r="B17" t="n">
        <v>0</v>
      </c>
      <c r="C17" t="n">
        <v>0</v>
      </c>
      <c r="D17" t="n">
        <v>0</v>
      </c>
      <c r="E17" t="n">
        <v>10846638.6649391</v>
      </c>
      <c r="F17" t="n">
        <v>0</v>
      </c>
      <c r="G17" t="n">
        <v>0</v>
      </c>
      <c r="H17" t="n">
        <v>17835987.9218636</v>
      </c>
      <c r="I17" t="n">
        <v>228514.717437749</v>
      </c>
      <c r="J17" t="n">
        <v>2808497484.71723</v>
      </c>
      <c r="K17" t="n">
        <v>17353.0356163293</v>
      </c>
      <c r="L17" t="n">
        <v>710857.086887584</v>
      </c>
      <c r="M17" t="n">
        <v>167223.46140133</v>
      </c>
      <c r="N17" t="n">
        <v>0</v>
      </c>
      <c r="O17" t="n">
        <v>2190169.76803526</v>
      </c>
      <c r="P17" t="n">
        <v>136527.825330887</v>
      </c>
      <c r="Q17" t="n">
        <v>4256.13897217609</v>
      </c>
      <c r="R17" t="n">
        <v>1177338.90259023</v>
      </c>
      <c r="S17" t="n">
        <v>147073.084879879</v>
      </c>
      <c r="T17" t="n">
        <v>0</v>
      </c>
      <c r="U17" t="n">
        <v>267257.053195217</v>
      </c>
      <c r="V17" t="n">
        <v>642154.817096271</v>
      </c>
      <c r="W17" t="n">
        <v>289589.369843251</v>
      </c>
      <c r="X17" t="n">
        <v>0</v>
      </c>
      <c r="Y17" t="n">
        <v>1725660.91553788</v>
      </c>
      <c r="Z17" t="n">
        <v>1139353.41736931</v>
      </c>
      <c r="AA17" t="n">
        <v>2796846.93511976</v>
      </c>
      <c r="AB17" t="n">
        <v>25754870.5261765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777086.610703602</v>
      </c>
      <c r="BB17" t="n">
        <v>16004283.7680623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74008.2486384383</v>
      </c>
      <c r="BV17" t="n">
        <v>0</v>
      </c>
    </row>
    <row r="18">
      <c r="A18" t="s">
        <v>138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1496852.73004514</v>
      </c>
      <c r="I18" t="n">
        <v>0</v>
      </c>
      <c r="J18" t="n">
        <v>720533.586300136</v>
      </c>
      <c r="K18" t="n">
        <v>2024249679.11501</v>
      </c>
      <c r="L18" t="n">
        <v>10931208.2580298</v>
      </c>
      <c r="M18" t="n">
        <v>2053960.65300089</v>
      </c>
      <c r="N18" t="n">
        <v>4863.23934354964</v>
      </c>
      <c r="O18" t="n">
        <v>1653263.02204139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7319.64084208294</v>
      </c>
      <c r="V18" t="n">
        <v>0</v>
      </c>
      <c r="W18" t="n">
        <v>4356.18133321817</v>
      </c>
      <c r="X18" t="n">
        <v>0</v>
      </c>
      <c r="Y18" t="n">
        <v>8209412.18093269</v>
      </c>
      <c r="Z18" t="n">
        <v>1307265.51406279</v>
      </c>
      <c r="AA18" t="n">
        <v>0</v>
      </c>
      <c r="AB18" t="n">
        <v>5926563.24822749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584137.650749321</v>
      </c>
      <c r="BB18" t="n">
        <v>2865925.34898886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3121485.57119169</v>
      </c>
      <c r="BV18" t="n">
        <v>0</v>
      </c>
    </row>
    <row r="19">
      <c r="A19" t="s">
        <v>139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32127230.4595587</v>
      </c>
      <c r="I19" t="n">
        <v>1997862.37053877</v>
      </c>
      <c r="J19" t="n">
        <v>2744723.06640858</v>
      </c>
      <c r="K19" t="n">
        <v>40072276.8267576</v>
      </c>
      <c r="L19" t="n">
        <v>5179097312.22874</v>
      </c>
      <c r="M19" t="n">
        <v>48831077.8081261</v>
      </c>
      <c r="N19" t="n">
        <v>4684965.88344442</v>
      </c>
      <c r="O19" t="n">
        <v>2491438.14622261</v>
      </c>
      <c r="P19" t="n">
        <v>3500686.07241695</v>
      </c>
      <c r="Q19" t="n">
        <v>707488.557723825</v>
      </c>
      <c r="R19" t="n">
        <v>422537.149033903</v>
      </c>
      <c r="S19" t="n">
        <v>2673453.11321781</v>
      </c>
      <c r="T19" t="n">
        <v>0</v>
      </c>
      <c r="U19" t="n">
        <v>795236.929855959</v>
      </c>
      <c r="V19" t="n">
        <v>0</v>
      </c>
      <c r="W19" t="n">
        <v>8352.57866985202</v>
      </c>
      <c r="X19" t="n">
        <v>823775.139988683</v>
      </c>
      <c r="Y19" t="n">
        <v>36550.4750627155</v>
      </c>
      <c r="Z19" t="n">
        <v>477017.873104236</v>
      </c>
      <c r="AA19" t="n">
        <v>6561771.60584206</v>
      </c>
      <c r="AB19" t="n">
        <v>45222832.3173199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3925046.2552402</v>
      </c>
      <c r="BB19" t="n">
        <v>35446559.7001013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4894193.47875629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41297786.0620797</v>
      </c>
      <c r="BV19" t="n">
        <v>0</v>
      </c>
    </row>
    <row r="20">
      <c r="A20" t="s">
        <v>140</v>
      </c>
      <c r="B20" t="n">
        <v>0</v>
      </c>
      <c r="C20" t="n">
        <v>0</v>
      </c>
      <c r="D20" t="n">
        <v>0</v>
      </c>
      <c r="E20" t="n">
        <v>0</v>
      </c>
      <c r="F20" t="n">
        <v>6031.98186257565</v>
      </c>
      <c r="G20" t="n">
        <v>0</v>
      </c>
      <c r="H20" t="n">
        <v>3969044.06557478</v>
      </c>
      <c r="I20" t="n">
        <v>0</v>
      </c>
      <c r="J20" t="n">
        <v>249917.55904933</v>
      </c>
      <c r="K20" t="n">
        <v>90015.7396760611</v>
      </c>
      <c r="L20" t="n">
        <v>10659978.0709909</v>
      </c>
      <c r="M20" t="n">
        <v>4366113182.33337</v>
      </c>
      <c r="N20" t="n">
        <v>2410205.844424</v>
      </c>
      <c r="O20" t="n">
        <v>6862963.61648837</v>
      </c>
      <c r="P20" t="n">
        <v>1931155.79601778</v>
      </c>
      <c r="Q20" t="n">
        <v>1070485.98742687</v>
      </c>
      <c r="R20" t="n">
        <v>31199.5929429385</v>
      </c>
      <c r="S20" t="n">
        <v>473864.90630389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688758.06353648</v>
      </c>
      <c r="AA20" t="n">
        <v>71281.3257842431</v>
      </c>
      <c r="AB20" t="n">
        <v>30539924.1702205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78415.7642134834</v>
      </c>
      <c r="AZ20" t="n">
        <v>0</v>
      </c>
      <c r="BA20" t="n">
        <v>3769988.66410978</v>
      </c>
      <c r="BB20" t="n">
        <v>54848811.0764004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1869914.37739845</v>
      </c>
      <c r="BV20" t="n">
        <v>0</v>
      </c>
    </row>
    <row r="21">
      <c r="A21" t="s">
        <v>141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206259.582704357</v>
      </c>
      <c r="I21" t="n">
        <v>0</v>
      </c>
      <c r="J21" t="n">
        <v>47879.1947802888</v>
      </c>
      <c r="K21" t="n">
        <v>183151.301468939</v>
      </c>
      <c r="L21" t="n">
        <v>390875.700021784</v>
      </c>
      <c r="M21" t="n">
        <v>2540072.99774525</v>
      </c>
      <c r="N21" t="n">
        <v>3078919714.23715</v>
      </c>
      <c r="O21" t="n">
        <v>941860.931413644</v>
      </c>
      <c r="P21" t="n">
        <v>7924.25848694331</v>
      </c>
      <c r="Q21" t="n">
        <v>1473185.27585945</v>
      </c>
      <c r="R21" t="n">
        <v>0</v>
      </c>
      <c r="S21" t="n">
        <v>7642859.84020595</v>
      </c>
      <c r="T21" t="n">
        <v>0</v>
      </c>
      <c r="U21" t="n">
        <v>19839.8910128258</v>
      </c>
      <c r="V21" t="n">
        <v>0</v>
      </c>
      <c r="W21" t="n">
        <v>1664.88908056552</v>
      </c>
      <c r="X21" t="n">
        <v>3618.58917025188</v>
      </c>
      <c r="Y21" t="n">
        <v>0</v>
      </c>
      <c r="Z21" t="n">
        <v>769877.38029622</v>
      </c>
      <c r="AA21" t="n">
        <v>340254.526920799</v>
      </c>
      <c r="AB21" t="n">
        <v>9162267.77907776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4233749.3291947</v>
      </c>
      <c r="BB21" t="n">
        <v>192353344.523079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842526.348139073</v>
      </c>
      <c r="I22" t="n">
        <v>0</v>
      </c>
      <c r="J22" t="n">
        <v>1400619.30531084</v>
      </c>
      <c r="K22" t="n">
        <v>6831794.70083476</v>
      </c>
      <c r="L22" t="n">
        <v>2397319.05430951</v>
      </c>
      <c r="M22" t="n">
        <v>6021131.71944562</v>
      </c>
      <c r="N22" t="n">
        <v>2050465.52975486</v>
      </c>
      <c r="O22" t="n">
        <v>2216101367.71011</v>
      </c>
      <c r="P22" t="n">
        <v>1250776.74374139</v>
      </c>
      <c r="Q22" t="n">
        <v>0</v>
      </c>
      <c r="R22" t="n">
        <v>57789.28034042</v>
      </c>
      <c r="S22" t="n">
        <v>171559.563450252</v>
      </c>
      <c r="T22" t="n">
        <v>0</v>
      </c>
      <c r="U22" t="n">
        <v>0</v>
      </c>
      <c r="V22" t="n">
        <v>0</v>
      </c>
      <c r="W22" t="n">
        <v>377280.179378128</v>
      </c>
      <c r="X22" t="n">
        <v>0</v>
      </c>
      <c r="Y22" t="n">
        <v>64297.4074788328</v>
      </c>
      <c r="Z22" t="n">
        <v>11157.0621855642</v>
      </c>
      <c r="AA22" t="n">
        <v>1154863.74361198</v>
      </c>
      <c r="AB22" t="n">
        <v>25235186.7647438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1888071.09342009</v>
      </c>
      <c r="BB22" t="n">
        <v>29133139.9898692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6324097.74670729</v>
      </c>
      <c r="I23" t="n">
        <v>0</v>
      </c>
      <c r="J23" t="n">
        <v>0</v>
      </c>
      <c r="K23" t="n">
        <v>608945.52480331</v>
      </c>
      <c r="L23" t="n">
        <v>17920792.6836035</v>
      </c>
      <c r="M23" t="n">
        <v>27183511.1013782</v>
      </c>
      <c r="N23" t="n">
        <v>555909.057461672</v>
      </c>
      <c r="O23" t="n">
        <v>2083464.26409129</v>
      </c>
      <c r="P23" t="n">
        <v>7719303314.33766</v>
      </c>
      <c r="Q23" t="n">
        <v>9709328.67356154</v>
      </c>
      <c r="R23" t="n">
        <v>0</v>
      </c>
      <c r="S23" t="n">
        <v>285070.103278677</v>
      </c>
      <c r="T23" t="n">
        <v>0</v>
      </c>
      <c r="U23" t="n">
        <v>4675551.42173561</v>
      </c>
      <c r="V23" t="n">
        <v>0</v>
      </c>
      <c r="W23" t="n">
        <v>0</v>
      </c>
      <c r="X23" t="n">
        <v>0</v>
      </c>
      <c r="Y23" t="n">
        <v>0</v>
      </c>
      <c r="Z23" t="n">
        <v>124008.330255824</v>
      </c>
      <c r="AA23" t="n">
        <v>2388989.64515357</v>
      </c>
      <c r="AB23" t="n">
        <v>35520158.4109816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3202074.80845939</v>
      </c>
      <c r="BB23" t="n">
        <v>164849672.728364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4231313.1397499</v>
      </c>
      <c r="BV23" t="n">
        <v>0</v>
      </c>
    </row>
    <row r="24">
      <c r="A24" t="s">
        <v>144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18817607.0738474</v>
      </c>
      <c r="I24" t="n">
        <v>0</v>
      </c>
      <c r="J24" t="n">
        <v>0</v>
      </c>
      <c r="K24" t="n">
        <v>18319.9844317366</v>
      </c>
      <c r="L24" t="n">
        <v>4533204.24859531</v>
      </c>
      <c r="M24" t="n">
        <v>11923835.4018978</v>
      </c>
      <c r="N24" t="n">
        <v>14170604.9841887</v>
      </c>
      <c r="O24" t="n">
        <v>8250872.8079902</v>
      </c>
      <c r="P24" t="n">
        <v>16132634.8198387</v>
      </c>
      <c r="Q24" t="n">
        <v>9626328216.02503</v>
      </c>
      <c r="R24" t="n">
        <v>0</v>
      </c>
      <c r="S24" t="n">
        <v>325621.17682358</v>
      </c>
      <c r="T24" t="n">
        <v>0</v>
      </c>
      <c r="U24" t="n">
        <v>0</v>
      </c>
      <c r="V24" t="n">
        <v>44803.2148958627</v>
      </c>
      <c r="W24" t="n">
        <v>0</v>
      </c>
      <c r="X24" t="n">
        <v>0</v>
      </c>
      <c r="Y24" t="n">
        <v>0</v>
      </c>
      <c r="Z24" t="n">
        <v>481440.002228192</v>
      </c>
      <c r="AA24" t="n">
        <v>2204594.22091808</v>
      </c>
      <c r="AB24" t="n">
        <v>30603028.8052189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12414845.7280746</v>
      </c>
      <c r="BB24" t="n">
        <v>305900062.397699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868171.02993529</v>
      </c>
      <c r="BV24" t="n">
        <v>0</v>
      </c>
    </row>
    <row r="25">
      <c r="A25" t="s">
        <v>145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9314751.12345141</v>
      </c>
      <c r="I25" t="n">
        <v>5686142.99250549</v>
      </c>
      <c r="J25" t="n">
        <v>710977.934894665</v>
      </c>
      <c r="K25" t="n">
        <v>503314.893855348</v>
      </c>
      <c r="L25" t="n">
        <v>2418565.77623822</v>
      </c>
      <c r="M25" t="n">
        <v>1851150.39633699</v>
      </c>
      <c r="N25" t="n">
        <v>193811.116418475</v>
      </c>
      <c r="O25" t="n">
        <v>683473.222151321</v>
      </c>
      <c r="P25" t="n">
        <v>0</v>
      </c>
      <c r="Q25" t="n">
        <v>0</v>
      </c>
      <c r="R25" t="n">
        <v>1889730210.5161</v>
      </c>
      <c r="S25" t="n">
        <v>4528783.52716381</v>
      </c>
      <c r="T25" t="n">
        <v>0</v>
      </c>
      <c r="U25" t="n">
        <v>1146901.37720508</v>
      </c>
      <c r="V25" t="n">
        <v>79398.1470187113</v>
      </c>
      <c r="W25" t="n">
        <v>16614.8030293567</v>
      </c>
      <c r="X25" t="n">
        <v>158645.396263163</v>
      </c>
      <c r="Y25" t="n">
        <v>0</v>
      </c>
      <c r="Z25" t="n">
        <v>237433.270570218</v>
      </c>
      <c r="AA25" t="n">
        <v>297715.046999377</v>
      </c>
      <c r="AB25" t="n">
        <v>19468056.4842938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1359817.68225568</v>
      </c>
      <c r="BB25" t="n">
        <v>6141843.19818816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3218652.08683267</v>
      </c>
      <c r="I26" t="n">
        <v>281704.393974534</v>
      </c>
      <c r="J26" t="n">
        <v>178522.228425318</v>
      </c>
      <c r="K26" t="n">
        <v>37031.067228042</v>
      </c>
      <c r="L26" t="n">
        <v>3941085.39948986</v>
      </c>
      <c r="M26" t="n">
        <v>1301395.0526947</v>
      </c>
      <c r="N26" t="n">
        <v>3539993.32204471</v>
      </c>
      <c r="O26" t="n">
        <v>176956.675357793</v>
      </c>
      <c r="P26" t="n">
        <v>21201.1363670694</v>
      </c>
      <c r="Q26" t="n">
        <v>66940.4995957087</v>
      </c>
      <c r="R26" t="n">
        <v>1002221.33770793</v>
      </c>
      <c r="S26" t="n">
        <v>1386388312.09225</v>
      </c>
      <c r="T26" t="n">
        <v>3754.65472601083</v>
      </c>
      <c r="U26" t="n">
        <v>213467.721681961</v>
      </c>
      <c r="V26" t="n">
        <v>5858790.09496013</v>
      </c>
      <c r="W26" t="n">
        <v>168123.617659997</v>
      </c>
      <c r="X26" t="n">
        <v>2011056.16187751</v>
      </c>
      <c r="Y26" t="n">
        <v>2343.86071504805</v>
      </c>
      <c r="Z26" t="n">
        <v>981541.268782377</v>
      </c>
      <c r="AA26" t="n">
        <v>2232049.23419932</v>
      </c>
      <c r="AB26" t="n">
        <v>26990490.5936192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1693520.97842317</v>
      </c>
      <c r="BB26" t="n">
        <v>65364136.4001623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22597160.9738566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479988.6907378</v>
      </c>
      <c r="T27" t="n">
        <v>57720256771.3846</v>
      </c>
      <c r="U27" t="n">
        <v>0</v>
      </c>
      <c r="V27" t="n">
        <v>88097904.3189403</v>
      </c>
      <c r="W27" t="n">
        <v>2990439.18987441</v>
      </c>
      <c r="X27" t="n">
        <v>0</v>
      </c>
      <c r="Y27" t="n">
        <v>2092641.98910771</v>
      </c>
      <c r="Z27" t="n">
        <v>267873693.969827</v>
      </c>
      <c r="AA27" t="n">
        <v>0</v>
      </c>
      <c r="AB27" t="n">
        <v>1516064072.60965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17589835.5307861</v>
      </c>
      <c r="BB27" t="n">
        <v>370285296.867059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738977.756615094</v>
      </c>
      <c r="I28" t="n">
        <v>0</v>
      </c>
      <c r="J28" t="n">
        <v>33498.0401258902</v>
      </c>
      <c r="K28" t="n">
        <v>0</v>
      </c>
      <c r="L28" t="n">
        <v>1354927.33242834</v>
      </c>
      <c r="M28" t="n">
        <v>155456.595698257</v>
      </c>
      <c r="N28" t="n">
        <v>359272.576200694</v>
      </c>
      <c r="O28" t="n">
        <v>0</v>
      </c>
      <c r="P28" t="n">
        <v>4511582.16787859</v>
      </c>
      <c r="Q28" t="n">
        <v>0</v>
      </c>
      <c r="R28" t="n">
        <v>526623.120476463</v>
      </c>
      <c r="S28" t="n">
        <v>366960.050180534</v>
      </c>
      <c r="T28" t="n">
        <v>0</v>
      </c>
      <c r="U28" t="n">
        <v>1464638543.6909</v>
      </c>
      <c r="V28" t="n">
        <v>3359446.45028844</v>
      </c>
      <c r="W28" t="n">
        <v>15990.9040684304</v>
      </c>
      <c r="X28" t="n">
        <v>2620012.04618079</v>
      </c>
      <c r="Y28" t="n">
        <v>0</v>
      </c>
      <c r="Z28" t="n">
        <v>52581947.8087812</v>
      </c>
      <c r="AA28" t="n">
        <v>9188057.03220617</v>
      </c>
      <c r="AB28" t="n">
        <v>8750168.43628327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201539.388167753</v>
      </c>
      <c r="BB28" t="n">
        <v>4736175.62194219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6489.74630011945</v>
      </c>
      <c r="I29" t="n">
        <v>0</v>
      </c>
      <c r="J29" t="n">
        <v>127935.769352095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76610.2375207585</v>
      </c>
      <c r="T29" t="n">
        <v>636951.202280083</v>
      </c>
      <c r="U29" t="n">
        <v>434910.701195523</v>
      </c>
      <c r="V29" t="n">
        <v>159051626.184109</v>
      </c>
      <c r="W29" t="n">
        <v>0</v>
      </c>
      <c r="X29" t="n">
        <v>55162.8435510153</v>
      </c>
      <c r="Y29" t="n">
        <v>0</v>
      </c>
      <c r="Z29" t="n">
        <v>639081.866632505</v>
      </c>
      <c r="AA29" t="n">
        <v>7412.12308498092</v>
      </c>
      <c r="AB29" t="n">
        <v>1216827.4312724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58407.716701075</v>
      </c>
      <c r="BB29" t="n">
        <v>756055.443963916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2237950.3105798</v>
      </c>
      <c r="I30" t="n">
        <v>6185281.01887838</v>
      </c>
      <c r="J30" t="n">
        <v>206097.384359598</v>
      </c>
      <c r="K30" t="n">
        <v>0</v>
      </c>
      <c r="L30" t="n">
        <v>0</v>
      </c>
      <c r="M30" t="n">
        <v>0</v>
      </c>
      <c r="N30" t="n">
        <v>1275236.32551429</v>
      </c>
      <c r="O30" t="n">
        <v>0</v>
      </c>
      <c r="P30" t="n">
        <v>0</v>
      </c>
      <c r="Q30" t="n">
        <v>0</v>
      </c>
      <c r="R30" t="n">
        <v>0</v>
      </c>
      <c r="S30" t="n">
        <v>212186.300796515</v>
      </c>
      <c r="T30" t="n">
        <v>0</v>
      </c>
      <c r="U30" t="n">
        <v>3617386.59181994</v>
      </c>
      <c r="V30" t="n">
        <v>0</v>
      </c>
      <c r="W30" t="n">
        <v>3957688666.32898</v>
      </c>
      <c r="X30" t="n">
        <v>4965452.25159894</v>
      </c>
      <c r="Y30" t="n">
        <v>0</v>
      </c>
      <c r="Z30" t="n">
        <v>497611.988943</v>
      </c>
      <c r="AA30" t="n">
        <v>7161530.88525723</v>
      </c>
      <c r="AB30" t="n">
        <v>29746089.5447899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1282159.03210301</v>
      </c>
      <c r="BB30" t="n">
        <v>18579649.9742927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11376247.412114</v>
      </c>
      <c r="BV30" t="n">
        <v>0</v>
      </c>
    </row>
    <row r="31">
      <c r="A31" t="s">
        <v>151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309812.472065749</v>
      </c>
      <c r="I31" t="n">
        <v>223138.262501692</v>
      </c>
      <c r="J31" t="n">
        <v>0</v>
      </c>
      <c r="K31" t="n">
        <v>0</v>
      </c>
      <c r="L31" t="n">
        <v>2104731.53633101</v>
      </c>
      <c r="M31" t="n">
        <v>2109287.94048922</v>
      </c>
      <c r="N31" t="n">
        <v>186706.277413096</v>
      </c>
      <c r="O31" t="n">
        <v>296898.639413525</v>
      </c>
      <c r="P31" t="n">
        <v>0</v>
      </c>
      <c r="Q31" t="n">
        <v>0</v>
      </c>
      <c r="R31" t="n">
        <v>254812.595825112</v>
      </c>
      <c r="S31" t="n">
        <v>17148091.1951644</v>
      </c>
      <c r="T31" t="n">
        <v>0</v>
      </c>
      <c r="U31" t="n">
        <v>6226399.20522285</v>
      </c>
      <c r="V31" t="n">
        <v>239509.742444959</v>
      </c>
      <c r="W31" t="n">
        <v>7282621.77657601</v>
      </c>
      <c r="X31" t="n">
        <v>1110404348.40977</v>
      </c>
      <c r="Y31" t="n">
        <v>0</v>
      </c>
      <c r="Z31" t="n">
        <v>0</v>
      </c>
      <c r="AA31" t="n">
        <v>3942966.16162419</v>
      </c>
      <c r="AB31" t="n">
        <v>12611190.0393822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3462609.98191131</v>
      </c>
      <c r="BB31" t="n">
        <v>302358748.473108</v>
      </c>
      <c r="BC31" t="n">
        <v>0</v>
      </c>
      <c r="BD31" t="n">
        <v>5102793.65755351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2897657.82696789</v>
      </c>
      <c r="BV31" t="n">
        <v>0</v>
      </c>
    </row>
    <row r="32">
      <c r="A32" t="s">
        <v>152</v>
      </c>
      <c r="B32" t="n">
        <v>0</v>
      </c>
      <c r="C32" t="n">
        <v>0</v>
      </c>
      <c r="D32" t="n">
        <v>0.0105435678517615</v>
      </c>
      <c r="E32" t="n">
        <v>43267.1301131734</v>
      </c>
      <c r="F32" t="n">
        <v>0</v>
      </c>
      <c r="G32" t="n">
        <v>0</v>
      </c>
      <c r="H32" t="n">
        <v>227833.162005346</v>
      </c>
      <c r="I32" t="n">
        <v>0</v>
      </c>
      <c r="J32" t="n">
        <v>162301.94654079</v>
      </c>
      <c r="K32" t="n">
        <v>83087.3517455841</v>
      </c>
      <c r="L32" t="n">
        <v>0</v>
      </c>
      <c r="M32" t="n">
        <v>0</v>
      </c>
      <c r="N32" t="n">
        <v>0</v>
      </c>
      <c r="O32" t="n">
        <v>5605.05660402116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1453438217.33606</v>
      </c>
      <c r="Z32" t="n">
        <v>35807430.8084585</v>
      </c>
      <c r="AA32" t="n">
        <v>0</v>
      </c>
      <c r="AB32" t="n">
        <v>10165115.4144894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36747.2841944107</v>
      </c>
      <c r="BB32" t="n">
        <v>576524.058694532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673941.874827151</v>
      </c>
      <c r="I33" t="n">
        <v>7311.11077247438</v>
      </c>
      <c r="J33" t="n">
        <v>400122.691700704</v>
      </c>
      <c r="K33" t="n">
        <v>16286.1980043308</v>
      </c>
      <c r="L33" t="n">
        <v>185027.441700837</v>
      </c>
      <c r="M33" t="n">
        <v>991774.229044439</v>
      </c>
      <c r="N33" t="n">
        <v>5395725.37439987</v>
      </c>
      <c r="O33" t="n">
        <v>143195.710747568</v>
      </c>
      <c r="P33" t="n">
        <v>1231.18800415235</v>
      </c>
      <c r="Q33" t="n">
        <v>0</v>
      </c>
      <c r="R33" t="n">
        <v>0</v>
      </c>
      <c r="S33" t="n">
        <v>14084398.7186845</v>
      </c>
      <c r="T33" t="n">
        <v>10462955.8232237</v>
      </c>
      <c r="U33" t="n">
        <v>4585.73661706317</v>
      </c>
      <c r="V33" t="n">
        <v>992599.675889397</v>
      </c>
      <c r="W33" t="n">
        <v>400243.084551454</v>
      </c>
      <c r="X33" t="n">
        <v>0</v>
      </c>
      <c r="Y33" t="n">
        <v>33159946.9376697</v>
      </c>
      <c r="Z33" t="n">
        <v>5458696812.73016</v>
      </c>
      <c r="AA33" t="n">
        <v>6911713.85944603</v>
      </c>
      <c r="AB33" t="n">
        <v>50070914.2599568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1784462.4484417</v>
      </c>
      <c r="BB33" t="n">
        <v>250040912.81716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2759914.94619775</v>
      </c>
      <c r="I34" t="n">
        <v>3199830.92414937</v>
      </c>
      <c r="J34" t="n">
        <v>710258.13322869</v>
      </c>
      <c r="K34" t="n">
        <v>132281.900174064</v>
      </c>
      <c r="L34" t="n">
        <v>10617737.157317</v>
      </c>
      <c r="M34" t="n">
        <v>9983426.9613298</v>
      </c>
      <c r="N34" t="n">
        <v>2952531.7705233</v>
      </c>
      <c r="O34" t="n">
        <v>6527870.64076465</v>
      </c>
      <c r="P34" t="n">
        <v>10554926.8631317</v>
      </c>
      <c r="Q34" t="n">
        <v>502701.364821175</v>
      </c>
      <c r="R34" t="n">
        <v>2863073.54509086</v>
      </c>
      <c r="S34" t="n">
        <v>33963885.5004051</v>
      </c>
      <c r="T34" t="n">
        <v>0</v>
      </c>
      <c r="U34" t="n">
        <v>13196393.3413145</v>
      </c>
      <c r="V34" t="n">
        <v>0</v>
      </c>
      <c r="W34" t="n">
        <v>8959839.39426778</v>
      </c>
      <c r="X34" t="n">
        <v>1048339.78576504</v>
      </c>
      <c r="Y34" t="n">
        <v>123870.833016369</v>
      </c>
      <c r="Z34" t="n">
        <v>37530216.6511037</v>
      </c>
      <c r="AA34" t="n">
        <v>6230825673.16026</v>
      </c>
      <c r="AB34" t="n">
        <v>44586532.9292721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3851044.1109736</v>
      </c>
      <c r="BB34" t="n">
        <v>36435156.2277113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4407306.03811423</v>
      </c>
      <c r="BV34" t="n">
        <v>0</v>
      </c>
    </row>
    <row r="35">
      <c r="A35" t="s">
        <v>155</v>
      </c>
      <c r="B35" t="n">
        <v>0</v>
      </c>
      <c r="C35" t="n">
        <v>3453906.56077031</v>
      </c>
      <c r="D35" t="n">
        <v>0</v>
      </c>
      <c r="E35" t="n">
        <v>0</v>
      </c>
      <c r="F35" t="n">
        <v>0</v>
      </c>
      <c r="G35" t="n">
        <v>0</v>
      </c>
      <c r="H35" t="n">
        <v>118151918.31317</v>
      </c>
      <c r="I35" t="n">
        <v>0</v>
      </c>
      <c r="J35" t="n">
        <v>0</v>
      </c>
      <c r="K35" t="n">
        <v>0</v>
      </c>
      <c r="L35" t="n">
        <v>0</v>
      </c>
      <c r="M35" t="n">
        <v>29218.0740101707</v>
      </c>
      <c r="N35" t="n">
        <v>0</v>
      </c>
      <c r="O35" t="n">
        <v>0</v>
      </c>
      <c r="P35" t="n">
        <v>282175.404753382</v>
      </c>
      <c r="Q35" t="n">
        <v>0</v>
      </c>
      <c r="R35" t="n">
        <v>0</v>
      </c>
      <c r="S35" t="n">
        <v>102768.052838291</v>
      </c>
      <c r="T35" t="n">
        <v>6176645.58310048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40234119653.463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1364165.83042788</v>
      </c>
      <c r="AM35" t="n">
        <v>10648072.1763954</v>
      </c>
      <c r="AN35" t="n">
        <v>6688201.91862559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243749908.45076</v>
      </c>
      <c r="AZ35" t="n">
        <v>0</v>
      </c>
      <c r="BA35" t="n">
        <v>136681837.509816</v>
      </c>
      <c r="BB35" t="n">
        <v>16218415.9839759</v>
      </c>
      <c r="BC35" t="n">
        <v>0</v>
      </c>
      <c r="BD35" t="n">
        <v>492615.438765624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1510093680.78838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168053.996812019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8691892760.11494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104165469.023983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5153655.90223523</v>
      </c>
      <c r="AZ36" t="n">
        <v>0</v>
      </c>
      <c r="BA36" t="n">
        <v>2268728.95696225</v>
      </c>
      <c r="BB36" t="n">
        <v>112035.997874679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2800899.94686698</v>
      </c>
      <c r="BM36" t="n">
        <v>0</v>
      </c>
      <c r="BN36" t="n">
        <v>0</v>
      </c>
      <c r="BO36" t="n">
        <v>1592507682.79016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70806542.3883194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7375857251.48808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1121794.1618199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151593.805651337</v>
      </c>
      <c r="AZ37" t="n">
        <v>0</v>
      </c>
      <c r="BA37" t="n">
        <v>303187.611302674</v>
      </c>
      <c r="BB37" t="n">
        <v>30318.7611302675</v>
      </c>
      <c r="BC37" t="n">
        <v>0</v>
      </c>
      <c r="BD37" t="n">
        <v>60637.5222605349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30318.7611302675</v>
      </c>
      <c r="BM37" t="n">
        <v>0</v>
      </c>
      <c r="BN37" t="n">
        <v>340631281.298555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52606783.0519739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18921640.2069781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7309265125.3124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31729.0609481145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265159762.343393</v>
      </c>
      <c r="BO38" t="n">
        <v>62220688.5192526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159</v>
      </c>
      <c r="B39" t="n">
        <v>3805069.46688633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83952874.8531533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43819021.9312663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20306889624.3072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9686870.17536384</v>
      </c>
      <c r="AQ39" t="n">
        <v>0</v>
      </c>
      <c r="AR39" t="n">
        <v>0</v>
      </c>
      <c r="AS39" t="n">
        <v>6035073.87909573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24121075.5358762</v>
      </c>
      <c r="AZ39" t="n">
        <v>0</v>
      </c>
      <c r="BA39" t="n">
        <v>34788164.7170805</v>
      </c>
      <c r="BB39" t="n">
        <v>147378810.525178</v>
      </c>
      <c r="BC39" t="n">
        <v>0</v>
      </c>
      <c r="BD39" t="n">
        <v>2075757.89472082</v>
      </c>
      <c r="BE39" t="n">
        <v>0</v>
      </c>
      <c r="BF39" t="n">
        <v>2133417.83624085</v>
      </c>
      <c r="BG39" t="n">
        <v>96099.9025333714</v>
      </c>
      <c r="BH39" t="n">
        <v>0</v>
      </c>
      <c r="BI39" t="n">
        <v>0</v>
      </c>
      <c r="BJ39" t="n">
        <v>0</v>
      </c>
      <c r="BK39" t="n">
        <v>0</v>
      </c>
      <c r="BL39" t="n">
        <v>6880753.02138939</v>
      </c>
      <c r="BM39" t="n">
        <v>0</v>
      </c>
      <c r="BN39" t="n">
        <v>381977892.589645</v>
      </c>
      <c r="BO39" t="n">
        <v>266504249.705546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160</v>
      </c>
      <c r="B40" t="n">
        <v>0</v>
      </c>
      <c r="C40" t="n">
        <v>34174183.8044956</v>
      </c>
      <c r="D40" t="n">
        <v>0</v>
      </c>
      <c r="E40" t="n">
        <v>0</v>
      </c>
      <c r="F40" t="n">
        <v>0</v>
      </c>
      <c r="G40" t="n">
        <v>0</v>
      </c>
      <c r="H40" t="n">
        <v>907411.381477396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7352506948.28003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39183673.2910694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15151020.3392135</v>
      </c>
      <c r="AZ40" t="n">
        <v>0</v>
      </c>
      <c r="BA40" t="n">
        <v>6709344.76001469</v>
      </c>
      <c r="BB40" t="n">
        <v>50705048.1043733</v>
      </c>
      <c r="BC40" t="n">
        <v>0</v>
      </c>
      <c r="BD40" t="n">
        <v>0</v>
      </c>
      <c r="BE40" t="n">
        <v>0</v>
      </c>
      <c r="BF40" t="n">
        <v>0</v>
      </c>
      <c r="BG40" t="n">
        <v>2062298.59426681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3674671.97852163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1844441830.85784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12108708.2665743</v>
      </c>
      <c r="AZ41" t="n">
        <v>0</v>
      </c>
      <c r="BA41" t="n">
        <v>2302204.13112198</v>
      </c>
      <c r="BB41" t="n">
        <v>15716970.5105443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35421.0967201495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2045957967.65255</v>
      </c>
      <c r="AJ42" t="n">
        <v>0</v>
      </c>
      <c r="AK42" t="n">
        <v>0</v>
      </c>
      <c r="AL42" t="n">
        <v>0</v>
      </c>
      <c r="AM42" t="n">
        <v>95672382.2411238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566737.547522392</v>
      </c>
      <c r="BB42" t="n">
        <v>2727424.44745151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11582698.6274889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831230.436142675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6804018664.819</v>
      </c>
      <c r="AK43" t="n">
        <v>0</v>
      </c>
      <c r="AL43" t="n">
        <v>0</v>
      </c>
      <c r="AM43" t="n">
        <v>373782642.861114</v>
      </c>
      <c r="AN43" t="n">
        <v>117492615.12608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6161947.3635794</v>
      </c>
      <c r="AZ43" t="n">
        <v>0</v>
      </c>
      <c r="BA43" t="n">
        <v>2023865.40973869</v>
      </c>
      <c r="BB43" t="n">
        <v>10372310.2249108</v>
      </c>
      <c r="BC43" t="n">
        <v>0</v>
      </c>
      <c r="BD43" t="n">
        <v>0</v>
      </c>
      <c r="BE43" t="n">
        <v>86947542.8653446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1730286960.76266</v>
      </c>
      <c r="AL44" t="n">
        <v>0</v>
      </c>
      <c r="AM44" t="n">
        <v>189774.734982332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31629.1224970554</v>
      </c>
      <c r="BB44" t="n">
        <v>1992634.71731449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683965.149451284</v>
      </c>
      <c r="H45" t="n">
        <v>445768.331234419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206887547.868102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115695.59741962</v>
      </c>
      <c r="BB45" t="n">
        <v>1456403.40281169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2477701.31863096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298241.825390763</v>
      </c>
      <c r="AE46" t="n">
        <v>0</v>
      </c>
      <c r="AF46" t="n">
        <v>0</v>
      </c>
      <c r="AG46" t="n">
        <v>734133.724038802</v>
      </c>
      <c r="AH46" t="n">
        <v>0</v>
      </c>
      <c r="AI46" t="n">
        <v>8511362.86307486</v>
      </c>
      <c r="AJ46" t="n">
        <v>13673240.6102227</v>
      </c>
      <c r="AK46" t="n">
        <v>12090264.767764</v>
      </c>
      <c r="AL46" t="n">
        <v>0</v>
      </c>
      <c r="AM46" t="n">
        <v>5820877472.86703</v>
      </c>
      <c r="AN46" t="n">
        <v>30076541.0067147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68825.0366286377</v>
      </c>
      <c r="AZ46" t="n">
        <v>0</v>
      </c>
      <c r="BA46" t="n">
        <v>7800170.81791227</v>
      </c>
      <c r="BB46" t="n">
        <v>148019712.109323</v>
      </c>
      <c r="BC46" t="n">
        <v>0</v>
      </c>
      <c r="BD46" t="n">
        <v>114708.394381063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940608.833924715</v>
      </c>
      <c r="BO46" t="n">
        <v>22666378.729698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1537794.73899414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7895543.13752215</v>
      </c>
      <c r="AK47" t="n">
        <v>0</v>
      </c>
      <c r="AL47" t="n">
        <v>0</v>
      </c>
      <c r="AM47" t="n">
        <v>38858007.3599564</v>
      </c>
      <c r="AN47" t="n">
        <v>3018759929.12635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4521575.57584844</v>
      </c>
      <c r="BB47" t="n">
        <v>25408041.4338285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107797.38046898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7742664.02325019</v>
      </c>
      <c r="Y48" t="n">
        <v>0</v>
      </c>
      <c r="Z48" t="n">
        <v>0</v>
      </c>
      <c r="AA48" t="n">
        <v>0</v>
      </c>
      <c r="AB48" t="n">
        <v>7484887.67865046</v>
      </c>
      <c r="AC48" t="n">
        <v>0</v>
      </c>
      <c r="AD48" t="n">
        <v>0</v>
      </c>
      <c r="AE48" t="n">
        <v>0</v>
      </c>
      <c r="AF48" t="n">
        <v>11604622.3496171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5561153433.57594</v>
      </c>
      <c r="AP48" t="n">
        <v>0</v>
      </c>
      <c r="AQ48" t="n">
        <v>0</v>
      </c>
      <c r="AR48" t="n">
        <v>182735307.265437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65573615.2235432</v>
      </c>
      <c r="BB48" t="n">
        <v>214971410.868291</v>
      </c>
      <c r="BC48" t="n">
        <v>0</v>
      </c>
      <c r="BD48" t="n">
        <v>820197.460090062</v>
      </c>
      <c r="BE48" t="n">
        <v>8891.77917754612</v>
      </c>
      <c r="BF48" t="n">
        <v>1645081.76280921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4686.84262908607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701611.372684255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96061.5067799565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44405.7830812819</v>
      </c>
      <c r="AC49" t="n">
        <v>0</v>
      </c>
      <c r="AD49" t="n">
        <v>0</v>
      </c>
      <c r="AE49" t="n">
        <v>0</v>
      </c>
      <c r="AF49" t="n">
        <v>3241622.16493358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1453205894.8048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1287767.70935718</v>
      </c>
      <c r="AY49" t="n">
        <v>568394.023440409</v>
      </c>
      <c r="AZ49" t="n">
        <v>0</v>
      </c>
      <c r="BA49" t="n">
        <v>4138618.98317548</v>
      </c>
      <c r="BB49" t="n">
        <v>18019866.7743842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497344.770510358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23016598.9126122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2794730.13683063</v>
      </c>
      <c r="AC50" t="n">
        <v>0</v>
      </c>
      <c r="AD50" t="n">
        <v>0</v>
      </c>
      <c r="AE50" t="n">
        <v>0</v>
      </c>
      <c r="AF50" t="n">
        <v>194553142.239652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24753324.0690713</v>
      </c>
      <c r="AQ50" t="n">
        <v>15101643692.0942</v>
      </c>
      <c r="AR50" t="n">
        <v>139736.506841531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221103078.539543</v>
      </c>
      <c r="AZ50" t="n">
        <v>0</v>
      </c>
      <c r="BA50" t="n">
        <v>57092344.2238256</v>
      </c>
      <c r="BB50" t="n">
        <v>2205960346.43289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15051618.0226449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17980521.4812426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21565813.9732211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78867547.8440274</v>
      </c>
      <c r="AC51" t="n">
        <v>0</v>
      </c>
      <c r="AD51" t="n">
        <v>0</v>
      </c>
      <c r="AE51" t="n">
        <v>0</v>
      </c>
      <c r="AF51" t="n">
        <v>3746893.93001752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452754892.41271</v>
      </c>
      <c r="AP51" t="n">
        <v>0</v>
      </c>
      <c r="AQ51" t="n">
        <v>55495154.6098327</v>
      </c>
      <c r="AR51" t="n">
        <v>5972594618.27635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525479.026770751</v>
      </c>
      <c r="AZ51" t="n">
        <v>0</v>
      </c>
      <c r="BA51" t="n">
        <v>379989877.097875</v>
      </c>
      <c r="BB51" t="n">
        <v>4138627121.01802</v>
      </c>
      <c r="BC51" t="n">
        <v>0</v>
      </c>
      <c r="BD51" t="n">
        <v>1393661.76665286</v>
      </c>
      <c r="BE51" t="n">
        <v>0</v>
      </c>
      <c r="BF51" t="n">
        <v>2558854.39123148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2147609.93549785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103408.10361997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26220443126.1646</v>
      </c>
      <c r="AT52" t="n">
        <v>749786307.322498</v>
      </c>
      <c r="AU52" t="n">
        <v>0</v>
      </c>
      <c r="AV52" t="n">
        <v>0</v>
      </c>
      <c r="AW52" t="n">
        <v>0</v>
      </c>
      <c r="AX52" t="n">
        <v>0</v>
      </c>
      <c r="AY52" t="n">
        <v>1851211871.0047</v>
      </c>
      <c r="AZ52" t="n">
        <v>0</v>
      </c>
      <c r="BA52" t="n">
        <v>65172957.3064861</v>
      </c>
      <c r="BB52" t="n">
        <v>65017845.1510562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11413.826470272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288746982.044941</v>
      </c>
      <c r="AT53" t="n">
        <v>6583335314.48231</v>
      </c>
      <c r="AU53" t="n">
        <v>43235574.6693904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11950276.3143748</v>
      </c>
      <c r="BB53" t="n">
        <v>12247035.8026019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75102.5107816477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22230343.1913677</v>
      </c>
      <c r="AU54" t="n">
        <v>16912694894.971</v>
      </c>
      <c r="AV54" t="n">
        <v>0</v>
      </c>
      <c r="AW54" t="n">
        <v>0</v>
      </c>
      <c r="AX54" t="n">
        <v>0</v>
      </c>
      <c r="AY54" t="n">
        <v>0</v>
      </c>
      <c r="AZ54" t="n">
        <v>1276742.68328801</v>
      </c>
      <c r="BA54" t="n">
        <v>35944061.6600966</v>
      </c>
      <c r="BB54" t="n">
        <v>40570376.3242461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8573898404.5584</v>
      </c>
      <c r="AW55" t="n">
        <v>0</v>
      </c>
      <c r="AX55" t="n">
        <v>0</v>
      </c>
      <c r="AY55" t="n">
        <v>0</v>
      </c>
      <c r="AZ55" t="n">
        <v>0</v>
      </c>
      <c r="BA55" t="n">
        <v>290883.190883191</v>
      </c>
      <c r="BB55" t="n">
        <v>290883.190883191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671333716.758698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77211240368.5603</v>
      </c>
      <c r="AX56" t="n">
        <v>0</v>
      </c>
      <c r="AY56" t="n">
        <v>0</v>
      </c>
      <c r="AZ56" t="n">
        <v>0</v>
      </c>
      <c r="BA56" t="n">
        <v>3510241.65625463</v>
      </c>
      <c r="BB56" t="n">
        <v>4352699.65375574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5215648.84848633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25198103.4992496</v>
      </c>
      <c r="AT57" t="n">
        <v>0</v>
      </c>
      <c r="AU57" t="n">
        <v>6372870.93674424</v>
      </c>
      <c r="AV57" t="n">
        <v>0</v>
      </c>
      <c r="AW57" t="n">
        <v>0</v>
      </c>
      <c r="AX57" t="n">
        <v>23346222179.9839</v>
      </c>
      <c r="AY57" t="n">
        <v>0</v>
      </c>
      <c r="AZ57" t="n">
        <v>0</v>
      </c>
      <c r="BA57" t="n">
        <v>4954866.40606202</v>
      </c>
      <c r="BB57" t="n">
        <v>9453363.53788148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1108325.38030335</v>
      </c>
      <c r="BN57" t="n">
        <v>0</v>
      </c>
      <c r="BO57" t="n">
        <v>3650954.19394043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1297716.61965549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8919748.41104976</v>
      </c>
      <c r="AD58" t="n">
        <v>0</v>
      </c>
      <c r="AE58" t="n">
        <v>50610948.1665641</v>
      </c>
      <c r="AF58" t="n">
        <v>4583075.15042888</v>
      </c>
      <c r="AG58" t="n">
        <v>0</v>
      </c>
      <c r="AH58" t="n">
        <v>0</v>
      </c>
      <c r="AI58" t="n">
        <v>0</v>
      </c>
      <c r="AJ58" t="n">
        <v>21059148.1822574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1264863.03434776</v>
      </c>
      <c r="AT58" t="n">
        <v>1379850.58292482</v>
      </c>
      <c r="AU58" t="n">
        <v>11219499.3825911</v>
      </c>
      <c r="AV58" t="n">
        <v>0</v>
      </c>
      <c r="AW58" t="n">
        <v>0</v>
      </c>
      <c r="AX58" t="n">
        <v>19038652.6858318</v>
      </c>
      <c r="AY58" t="n">
        <v>6475343103.39843</v>
      </c>
      <c r="AZ58" t="n">
        <v>0</v>
      </c>
      <c r="BA58" t="n">
        <v>2776127.95850352</v>
      </c>
      <c r="BB58" t="n">
        <v>3482480.0426198</v>
      </c>
      <c r="BC58" t="n">
        <v>0</v>
      </c>
      <c r="BD58" t="n">
        <v>0</v>
      </c>
      <c r="BE58" t="n">
        <v>0</v>
      </c>
      <c r="BF58" t="n">
        <v>49280.3779616009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20221381.7569102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40938.026683578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7580576277.0515</v>
      </c>
      <c r="BA59" t="n">
        <v>7389313.81638583</v>
      </c>
      <c r="BB59" t="n">
        <v>5547102.61562482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678335.983648128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10551893.0789709</v>
      </c>
      <c r="AC60" t="n">
        <v>0</v>
      </c>
      <c r="AD60" t="n">
        <v>0</v>
      </c>
      <c r="AE60" t="n">
        <v>0</v>
      </c>
      <c r="AF60" t="n">
        <v>112528402.62074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904286964.356425</v>
      </c>
      <c r="AP60" t="n">
        <v>0</v>
      </c>
      <c r="AQ60" t="n">
        <v>12436159.7002157</v>
      </c>
      <c r="AR60" t="n">
        <v>1531682651.07747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9873557.09532276</v>
      </c>
      <c r="AZ60" t="n">
        <v>0</v>
      </c>
      <c r="BA60" t="n">
        <v>35619045648.039</v>
      </c>
      <c r="BB60" t="n">
        <v>1024588817.96807</v>
      </c>
      <c r="BC60" t="n">
        <v>0</v>
      </c>
      <c r="BD60" t="n">
        <v>424713696.428578</v>
      </c>
      <c r="BE60" t="n">
        <v>0</v>
      </c>
      <c r="BF60" t="n">
        <v>28716223.3077708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315049379.072131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25670106.2138398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318883.307004221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25789687.4539664</v>
      </c>
      <c r="AF61" t="n">
        <v>81913149.4867093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2439257996.51541</v>
      </c>
      <c r="AS61" t="n">
        <v>0</v>
      </c>
      <c r="AT61" t="n">
        <v>19651183.7941351</v>
      </c>
      <c r="AU61" t="n">
        <v>0</v>
      </c>
      <c r="AV61" t="n">
        <v>0</v>
      </c>
      <c r="AW61" t="n">
        <v>0</v>
      </c>
      <c r="AX61" t="n">
        <v>0</v>
      </c>
      <c r="AY61" t="n">
        <v>1554556.12164558</v>
      </c>
      <c r="AZ61" t="n">
        <v>0</v>
      </c>
      <c r="BA61" t="n">
        <v>514677657.504813</v>
      </c>
      <c r="BB61" t="n">
        <v>59455952032.5905</v>
      </c>
      <c r="BC61" t="n">
        <v>0</v>
      </c>
      <c r="BD61" t="n">
        <v>57957041.0480172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78764176.8300426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2927628.44504934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424812504.253147</v>
      </c>
      <c r="BB62" t="n">
        <v>215350901.667234</v>
      </c>
      <c r="BC62" t="n">
        <v>20861939877.5094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45227476.5053672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52727833.8190687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41268060.4127265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4571033.2126421</v>
      </c>
      <c r="AV63" t="n">
        <v>0</v>
      </c>
      <c r="AW63" t="n">
        <v>0</v>
      </c>
      <c r="AX63" t="n">
        <v>8627020.42949354</v>
      </c>
      <c r="AY63" t="n">
        <v>7693499.56212297</v>
      </c>
      <c r="AZ63" t="n">
        <v>0</v>
      </c>
      <c r="BA63" t="n">
        <v>398774362.240918</v>
      </c>
      <c r="BB63" t="n">
        <v>1480918189.77183</v>
      </c>
      <c r="BC63" t="n">
        <v>0</v>
      </c>
      <c r="BD63" t="n">
        <v>32876416003.3093</v>
      </c>
      <c r="BE63" t="n">
        <v>15386837.5304384</v>
      </c>
      <c r="BF63" t="n">
        <v>836949.743159821</v>
      </c>
      <c r="BG63" t="n">
        <v>0</v>
      </c>
      <c r="BH63" t="n">
        <v>0</v>
      </c>
      <c r="BI63" t="n">
        <v>0</v>
      </c>
      <c r="BJ63" t="n">
        <v>1223234.24000281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184</v>
      </c>
      <c r="B64" t="n">
        <v>0</v>
      </c>
      <c r="C64" t="n">
        <v>0</v>
      </c>
      <c r="D64" t="n">
        <v>46.7796184184372</v>
      </c>
      <c r="E64" t="n">
        <v>0</v>
      </c>
      <c r="F64" t="n">
        <v>0</v>
      </c>
      <c r="G64" t="n">
        <v>0</v>
      </c>
      <c r="H64" t="n">
        <v>22707.4397508302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1282970.34592191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5563322.73895339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1782534.02044017</v>
      </c>
      <c r="AZ64" t="n">
        <v>0</v>
      </c>
      <c r="BA64" t="n">
        <v>249781.837259132</v>
      </c>
      <c r="BB64" t="n">
        <v>1771180.30056475</v>
      </c>
      <c r="BC64" t="n">
        <v>0</v>
      </c>
      <c r="BD64" t="n">
        <v>0</v>
      </c>
      <c r="BE64" t="n">
        <v>2388188867.06886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10808741.3213952</v>
      </c>
      <c r="BV64" t="n">
        <v>0</v>
      </c>
    </row>
    <row r="65">
      <c r="A65" t="s">
        <v>185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14127724.6844927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15744631.6583974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2364726.44933569</v>
      </c>
      <c r="AV65" t="n">
        <v>0</v>
      </c>
      <c r="AW65" t="n">
        <v>0</v>
      </c>
      <c r="AX65" t="n">
        <v>1333948.25347141</v>
      </c>
      <c r="AY65" t="n">
        <v>0</v>
      </c>
      <c r="AZ65" t="n">
        <v>0</v>
      </c>
      <c r="BA65" t="n">
        <v>100571613.776875</v>
      </c>
      <c r="BB65" t="n">
        <v>669500543.882433</v>
      </c>
      <c r="BC65" t="n">
        <v>0</v>
      </c>
      <c r="BD65" t="n">
        <v>0</v>
      </c>
      <c r="BE65" t="n">
        <v>0</v>
      </c>
      <c r="BF65" t="n">
        <v>6066109471.32408</v>
      </c>
      <c r="BG65" t="n">
        <v>0</v>
      </c>
      <c r="BH65" t="n">
        <v>0</v>
      </c>
      <c r="BI65" t="n">
        <v>0</v>
      </c>
      <c r="BJ65" t="n">
        <v>0</v>
      </c>
      <c r="BK65" t="n">
        <v>34864556.624821</v>
      </c>
      <c r="BL65" t="n">
        <v>0</v>
      </c>
      <c r="BM65" t="n">
        <v>575497614.687046</v>
      </c>
      <c r="BN65" t="n">
        <v>263111187.328649</v>
      </c>
      <c r="BO65" t="n">
        <v>949932.847169036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12397024.0564478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241927553.293195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11877388.3175548</v>
      </c>
      <c r="AZ66" t="n">
        <v>0</v>
      </c>
      <c r="BA66" t="n">
        <v>21057619.7046649</v>
      </c>
      <c r="BB66" t="n">
        <v>10170013.7469063</v>
      </c>
      <c r="BC66" t="n">
        <v>0</v>
      </c>
      <c r="BD66" t="n">
        <v>0</v>
      </c>
      <c r="BE66" t="n">
        <v>0</v>
      </c>
      <c r="BF66" t="n">
        <v>0</v>
      </c>
      <c r="BG66" t="n">
        <v>28461711391.6796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1336206.18572492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23589826.8860053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33466792.8956211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2927881.10603994</v>
      </c>
      <c r="AZ67" t="n">
        <v>0</v>
      </c>
      <c r="BA67" t="n">
        <v>51738253.4687564</v>
      </c>
      <c r="BB67" t="n">
        <v>147913588.534246</v>
      </c>
      <c r="BC67" t="n">
        <v>0</v>
      </c>
      <c r="BD67" t="n">
        <v>0</v>
      </c>
      <c r="BE67" t="n">
        <v>0</v>
      </c>
      <c r="BF67" t="n">
        <v>0</v>
      </c>
      <c r="BG67" t="n">
        <v>71547778.1672165</v>
      </c>
      <c r="BH67" t="n">
        <v>16889945432.5183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34671300.9455742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975421.794613134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589789.922324221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3765581.81176233</v>
      </c>
      <c r="AY68" t="n">
        <v>0</v>
      </c>
      <c r="AZ68" t="n">
        <v>0</v>
      </c>
      <c r="BA68" t="n">
        <v>725895.289014425</v>
      </c>
      <c r="BB68" t="n">
        <v>476368.783415717</v>
      </c>
      <c r="BC68" t="n">
        <v>0</v>
      </c>
      <c r="BD68" t="n">
        <v>0</v>
      </c>
      <c r="BE68" t="n">
        <v>0</v>
      </c>
      <c r="BF68" t="n">
        <v>0</v>
      </c>
      <c r="BG68" t="n">
        <v>3357265.71169172</v>
      </c>
      <c r="BH68" t="n">
        <v>0</v>
      </c>
      <c r="BI68" t="n">
        <v>5887192267.72924</v>
      </c>
      <c r="BJ68" t="n">
        <v>14722063.8303238</v>
      </c>
      <c r="BK68" t="n">
        <v>0</v>
      </c>
      <c r="BL68" t="n">
        <v>0</v>
      </c>
      <c r="BM68" t="n">
        <v>0</v>
      </c>
      <c r="BN68" t="n">
        <v>14517905.7802885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3291139.11125633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4360235.25567718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2599371.01780755</v>
      </c>
      <c r="BB69" t="n">
        <v>461178.728965855</v>
      </c>
      <c r="BC69" t="n">
        <v>0</v>
      </c>
      <c r="BD69" t="n">
        <v>0</v>
      </c>
      <c r="BE69" t="n">
        <v>0</v>
      </c>
      <c r="BF69" t="n">
        <v>0</v>
      </c>
      <c r="BG69" t="n">
        <v>4800451.31514458</v>
      </c>
      <c r="BH69" t="n">
        <v>0</v>
      </c>
      <c r="BI69" t="n">
        <v>39829072.0470511</v>
      </c>
      <c r="BJ69" t="n">
        <v>5140277150.38392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9991687.36522216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22631578.0483812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17546377.8120974</v>
      </c>
      <c r="AY70" t="n">
        <v>26303320.0720239</v>
      </c>
      <c r="AZ70" t="n">
        <v>0</v>
      </c>
      <c r="BA70" t="n">
        <v>2307023.74936837</v>
      </c>
      <c r="BB70" t="n">
        <v>140923408.464938</v>
      </c>
      <c r="BC70" t="n">
        <v>0</v>
      </c>
      <c r="BD70" t="n">
        <v>0</v>
      </c>
      <c r="BE70" t="n">
        <v>0</v>
      </c>
      <c r="BF70" t="n">
        <v>5085200.2362838</v>
      </c>
      <c r="BG70" t="n">
        <v>0</v>
      </c>
      <c r="BH70" t="n">
        <v>0</v>
      </c>
      <c r="BI70" t="n">
        <v>0</v>
      </c>
      <c r="BJ70" t="n">
        <v>0</v>
      </c>
      <c r="BK70" t="n">
        <v>3306322459.05956</v>
      </c>
      <c r="BL70" t="n">
        <v>35060262.3319503</v>
      </c>
      <c r="BM70" t="n">
        <v>129973.1689785</v>
      </c>
      <c r="BN70" t="n">
        <v>73158647.488773</v>
      </c>
      <c r="BO70" t="n">
        <v>6011259.06525561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9703458.34152805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1532125.0012939</v>
      </c>
      <c r="AD71" t="n">
        <v>0</v>
      </c>
      <c r="AE71" t="n">
        <v>0</v>
      </c>
      <c r="AF71" t="n">
        <v>46678741.7060876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1089511.11203122</v>
      </c>
      <c r="AY71" t="n">
        <v>4187808.33687</v>
      </c>
      <c r="AZ71" t="n">
        <v>0</v>
      </c>
      <c r="BA71" t="n">
        <v>1089511.11203122</v>
      </c>
      <c r="BB71" t="n">
        <v>1412959.72341549</v>
      </c>
      <c r="BC71" t="n">
        <v>0</v>
      </c>
      <c r="BD71" t="n">
        <v>0</v>
      </c>
      <c r="BE71" t="n">
        <v>0</v>
      </c>
      <c r="BF71" t="n">
        <v>51394281.9878477</v>
      </c>
      <c r="BG71" t="n">
        <v>0</v>
      </c>
      <c r="BH71" t="n">
        <v>0</v>
      </c>
      <c r="BI71" t="n">
        <v>0</v>
      </c>
      <c r="BJ71" t="n">
        <v>10673804.1756809</v>
      </c>
      <c r="BK71" t="n">
        <v>238330.555756829</v>
      </c>
      <c r="BL71" t="n">
        <v>2558801964.66095</v>
      </c>
      <c r="BM71" t="n">
        <v>3472816.66959951</v>
      </c>
      <c r="BN71" t="n">
        <v>181607883.486704</v>
      </c>
      <c r="BO71" t="n">
        <v>61676543.1076423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34817516.0755616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191726.410107718</v>
      </c>
      <c r="AD72" t="n">
        <v>5425857.40604841</v>
      </c>
      <c r="AE72" t="n">
        <v>7994991.30149183</v>
      </c>
      <c r="AF72" t="n">
        <v>13919337.3738203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3029277.27970194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21550048.4961075</v>
      </c>
      <c r="AY72" t="n">
        <v>20284654.1893965</v>
      </c>
      <c r="AZ72" t="n">
        <v>0</v>
      </c>
      <c r="BA72" t="n">
        <v>1035322.61458168</v>
      </c>
      <c r="BB72" t="n">
        <v>76690.5640430871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20284654.1893965</v>
      </c>
      <c r="BL72" t="n">
        <v>636493336.275602</v>
      </c>
      <c r="BM72" t="n">
        <v>4152928251.42024</v>
      </c>
      <c r="BN72" t="n">
        <v>918676266.672141</v>
      </c>
      <c r="BO72" t="n">
        <v>39265568.7900606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20857528.4282165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842227.988787838</v>
      </c>
      <c r="AC73" t="n">
        <v>0</v>
      </c>
      <c r="AD73" t="n">
        <v>14738989.8037872</v>
      </c>
      <c r="AE73" t="n">
        <v>0</v>
      </c>
      <c r="AF73" t="n">
        <v>39634258.2958983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74314.2343048092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33094605.677075</v>
      </c>
      <c r="BM73" t="n">
        <v>445885.405828855</v>
      </c>
      <c r="BN73" t="n">
        <v>22407772898.6376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198171.291479491</v>
      </c>
      <c r="BV73" t="n">
        <v>0</v>
      </c>
    </row>
    <row r="74">
      <c r="A74" t="s">
        <v>194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15034569.459093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15368671.0026284</v>
      </c>
      <c r="AC74" t="n">
        <v>57921058.5020006</v>
      </c>
      <c r="AD74" t="n">
        <v>0</v>
      </c>
      <c r="AE74" t="n">
        <v>4434438.66874257</v>
      </c>
      <c r="AF74" t="n">
        <v>140596004.093215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22961887.9011602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43493946.3947902</v>
      </c>
      <c r="AY74" t="n">
        <v>12058028.4348685</v>
      </c>
      <c r="AZ74" t="n">
        <v>0</v>
      </c>
      <c r="BA74" t="n">
        <v>34199848.9109872</v>
      </c>
      <c r="BB74" t="n">
        <v>34260594.6461755</v>
      </c>
      <c r="BC74" t="n">
        <v>0</v>
      </c>
      <c r="BD74" t="n">
        <v>0</v>
      </c>
      <c r="BE74" t="n">
        <v>0</v>
      </c>
      <c r="BF74" t="n">
        <v>303728.675941272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101202394.823632</v>
      </c>
      <c r="BO74" t="n">
        <v>23110532715.1658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162319.261620167</v>
      </c>
      <c r="I75" t="n">
        <v>0</v>
      </c>
      <c r="J75" t="n">
        <v>0</v>
      </c>
      <c r="K75" t="n">
        <v>0</v>
      </c>
      <c r="L75" t="n">
        <v>0</v>
      </c>
      <c r="M75" t="n">
        <v>137480.059969325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142738.651595245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2380682.50376244</v>
      </c>
      <c r="AQ75" t="n">
        <v>0</v>
      </c>
      <c r="AR75" t="n">
        <v>811596.308100833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100096877.999103</v>
      </c>
      <c r="BB75" t="n">
        <v>1263439026.03084</v>
      </c>
      <c r="BC75" t="n">
        <v>0</v>
      </c>
      <c r="BD75" t="n">
        <v>0</v>
      </c>
      <c r="BE75" t="n">
        <v>0</v>
      </c>
      <c r="BF75" t="n">
        <v>13201966.6117735</v>
      </c>
      <c r="BG75" t="n">
        <v>0</v>
      </c>
      <c r="BH75" t="n">
        <v>84081377.5192463</v>
      </c>
      <c r="BI75" t="n">
        <v>0</v>
      </c>
      <c r="BJ75" t="n">
        <v>0</v>
      </c>
      <c r="BK75" t="n">
        <v>1190341.25188122</v>
      </c>
      <c r="BL75" t="n">
        <v>0</v>
      </c>
      <c r="BM75" t="n">
        <v>0</v>
      </c>
      <c r="BN75" t="n">
        <v>0</v>
      </c>
      <c r="BO75" t="n">
        <v>0</v>
      </c>
      <c r="BP75" t="n">
        <v>36535685108.1957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196</v>
      </c>
      <c r="B76" t="n">
        <v>0</v>
      </c>
      <c r="C76" t="n">
        <v>8634565.61877337</v>
      </c>
      <c r="D76" t="n">
        <v>0</v>
      </c>
      <c r="E76" t="n">
        <v>0</v>
      </c>
      <c r="F76" t="n">
        <v>0</v>
      </c>
      <c r="G76" t="n">
        <v>2782946.99835659</v>
      </c>
      <c r="H76" t="n">
        <v>26045529.600004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3656224.46335772</v>
      </c>
      <c r="T76" t="n">
        <v>0</v>
      </c>
      <c r="U76" t="n">
        <v>0</v>
      </c>
      <c r="V76" t="n">
        <v>0</v>
      </c>
      <c r="W76" t="n">
        <v>0</v>
      </c>
      <c r="X76" t="n">
        <v>428145.692054861</v>
      </c>
      <c r="Y76" t="n">
        <v>0</v>
      </c>
      <c r="Z76" t="n">
        <v>437040.497780368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7307101.37365014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4281456.92054861</v>
      </c>
      <c r="AW76" t="n">
        <v>0</v>
      </c>
      <c r="AX76" t="n">
        <v>0</v>
      </c>
      <c r="AY76" t="n">
        <v>0</v>
      </c>
      <c r="AZ76" t="n">
        <v>0</v>
      </c>
      <c r="BA76" t="n">
        <v>145212747.22194</v>
      </c>
      <c r="BB76" t="n">
        <v>1463045187.3668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71428972.9578192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29398338514.4856</v>
      </c>
      <c r="BR76" t="n">
        <v>23904801.1397297</v>
      </c>
      <c r="BS76" t="n">
        <v>0</v>
      </c>
      <c r="BT76" t="n">
        <v>0</v>
      </c>
      <c r="BU76" t="n">
        <v>0</v>
      </c>
      <c r="BV76" t="n">
        <v>310762414.816486</v>
      </c>
    </row>
    <row r="77">
      <c r="A77" t="s">
        <v>197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1212067080.5406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194537354.74538</v>
      </c>
      <c r="AF77" t="n">
        <v>4183599.02678237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1176637.22628254</v>
      </c>
      <c r="AQ77" t="n">
        <v>0</v>
      </c>
      <c r="AR77" t="n">
        <v>0</v>
      </c>
      <c r="AS77" t="n">
        <v>0</v>
      </c>
      <c r="AT77" t="n">
        <v>0</v>
      </c>
      <c r="AU77" t="n">
        <v>177606852.43387</v>
      </c>
      <c r="AV77" t="n">
        <v>0</v>
      </c>
      <c r="AW77" t="n">
        <v>0</v>
      </c>
      <c r="AX77" t="n">
        <v>54975105.9613121</v>
      </c>
      <c r="AY77" t="n">
        <v>0</v>
      </c>
      <c r="AZ77" t="n">
        <v>0</v>
      </c>
      <c r="BA77" t="n">
        <v>38240709.8541826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99752689.2948421</v>
      </c>
      <c r="BO77" t="n">
        <v>0</v>
      </c>
      <c r="BP77" t="n">
        <v>0</v>
      </c>
      <c r="BQ77" t="n">
        <v>0</v>
      </c>
      <c r="BR77" t="n">
        <v>4682623948.19576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198</v>
      </c>
      <c r="B78" t="n">
        <v>16556135.5166021</v>
      </c>
      <c r="C78" t="n">
        <v>176943202.025382</v>
      </c>
      <c r="D78" t="n">
        <v>0</v>
      </c>
      <c r="E78" t="n">
        <v>21981783.6991111</v>
      </c>
      <c r="F78" t="n">
        <v>0</v>
      </c>
      <c r="G78" t="n">
        <v>34869205.7599753</v>
      </c>
      <c r="H78" t="n">
        <v>599157966.464069</v>
      </c>
      <c r="I78" t="n">
        <v>3522767.76904557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43012623.1804276</v>
      </c>
      <c r="T78" t="n">
        <v>24369675.5191894</v>
      </c>
      <c r="U78" t="n">
        <v>0</v>
      </c>
      <c r="V78" t="n">
        <v>72823752.1028523</v>
      </c>
      <c r="W78" t="n">
        <v>10219495.0620442</v>
      </c>
      <c r="X78" t="n">
        <v>50028559.30659</v>
      </c>
      <c r="Y78" t="n">
        <v>0</v>
      </c>
      <c r="Z78" t="n">
        <v>3642677.34115172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10932868.5886716</v>
      </c>
      <c r="AP78" t="n">
        <v>26926.0276138805</v>
      </c>
      <c r="AQ78" t="n">
        <v>0</v>
      </c>
      <c r="AR78" t="n">
        <v>68580592.3325537</v>
      </c>
      <c r="AS78" t="n">
        <v>0</v>
      </c>
      <c r="AT78" t="n">
        <v>0</v>
      </c>
      <c r="AU78" t="n">
        <v>0</v>
      </c>
      <c r="AV78" t="n">
        <v>896367459.266082</v>
      </c>
      <c r="AW78" t="n">
        <v>0</v>
      </c>
      <c r="AX78" t="n">
        <v>0</v>
      </c>
      <c r="AY78" t="n">
        <v>0</v>
      </c>
      <c r="AZ78" t="n">
        <v>0</v>
      </c>
      <c r="BA78" t="n">
        <v>132960724.357342</v>
      </c>
      <c r="BB78" t="n">
        <v>1597063475.86209</v>
      </c>
      <c r="BC78" t="n">
        <v>0</v>
      </c>
      <c r="BD78" t="n">
        <v>261559432.241235</v>
      </c>
      <c r="BE78" t="n">
        <v>466084733.375783</v>
      </c>
      <c r="BF78" t="n">
        <v>2731053128.82067</v>
      </c>
      <c r="BG78" t="n">
        <v>989800775.086248</v>
      </c>
      <c r="BH78" t="n">
        <v>6207472554.04879</v>
      </c>
      <c r="BI78" t="n">
        <v>0</v>
      </c>
      <c r="BJ78" t="n">
        <v>107650258.400294</v>
      </c>
      <c r="BK78" t="n">
        <v>91925458.2737881</v>
      </c>
      <c r="BL78" t="n">
        <v>76308362.2577374</v>
      </c>
      <c r="BM78" t="n">
        <v>304479520.257761</v>
      </c>
      <c r="BN78" t="n">
        <v>546490656.451319</v>
      </c>
      <c r="BO78" t="n">
        <v>33172866.0203008</v>
      </c>
      <c r="BP78" t="n">
        <v>0</v>
      </c>
      <c r="BQ78" t="n">
        <v>0</v>
      </c>
      <c r="BR78" t="n">
        <v>0</v>
      </c>
      <c r="BS78" t="n">
        <v>51827594915.5838</v>
      </c>
      <c r="BT78" t="n">
        <v>0</v>
      </c>
      <c r="BU78" t="n">
        <v>119793896.854154</v>
      </c>
      <c r="BV78" t="n">
        <v>0</v>
      </c>
    </row>
    <row r="79">
      <c r="A79" t="s">
        <v>199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2370045195.51416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92658301.7346833</v>
      </c>
      <c r="AE79" t="n">
        <v>0</v>
      </c>
      <c r="AF79" t="n">
        <v>0</v>
      </c>
      <c r="AG79" t="n">
        <v>0</v>
      </c>
      <c r="AH79" t="n">
        <v>2119739.31178132</v>
      </c>
      <c r="AI79" t="n">
        <v>7386970.32893489</v>
      </c>
      <c r="AJ79" t="n">
        <v>0</v>
      </c>
      <c r="AK79" t="n">
        <v>279066892.12224</v>
      </c>
      <c r="AL79" t="n">
        <v>0</v>
      </c>
      <c r="AM79" t="n">
        <v>255011062.659752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337231.254147028</v>
      </c>
      <c r="AT79" t="n">
        <v>0</v>
      </c>
      <c r="AU79" t="n">
        <v>7001563.18133829</v>
      </c>
      <c r="AV79" t="n">
        <v>0</v>
      </c>
      <c r="AW79" t="n">
        <v>136996182.339443</v>
      </c>
      <c r="AX79" t="n">
        <v>464592257.796555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1589804.48383599</v>
      </c>
      <c r="BL79" t="n">
        <v>700975308.322472</v>
      </c>
      <c r="BM79" t="n">
        <v>0</v>
      </c>
      <c r="BN79" t="n">
        <v>0</v>
      </c>
      <c r="BO79" t="n">
        <v>53250420.8929307</v>
      </c>
      <c r="BP79" t="n">
        <v>0</v>
      </c>
      <c r="BQ79" t="n">
        <v>0</v>
      </c>
      <c r="BR79" t="n">
        <v>0</v>
      </c>
      <c r="BS79" t="n">
        <v>0</v>
      </c>
      <c r="BT79" t="n">
        <v>1769773563.13245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213</v>
      </c>
    </row>
    <row r="2">
      <c r="A2" t="s">
        <v>214</v>
      </c>
    </row>
    <row r="3">
      <c r="A3" t="s">
        <v>215</v>
      </c>
    </row>
    <row r="4">
      <c r="A4" t="s">
        <v>87</v>
      </c>
    </row>
    <row r="5">
      <c r="A5" t="s">
        <v>1</v>
      </c>
    </row>
    <row r="6">
      <c r="A6" t="s">
        <v>216</v>
      </c>
    </row>
    <row r="7">
      <c r="A7" t="s">
        <v>1</v>
      </c>
    </row>
    <row r="9">
      <c r="A9" t="s">
        <v>217</v>
      </c>
      <c r="B9" t="s">
        <v>218</v>
      </c>
      <c r="C9" t="s">
        <v>219</v>
      </c>
      <c r="D9" t="s">
        <v>220</v>
      </c>
      <c r="E9" t="s">
        <v>221</v>
      </c>
    </row>
    <row r="10">
      <c r="A10" t="s">
        <v>222</v>
      </c>
      <c r="B10" t="n">
        <v>12031000</v>
      </c>
      <c r="C10" t="s">
        <v>223</v>
      </c>
      <c r="D10" t="n">
        <v>600000000</v>
      </c>
      <c r="E10" t="s">
        <v>224</v>
      </c>
    </row>
    <row r="11">
      <c r="A11" t="s">
        <v>225</v>
      </c>
      <c r="B11" t="n">
        <v>1000000</v>
      </c>
      <c r="C11" t="s">
        <v>223</v>
      </c>
      <c r="D11" t="n">
        <v>40000000</v>
      </c>
      <c r="E11" t="s">
        <v>226</v>
      </c>
    </row>
    <row r="12">
      <c r="A12" t="s">
        <v>227</v>
      </c>
      <c r="B12" t="n">
        <v>4220000</v>
      </c>
      <c r="C12" t="s">
        <v>223</v>
      </c>
      <c r="D12" t="n">
        <v>125000000</v>
      </c>
      <c r="E12" t="s">
        <v>228</v>
      </c>
    </row>
    <row r="13">
      <c r="A13" t="s">
        <v>229</v>
      </c>
      <c r="B13" t="n">
        <v>0</v>
      </c>
      <c r="C13" t="s">
        <v>223</v>
      </c>
      <c r="D13" t="n">
        <v>0</v>
      </c>
      <c r="E13"/>
    </row>
    <row r="14">
      <c r="A14" t="s">
        <v>230</v>
      </c>
      <c r="B14" t="n">
        <v>0</v>
      </c>
      <c r="C14" t="s">
        <v>223</v>
      </c>
      <c r="D14" t="n">
        <v>0</v>
      </c>
      <c r="E14"/>
    </row>
    <row r="15">
      <c r="A15" t="s">
        <v>231</v>
      </c>
      <c r="B15" t="n">
        <v>10710000</v>
      </c>
      <c r="C15" t="s">
        <v>223</v>
      </c>
      <c r="D15" t="n">
        <v>330000000</v>
      </c>
      <c r="E15" t="s">
        <v>232</v>
      </c>
    </row>
    <row r="16">
      <c r="A16" t="s">
        <v>233</v>
      </c>
      <c r="B16" t="n">
        <v>0</v>
      </c>
      <c r="C16" t="s">
        <v>223</v>
      </c>
      <c r="D16" t="n">
        <v>0</v>
      </c>
      <c r="E16"/>
    </row>
    <row r="17">
      <c r="A17" t="s">
        <v>234</v>
      </c>
      <c r="B17" t="n">
        <v>0</v>
      </c>
      <c r="C17" t="s">
        <v>223</v>
      </c>
      <c r="D17" t="n">
        <v>0</v>
      </c>
      <c r="E17"/>
    </row>
    <row r="18">
      <c r="A18" t="s">
        <v>235</v>
      </c>
      <c r="B18" t="n">
        <v>0</v>
      </c>
      <c r="C18" t="s">
        <v>223</v>
      </c>
      <c r="D18" t="n">
        <v>0</v>
      </c>
      <c r="E18"/>
    </row>
    <row r="19">
      <c r="A19" t="s">
        <v>236</v>
      </c>
      <c r="B19" t="n">
        <v>0</v>
      </c>
      <c r="C19" t="s">
        <v>223</v>
      </c>
      <c r="D19" t="n">
        <v>0</v>
      </c>
      <c r="E19"/>
    </row>
    <row r="20">
      <c r="A20" t="s">
        <v>237</v>
      </c>
      <c r="B20" t="n">
        <v>0</v>
      </c>
      <c r="C20" t="s">
        <v>223</v>
      </c>
      <c r="D20" t="n">
        <v>0</v>
      </c>
      <c r="E20"/>
    </row>
    <row r="21">
      <c r="A21" t="s">
        <v>238</v>
      </c>
      <c r="B21" t="n">
        <v>0</v>
      </c>
      <c r="C21" t="s">
        <v>223</v>
      </c>
      <c r="D21" t="n">
        <v>0</v>
      </c>
      <c r="E21"/>
    </row>
    <row r="22">
      <c r="A22" t="s">
        <v>239</v>
      </c>
      <c r="B22" t="n">
        <v>0</v>
      </c>
      <c r="C22" t="s">
        <v>223</v>
      </c>
      <c r="D22" t="n">
        <v>0</v>
      </c>
      <c r="E22"/>
    </row>
    <row r="23">
      <c r="A23" t="s">
        <v>240</v>
      </c>
      <c r="B23" t="n">
        <v>45919000</v>
      </c>
      <c r="C23" t="s">
        <v>223</v>
      </c>
      <c r="D23" t="n">
        <v>1950000000</v>
      </c>
      <c r="E23" t="s">
        <v>241</v>
      </c>
    </row>
    <row r="24">
      <c r="A24" t="s">
        <v>242</v>
      </c>
      <c r="B24" t="n">
        <v>28820000</v>
      </c>
      <c r="C24" t="s">
        <v>223</v>
      </c>
      <c r="D24" t="n">
        <v>1210000000</v>
      </c>
      <c r="E24" t="s">
        <v>241</v>
      </c>
    </row>
    <row r="25">
      <c r="A25" t="s">
        <v>243</v>
      </c>
      <c r="B25" t="n">
        <v>0</v>
      </c>
      <c r="C25" t="s">
        <v>223</v>
      </c>
      <c r="D25" t="n">
        <v>0</v>
      </c>
      <c r="E25"/>
    </row>
    <row r="26">
      <c r="A26" t="s">
        <v>244</v>
      </c>
      <c r="B26" t="n">
        <v>0</v>
      </c>
      <c r="C26" t="s">
        <v>223</v>
      </c>
      <c r="D26" t="n">
        <v>0</v>
      </c>
      <c r="E26"/>
    </row>
    <row r="27">
      <c r="A27" t="s">
        <v>245</v>
      </c>
      <c r="B27" t="n">
        <v>36140000</v>
      </c>
      <c r="C27" t="s">
        <v>223</v>
      </c>
      <c r="D27" t="n">
        <v>1730000000</v>
      </c>
      <c r="E27" t="s">
        <v>246</v>
      </c>
    </row>
    <row r="28">
      <c r="A28" t="s">
        <v>247</v>
      </c>
      <c r="B28" t="n">
        <v>2720000</v>
      </c>
      <c r="C28" t="s">
        <v>223</v>
      </c>
      <c r="D28" t="n">
        <v>60000000</v>
      </c>
      <c r="E28" t="s">
        <v>248</v>
      </c>
    </row>
    <row r="29">
      <c r="A29" t="s">
        <v>249</v>
      </c>
      <c r="B29" t="n">
        <v>0</v>
      </c>
      <c r="C29" t="s">
        <v>223</v>
      </c>
      <c r="D29" t="n">
        <v>0</v>
      </c>
      <c r="E29"/>
    </row>
    <row r="30">
      <c r="A30" t="s">
        <v>250</v>
      </c>
      <c r="B30" t="n">
        <v>1320000</v>
      </c>
      <c r="C30" t="s">
        <v>223</v>
      </c>
      <c r="D30" t="n">
        <v>70000000</v>
      </c>
      <c r="E30" t="s">
        <v>251</v>
      </c>
    </row>
    <row r="31">
      <c r="A31" t="s">
        <v>252</v>
      </c>
      <c r="B31" t="n">
        <v>0</v>
      </c>
      <c r="C31" t="s">
        <v>223</v>
      </c>
      <c r="D31" t="n">
        <v>0</v>
      </c>
      <c r="E31"/>
    </row>
    <row r="32">
      <c r="A32" t="s">
        <v>253</v>
      </c>
      <c r="B32" t="n">
        <v>0</v>
      </c>
      <c r="C32" t="s">
        <v>223</v>
      </c>
      <c r="D32" t="n">
        <v>0</v>
      </c>
      <c r="E32"/>
    </row>
    <row r="33">
      <c r="A33" t="s">
        <v>254</v>
      </c>
      <c r="B33" t="n">
        <v>0</v>
      </c>
      <c r="C33" t="s">
        <v>223</v>
      </c>
      <c r="D33" t="n">
        <v>0</v>
      </c>
      <c r="E33"/>
    </row>
    <row r="34">
      <c r="A34" t="s">
        <v>255</v>
      </c>
      <c r="B34" t="n">
        <v>2800000</v>
      </c>
      <c r="C34" t="s">
        <v>223</v>
      </c>
      <c r="D34" t="n">
        <v>65000000</v>
      </c>
      <c r="E34" t="s">
        <v>256</v>
      </c>
    </row>
    <row r="35">
      <c r="A35" t="s">
        <v>257</v>
      </c>
      <c r="B35" t="n">
        <v>264000</v>
      </c>
      <c r="C35" t="s">
        <v>223</v>
      </c>
      <c r="D35" t="n">
        <v>12000000</v>
      </c>
      <c r="E35"/>
    </row>
    <row r="36">
      <c r="A36" t="s">
        <v>258</v>
      </c>
      <c r="B36" t="n">
        <v>38660000</v>
      </c>
      <c r="C36" t="s">
        <v>223</v>
      </c>
      <c r="D36" t="n">
        <v>590000000</v>
      </c>
      <c r="E36" t="s">
        <v>259</v>
      </c>
    </row>
    <row r="37">
      <c r="A37" t="s">
        <v>260</v>
      </c>
      <c r="B37" t="n">
        <v>0</v>
      </c>
      <c r="C37" t="s">
        <v>223</v>
      </c>
      <c r="D37" t="n">
        <v>0</v>
      </c>
      <c r="E37"/>
    </row>
    <row r="38">
      <c r="A38" t="s">
        <v>261</v>
      </c>
      <c r="B38" t="n">
        <v>0</v>
      </c>
      <c r="C38" t="s">
        <v>223</v>
      </c>
      <c r="D38" t="n">
        <v>0</v>
      </c>
      <c r="E38"/>
    </row>
    <row r="39">
      <c r="A39" t="s">
        <v>262</v>
      </c>
      <c r="B39" t="n">
        <v>0</v>
      </c>
      <c r="C39" t="s">
        <v>223</v>
      </c>
      <c r="D39" t="n">
        <v>0</v>
      </c>
      <c r="E39"/>
    </row>
    <row r="40">
      <c r="A40" t="s">
        <v>263</v>
      </c>
      <c r="B40" t="n">
        <v>0</v>
      </c>
      <c r="C40" t="s">
        <v>223</v>
      </c>
      <c r="D40" t="n">
        <v>0</v>
      </c>
      <c r="E40"/>
    </row>
    <row r="41">
      <c r="A41" t="s">
        <v>264</v>
      </c>
      <c r="B41" t="n">
        <v>10720000</v>
      </c>
      <c r="C41" t="s">
        <v>223</v>
      </c>
      <c r="D41" t="n">
        <v>260000000</v>
      </c>
      <c r="E41" t="s">
        <v>265</v>
      </c>
    </row>
    <row r="42">
      <c r="A42" t="s">
        <v>266</v>
      </c>
      <c r="B42" t="n">
        <v>0</v>
      </c>
      <c r="C42" t="s">
        <v>223</v>
      </c>
      <c r="D42" t="n">
        <v>0</v>
      </c>
      <c r="E42"/>
    </row>
    <row r="43">
      <c r="A43" t="s">
        <v>267</v>
      </c>
      <c r="B43" t="n">
        <v>0</v>
      </c>
      <c r="C43" t="s">
        <v>223</v>
      </c>
      <c r="D43" t="n">
        <v>0</v>
      </c>
      <c r="E43"/>
    </row>
    <row r="44">
      <c r="A44" t="s">
        <v>268</v>
      </c>
      <c r="B44" t="n">
        <v>27870000</v>
      </c>
      <c r="C44" t="s">
        <v>223</v>
      </c>
      <c r="D44" t="n">
        <v>560000000</v>
      </c>
      <c r="E44" t="s">
        <v>269</v>
      </c>
    </row>
    <row r="45">
      <c r="A45" t="s">
        <v>270</v>
      </c>
      <c r="B45" t="n">
        <v>8220000</v>
      </c>
      <c r="C45" t="s">
        <v>223</v>
      </c>
      <c r="D45" t="n">
        <v>430000000</v>
      </c>
      <c r="E45" t="s">
        <v>271</v>
      </c>
    </row>
    <row r="46">
      <c r="A46" t="s">
        <v>272</v>
      </c>
      <c r="B46" t="n">
        <v>930000</v>
      </c>
      <c r="C46" t="s">
        <v>223</v>
      </c>
      <c r="D46" t="n">
        <v>40000000</v>
      </c>
      <c r="E46"/>
    </row>
    <row r="47">
      <c r="A47" t="s">
        <v>273</v>
      </c>
      <c r="B47" t="n">
        <v>0</v>
      </c>
      <c r="C47" t="s">
        <v>223</v>
      </c>
      <c r="D47" t="n">
        <v>0</v>
      </c>
      <c r="E47"/>
    </row>
    <row r="48">
      <c r="A48" t="s">
        <v>274</v>
      </c>
      <c r="B48" t="n">
        <v>50110000</v>
      </c>
      <c r="C48" t="s">
        <v>223</v>
      </c>
      <c r="D48" t="n">
        <v>3000000000</v>
      </c>
      <c r="E48" t="s">
        <v>275</v>
      </c>
    </row>
    <row r="49">
      <c r="A49" t="s">
        <v>276</v>
      </c>
      <c r="B49" t="n">
        <v>0</v>
      </c>
      <c r="C49" t="s">
        <v>223</v>
      </c>
      <c r="D49" t="n">
        <v>0</v>
      </c>
      <c r="E49"/>
    </row>
    <row r="50">
      <c r="A50" t="s">
        <v>277</v>
      </c>
      <c r="B50" t="n">
        <v>0</v>
      </c>
      <c r="C50" t="s">
        <v>223</v>
      </c>
      <c r="D50" t="n">
        <v>0</v>
      </c>
      <c r="E50"/>
    </row>
    <row r="51">
      <c r="A51" t="s">
        <v>278</v>
      </c>
      <c r="B51" t="n">
        <v>0</v>
      </c>
      <c r="C51" t="s">
        <v>223</v>
      </c>
      <c r="D51" t="n">
        <v>0</v>
      </c>
      <c r="E51"/>
    </row>
    <row r="52">
      <c r="A52" t="s">
        <v>279</v>
      </c>
      <c r="B52" t="n">
        <v>400000</v>
      </c>
      <c r="C52" t="s">
        <v>223</v>
      </c>
      <c r="D52" t="n">
        <v>22000000</v>
      </c>
      <c r="E52" t="s">
        <v>280</v>
      </c>
    </row>
    <row r="53">
      <c r="A53" t="s">
        <v>281</v>
      </c>
      <c r="B53" t="n">
        <v>22820000</v>
      </c>
      <c r="C53" t="s">
        <v>223</v>
      </c>
      <c r="D53" t="n">
        <v>500000000</v>
      </c>
      <c r="E53" t="s">
        <v>248</v>
      </c>
    </row>
    <row r="54">
      <c r="A54" t="s">
        <v>282</v>
      </c>
      <c r="B54" t="n">
        <v>12810000</v>
      </c>
      <c r="C54" t="s">
        <v>223</v>
      </c>
      <c r="D54" t="n">
        <v>380000000</v>
      </c>
      <c r="E54" t="s">
        <v>283</v>
      </c>
    </row>
    <row r="55">
      <c r="A55" t="s">
        <v>284</v>
      </c>
      <c r="B55" t="n">
        <v>0</v>
      </c>
      <c r="C55" t="s">
        <v>223</v>
      </c>
      <c r="D55" t="n">
        <v>0</v>
      </c>
      <c r="E55"/>
    </row>
    <row r="56">
      <c r="A56" t="s">
        <v>285</v>
      </c>
      <c r="B56" t="n">
        <v>11480000</v>
      </c>
      <c r="C56" t="s">
        <v>223</v>
      </c>
      <c r="D56" t="n">
        <v>620000000</v>
      </c>
      <c r="E56" t="s">
        <v>286</v>
      </c>
    </row>
    <row r="57">
      <c r="A57" t="s">
        <v>287</v>
      </c>
      <c r="B57" t="n">
        <v>3050000</v>
      </c>
      <c r="C57" t="s">
        <v>223</v>
      </c>
      <c r="D57" t="n">
        <v>90000000</v>
      </c>
      <c r="E57" t="s">
        <v>288</v>
      </c>
    </row>
    <row r="58">
      <c r="A58" t="s">
        <v>289</v>
      </c>
      <c r="B58" t="n">
        <v>93320000</v>
      </c>
      <c r="C58" t="s">
        <v>223</v>
      </c>
      <c r="D58" t="n">
        <v>5050000000</v>
      </c>
      <c r="E58" t="s">
        <v>290</v>
      </c>
    </row>
    <row r="59">
      <c r="A59" t="s">
        <v>291</v>
      </c>
      <c r="B59" t="n">
        <v>0</v>
      </c>
      <c r="C59" t="s">
        <v>223</v>
      </c>
      <c r="D59" t="n">
        <v>0</v>
      </c>
      <c r="E59"/>
    </row>
    <row r="60">
      <c r="A60" t="s">
        <v>292</v>
      </c>
      <c r="B60" t="n">
        <v>276040000</v>
      </c>
      <c r="C60" t="s">
        <v>223</v>
      </c>
      <c r="D60" t="n">
        <v>3690000000</v>
      </c>
      <c r="E60" t="s">
        <v>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294</v>
      </c>
    </row>
    <row r="2">
      <c r="A2" t="s">
        <v>295</v>
      </c>
    </row>
    <row r="3">
      <c r="A3" t="s">
        <v>296</v>
      </c>
    </row>
    <row r="4">
      <c r="A4" t="s">
        <v>1</v>
      </c>
    </row>
    <row r="5">
      <c r="A5" t="s">
        <v>297</v>
      </c>
    </row>
    <row r="6">
      <c r="A6" t="s">
        <v>298</v>
      </c>
    </row>
    <row r="7">
      <c r="A7" t="s">
        <v>299</v>
      </c>
    </row>
    <row r="8">
      <c r="A8" t="s">
        <v>300</v>
      </c>
    </row>
    <row r="9">
      <c r="A9" t="s">
        <v>301</v>
      </c>
    </row>
    <row r="10">
      <c r="A10" t="s">
        <v>302</v>
      </c>
    </row>
    <row r="11">
      <c r="A11" t="s">
        <v>303</v>
      </c>
    </row>
    <row r="12">
      <c r="A12" t="s">
        <v>304</v>
      </c>
    </row>
    <row r="13">
      <c r="A13" t="s">
        <v>1</v>
      </c>
    </row>
    <row r="14">
      <c r="A14" t="s">
        <v>305</v>
      </c>
    </row>
    <row r="15">
      <c r="A15" t="s">
        <v>1</v>
      </c>
    </row>
    <row r="17">
      <c r="A17" t="s">
        <v>306</v>
      </c>
    </row>
    <row r="18">
      <c r="A18" t="s">
        <v>307</v>
      </c>
    </row>
    <row r="20">
      <c r="A20" t="s">
        <v>308</v>
      </c>
    </row>
    <row r="21">
      <c r="A21" t="s">
        <v>309</v>
      </c>
    </row>
    <row r="23">
      <c r="A23" t="s">
        <v>310</v>
      </c>
    </row>
    <row r="25">
      <c r="A25" t="s">
        <v>217</v>
      </c>
      <c r="B25" t="s">
        <v>311</v>
      </c>
      <c r="C25" t="s">
        <v>312</v>
      </c>
      <c r="D25" t="s">
        <v>313</v>
      </c>
      <c r="E25" t="s">
        <v>314</v>
      </c>
    </row>
    <row r="26">
      <c r="A26" t="s">
        <v>225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222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229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227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230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231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233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235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234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236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237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238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243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239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240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242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244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245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247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252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250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249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253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254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257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255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258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267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268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260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262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263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264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261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266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270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272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273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274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276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277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278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279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281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282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285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284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287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291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289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292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3.71" hidden="0" customWidth="1"/>
  </cols>
  <sheetData>
    <row r="1">
      <c r="A1" t="s">
        <v>315</v>
      </c>
    </row>
    <row r="2">
      <c r="A2" t="s">
        <v>1</v>
      </c>
    </row>
    <row r="3">
      <c r="A3" t="s">
        <v>316</v>
      </c>
    </row>
    <row r="4">
      <c r="A4" t="s">
        <v>317</v>
      </c>
    </row>
    <row r="5">
      <c r="A5" t="s">
        <v>318</v>
      </c>
    </row>
    <row r="6">
      <c r="A6" t="s">
        <v>1</v>
      </c>
    </row>
    <row r="8">
      <c r="A8" t="s">
        <v>319</v>
      </c>
      <c r="B8" t="s">
        <v>320</v>
      </c>
      <c r="C8" t="s">
        <v>321</v>
      </c>
      <c r="D8" t="s">
        <v>322</v>
      </c>
      <c r="E8" t="s">
        <v>323</v>
      </c>
      <c r="F8" t="s">
        <v>324</v>
      </c>
      <c r="G8" t="s">
        <v>325</v>
      </c>
    </row>
    <row r="9">
      <c r="A9" t="s">
        <v>129</v>
      </c>
      <c r="B9" t="s">
        <v>326</v>
      </c>
      <c r="C9" t="s">
        <v>327</v>
      </c>
      <c r="D9" t="s">
        <v>328</v>
      </c>
      <c r="E9" t="n">
        <v>1</v>
      </c>
      <c r="F9"/>
      <c r="G9"/>
    </row>
    <row r="10">
      <c r="A10" t="s">
        <v>130</v>
      </c>
      <c r="B10" t="s">
        <v>329</v>
      </c>
      <c r="C10" t="s">
        <v>327</v>
      </c>
      <c r="D10" t="s">
        <v>328</v>
      </c>
      <c r="E10" t="n">
        <v>1</v>
      </c>
      <c r="F10"/>
      <c r="G10"/>
    </row>
    <row r="11">
      <c r="A11" t="s">
        <v>131</v>
      </c>
      <c r="B11" t="s">
        <v>330</v>
      </c>
      <c r="C11" t="s">
        <v>331</v>
      </c>
      <c r="D11" t="s">
        <v>332</v>
      </c>
      <c r="E11" t="n">
        <v>1</v>
      </c>
      <c r="F11"/>
      <c r="G11"/>
    </row>
    <row r="12">
      <c r="A12" t="s">
        <v>133</v>
      </c>
      <c r="B12" t="s">
        <v>333</v>
      </c>
      <c r="C12" t="s">
        <v>334</v>
      </c>
      <c r="D12" t="s">
        <v>335</v>
      </c>
      <c r="E12" t="n">
        <v>1</v>
      </c>
      <c r="F12"/>
      <c r="G12"/>
    </row>
    <row r="13">
      <c r="A13" t="s">
        <v>134</v>
      </c>
      <c r="B13" t="s">
        <v>336</v>
      </c>
      <c r="C13" t="s">
        <v>337</v>
      </c>
      <c r="D13" t="s">
        <v>338</v>
      </c>
      <c r="E13" t="n">
        <v>0.72</v>
      </c>
      <c r="F13" t="s">
        <v>339</v>
      </c>
      <c r="G13"/>
    </row>
    <row r="14">
      <c r="A14" t="s">
        <v>134</v>
      </c>
      <c r="B14" t="s">
        <v>336</v>
      </c>
      <c r="C14" t="s">
        <v>340</v>
      </c>
      <c r="D14" t="s">
        <v>341</v>
      </c>
      <c r="E14" t="n">
        <v>0.2</v>
      </c>
      <c r="F14" t="s">
        <v>342</v>
      </c>
      <c r="G14"/>
    </row>
    <row r="15">
      <c r="A15" t="s">
        <v>134</v>
      </c>
      <c r="B15" t="s">
        <v>336</v>
      </c>
      <c r="C15" t="s">
        <v>343</v>
      </c>
      <c r="D15" t="s">
        <v>344</v>
      </c>
      <c r="E15" t="n">
        <v>0.08</v>
      </c>
      <c r="F15" t="s">
        <v>345</v>
      </c>
      <c r="G15"/>
    </row>
    <row r="16">
      <c r="A16" t="s">
        <v>135</v>
      </c>
      <c r="B16" t="s">
        <v>346</v>
      </c>
      <c r="C16" t="s">
        <v>347</v>
      </c>
      <c r="D16" t="s">
        <v>346</v>
      </c>
      <c r="E16" t="n">
        <v>1</v>
      </c>
      <c r="F16"/>
      <c r="G16"/>
    </row>
    <row r="17">
      <c r="A17" t="s">
        <v>147</v>
      </c>
      <c r="B17" t="s">
        <v>348</v>
      </c>
      <c r="C17" t="s">
        <v>349</v>
      </c>
      <c r="D17" t="s">
        <v>350</v>
      </c>
      <c r="E17" t="n">
        <v>1</v>
      </c>
      <c r="F17"/>
      <c r="G17"/>
    </row>
    <row r="18">
      <c r="A18" t="s">
        <v>148</v>
      </c>
      <c r="B18" t="s">
        <v>351</v>
      </c>
      <c r="C18" t="s">
        <v>352</v>
      </c>
      <c r="D18" t="s">
        <v>353</v>
      </c>
      <c r="E18" t="n">
        <v>1</v>
      </c>
      <c r="F18"/>
      <c r="G18"/>
    </row>
    <row r="19">
      <c r="A19" t="s">
        <v>149</v>
      </c>
      <c r="B19" t="s">
        <v>354</v>
      </c>
      <c r="C19" t="s">
        <v>352</v>
      </c>
      <c r="D19" t="s">
        <v>353</v>
      </c>
      <c r="E19" t="n">
        <v>1</v>
      </c>
      <c r="F19"/>
      <c r="G19"/>
    </row>
    <row r="20">
      <c r="A20" t="s">
        <v>136</v>
      </c>
      <c r="B20" t="s">
        <v>355</v>
      </c>
      <c r="C20" t="s">
        <v>356</v>
      </c>
      <c r="D20" t="s">
        <v>357</v>
      </c>
      <c r="E20" t="n">
        <v>1</v>
      </c>
      <c r="F20"/>
      <c r="G20"/>
    </row>
    <row r="21">
      <c r="A21" t="s">
        <v>150</v>
      </c>
      <c r="B21" t="s">
        <v>358</v>
      </c>
      <c r="C21" t="s">
        <v>359</v>
      </c>
      <c r="D21" t="s">
        <v>360</v>
      </c>
      <c r="E21" t="n">
        <v>1</v>
      </c>
      <c r="F21"/>
      <c r="G21"/>
    </row>
    <row r="22">
      <c r="A22" t="s">
        <v>151</v>
      </c>
      <c r="B22" t="s">
        <v>361</v>
      </c>
      <c r="C22" t="s">
        <v>359</v>
      </c>
      <c r="D22" t="s">
        <v>360</v>
      </c>
      <c r="E22" t="n">
        <v>1</v>
      </c>
      <c r="F22"/>
      <c r="G22"/>
    </row>
    <row r="23">
      <c r="A23" t="s">
        <v>152</v>
      </c>
      <c r="B23" t="s">
        <v>362</v>
      </c>
      <c r="C23" t="s">
        <v>363</v>
      </c>
      <c r="D23" t="s">
        <v>364</v>
      </c>
      <c r="E23" t="n">
        <v>0.961</v>
      </c>
      <c r="F23" t="s">
        <v>365</v>
      </c>
      <c r="G23"/>
    </row>
    <row r="24">
      <c r="A24" t="s">
        <v>152</v>
      </c>
      <c r="B24" t="s">
        <v>362</v>
      </c>
      <c r="C24" t="s">
        <v>366</v>
      </c>
      <c r="D24" t="s">
        <v>367</v>
      </c>
      <c r="E24" t="n">
        <v>0.039</v>
      </c>
      <c r="F24" t="s">
        <v>368</v>
      </c>
      <c r="G24"/>
    </row>
    <row r="25">
      <c r="A25" t="s">
        <v>154</v>
      </c>
      <c r="B25" t="s">
        <v>369</v>
      </c>
      <c r="C25" t="s">
        <v>134</v>
      </c>
      <c r="D25" t="s">
        <v>370</v>
      </c>
      <c r="E25" t="n">
        <v>1</v>
      </c>
      <c r="F25"/>
      <c r="G25"/>
    </row>
    <row r="26">
      <c r="A26" t="s">
        <v>139</v>
      </c>
      <c r="B26" t="s">
        <v>371</v>
      </c>
      <c r="C26" t="s">
        <v>372</v>
      </c>
      <c r="D26" t="s">
        <v>371</v>
      </c>
      <c r="E26" t="n">
        <v>1</v>
      </c>
      <c r="F26"/>
      <c r="G26"/>
    </row>
    <row r="27">
      <c r="A27" t="s">
        <v>140</v>
      </c>
      <c r="B27" t="s">
        <v>373</v>
      </c>
      <c r="C27" t="s">
        <v>374</v>
      </c>
      <c r="D27" t="s">
        <v>375</v>
      </c>
      <c r="E27" t="n">
        <v>1</v>
      </c>
      <c r="F27"/>
      <c r="G27"/>
    </row>
    <row r="28">
      <c r="A28" t="s">
        <v>141</v>
      </c>
      <c r="B28" t="s">
        <v>376</v>
      </c>
      <c r="C28" t="s">
        <v>377</v>
      </c>
      <c r="D28" t="s">
        <v>378</v>
      </c>
      <c r="E28" t="n">
        <v>1</v>
      </c>
      <c r="F28"/>
      <c r="G28"/>
    </row>
    <row r="29">
      <c r="A29" t="s">
        <v>142</v>
      </c>
      <c r="B29" t="s">
        <v>379</v>
      </c>
      <c r="C29" t="s">
        <v>380</v>
      </c>
      <c r="D29" t="s">
        <v>381</v>
      </c>
      <c r="E29" t="n">
        <v>1</v>
      </c>
      <c r="F29"/>
      <c r="G29"/>
    </row>
    <row r="30">
      <c r="A30" t="s">
        <v>143</v>
      </c>
      <c r="B30" t="s">
        <v>382</v>
      </c>
      <c r="C30" t="s">
        <v>383</v>
      </c>
      <c r="D30" t="s">
        <v>384</v>
      </c>
      <c r="E30" t="n">
        <v>1</v>
      </c>
      <c r="F30"/>
      <c r="G30"/>
    </row>
    <row r="31">
      <c r="A31" t="s">
        <v>144</v>
      </c>
      <c r="B31" t="s">
        <v>385</v>
      </c>
      <c r="C31" t="s">
        <v>386</v>
      </c>
      <c r="D31" t="s">
        <v>387</v>
      </c>
      <c r="E31" t="n">
        <v>1</v>
      </c>
      <c r="F31"/>
      <c r="G31"/>
    </row>
    <row r="32">
      <c r="A32" t="s">
        <v>145</v>
      </c>
      <c r="B32" t="s">
        <v>388</v>
      </c>
      <c r="C32" t="s">
        <v>389</v>
      </c>
      <c r="D32" t="s">
        <v>390</v>
      </c>
      <c r="E32" t="n">
        <v>1</v>
      </c>
      <c r="F32"/>
      <c r="G32"/>
    </row>
    <row r="33">
      <c r="A33" t="s">
        <v>146</v>
      </c>
      <c r="B33" t="s">
        <v>391</v>
      </c>
      <c r="C33" t="s">
        <v>389</v>
      </c>
      <c r="D33" t="s">
        <v>390</v>
      </c>
      <c r="E33" t="n">
        <v>1</v>
      </c>
      <c r="F33"/>
      <c r="G33"/>
    </row>
    <row r="34">
      <c r="A34" t="s">
        <v>155</v>
      </c>
      <c r="B34" t="s">
        <v>392</v>
      </c>
      <c r="C34" t="s">
        <v>393</v>
      </c>
      <c r="D34" t="s">
        <v>394</v>
      </c>
      <c r="E34" t="n">
        <v>1</v>
      </c>
      <c r="F34"/>
      <c r="G34"/>
    </row>
    <row r="35">
      <c r="A35" t="s">
        <v>156</v>
      </c>
      <c r="B35" t="s">
        <v>395</v>
      </c>
      <c r="C35" t="s">
        <v>393</v>
      </c>
      <c r="D35" t="s">
        <v>394</v>
      </c>
      <c r="E35" t="n">
        <v>1</v>
      </c>
      <c r="F35"/>
      <c r="G35"/>
    </row>
    <row r="36">
      <c r="A36" t="s">
        <v>157</v>
      </c>
      <c r="B36" t="s">
        <v>396</v>
      </c>
      <c r="C36" t="s">
        <v>393</v>
      </c>
      <c r="D36" t="s">
        <v>394</v>
      </c>
      <c r="E36" t="n">
        <v>1</v>
      </c>
      <c r="F36"/>
      <c r="G36"/>
    </row>
    <row r="37">
      <c r="A37" t="s">
        <v>158</v>
      </c>
      <c r="B37" t="s">
        <v>397</v>
      </c>
      <c r="C37" t="s">
        <v>393</v>
      </c>
      <c r="D37" t="s">
        <v>394</v>
      </c>
      <c r="E37" t="n">
        <v>1</v>
      </c>
      <c r="F37"/>
      <c r="G37"/>
    </row>
    <row r="38">
      <c r="A38" t="s">
        <v>159</v>
      </c>
      <c r="B38" t="s">
        <v>398</v>
      </c>
      <c r="C38" t="s">
        <v>393</v>
      </c>
      <c r="D38" t="s">
        <v>394</v>
      </c>
      <c r="E38" t="n">
        <v>1</v>
      </c>
      <c r="F38"/>
      <c r="G38"/>
    </row>
    <row r="39">
      <c r="A39" t="s">
        <v>160</v>
      </c>
      <c r="B39" t="s">
        <v>399</v>
      </c>
      <c r="C39" t="s">
        <v>400</v>
      </c>
      <c r="D39" t="s">
        <v>401</v>
      </c>
      <c r="E39" t="n">
        <v>1</v>
      </c>
      <c r="F39"/>
      <c r="G39"/>
    </row>
    <row r="40">
      <c r="A40" t="s">
        <v>161</v>
      </c>
      <c r="B40" t="s">
        <v>402</v>
      </c>
      <c r="C40" t="s">
        <v>400</v>
      </c>
      <c r="D40" t="s">
        <v>401</v>
      </c>
      <c r="E40" t="n">
        <v>1</v>
      </c>
      <c r="F40"/>
      <c r="G40"/>
    </row>
    <row r="41">
      <c r="A41" t="s">
        <v>162</v>
      </c>
      <c r="B41" t="s">
        <v>403</v>
      </c>
      <c r="C41" t="s">
        <v>400</v>
      </c>
      <c r="D41" t="s">
        <v>401</v>
      </c>
      <c r="E41" t="n">
        <v>1</v>
      </c>
      <c r="F41"/>
      <c r="G41"/>
    </row>
    <row r="42">
      <c r="A42" t="s">
        <v>163</v>
      </c>
      <c r="B42" t="s">
        <v>404</v>
      </c>
      <c r="C42" t="s">
        <v>400</v>
      </c>
      <c r="D42" t="s">
        <v>401</v>
      </c>
      <c r="E42" t="n">
        <v>1</v>
      </c>
      <c r="F42"/>
      <c r="G42"/>
    </row>
    <row r="43">
      <c r="A43" t="s">
        <v>164</v>
      </c>
      <c r="B43" t="s">
        <v>405</v>
      </c>
      <c r="C43" t="s">
        <v>400</v>
      </c>
      <c r="D43" t="s">
        <v>401</v>
      </c>
      <c r="E43" t="n">
        <v>1</v>
      </c>
      <c r="F43"/>
      <c r="G43"/>
    </row>
    <row r="44">
      <c r="A44" t="s">
        <v>165</v>
      </c>
      <c r="B44" t="s">
        <v>406</v>
      </c>
      <c r="C44" t="s">
        <v>340</v>
      </c>
      <c r="D44" t="s">
        <v>407</v>
      </c>
      <c r="E44" t="n">
        <v>1</v>
      </c>
      <c r="F44" t="s">
        <v>408</v>
      </c>
      <c r="G44"/>
    </row>
    <row r="45">
      <c r="A45" t="s">
        <v>166</v>
      </c>
      <c r="B45" t="s">
        <v>409</v>
      </c>
      <c r="C45" t="s">
        <v>400</v>
      </c>
      <c r="D45" t="s">
        <v>401</v>
      </c>
      <c r="E45" t="n">
        <v>1</v>
      </c>
      <c r="F45"/>
      <c r="G45"/>
    </row>
    <row r="46">
      <c r="A46" t="s">
        <v>167</v>
      </c>
      <c r="B46" t="s">
        <v>410</v>
      </c>
      <c r="C46" t="s">
        <v>400</v>
      </c>
      <c r="D46" t="s">
        <v>401</v>
      </c>
      <c r="E46" t="n">
        <v>1</v>
      </c>
      <c r="F46"/>
      <c r="G46"/>
    </row>
    <row r="47">
      <c r="A47" t="s">
        <v>168</v>
      </c>
      <c r="B47" t="s">
        <v>411</v>
      </c>
      <c r="C47" t="s">
        <v>412</v>
      </c>
      <c r="D47" t="s">
        <v>413</v>
      </c>
      <c r="E47" t="n">
        <v>1</v>
      </c>
      <c r="F47"/>
      <c r="G47"/>
    </row>
    <row r="48">
      <c r="A48" t="s">
        <v>169</v>
      </c>
      <c r="B48" t="s">
        <v>414</v>
      </c>
      <c r="C48" t="s">
        <v>412</v>
      </c>
      <c r="D48" t="s">
        <v>413</v>
      </c>
      <c r="E48" t="n">
        <v>1</v>
      </c>
      <c r="F48"/>
      <c r="G48"/>
    </row>
    <row r="49">
      <c r="A49" t="s">
        <v>170</v>
      </c>
      <c r="B49" t="s">
        <v>415</v>
      </c>
      <c r="C49" t="s">
        <v>412</v>
      </c>
      <c r="D49" t="s">
        <v>413</v>
      </c>
      <c r="E49" t="n">
        <v>0.25</v>
      </c>
      <c r="F49" t="s">
        <v>416</v>
      </c>
      <c r="G49"/>
    </row>
    <row r="50">
      <c r="A50" t="s">
        <v>170</v>
      </c>
      <c r="B50" t="s">
        <v>415</v>
      </c>
      <c r="C50" t="s">
        <v>185</v>
      </c>
      <c r="D50" t="s">
        <v>417</v>
      </c>
      <c r="E50" t="n">
        <v>0.75</v>
      </c>
      <c r="F50"/>
      <c r="G50"/>
    </row>
    <row r="51">
      <c r="A51" t="s">
        <v>171</v>
      </c>
      <c r="B51" t="s">
        <v>418</v>
      </c>
      <c r="C51" t="s">
        <v>419</v>
      </c>
      <c r="D51" t="s">
        <v>420</v>
      </c>
      <c r="E51" t="n">
        <v>1</v>
      </c>
      <c r="F51"/>
      <c r="G51"/>
    </row>
    <row r="52">
      <c r="A52" t="s">
        <v>172</v>
      </c>
      <c r="B52" t="s">
        <v>421</v>
      </c>
      <c r="C52" t="s">
        <v>422</v>
      </c>
      <c r="D52" t="s">
        <v>423</v>
      </c>
      <c r="E52" t="n">
        <v>1</v>
      </c>
      <c r="F52"/>
      <c r="G52"/>
    </row>
    <row r="53">
      <c r="A53" t="s">
        <v>173</v>
      </c>
      <c r="B53" t="s">
        <v>424</v>
      </c>
      <c r="C53" t="s">
        <v>422</v>
      </c>
      <c r="D53" t="s">
        <v>423</v>
      </c>
      <c r="E53" t="n">
        <v>1</v>
      </c>
      <c r="F53"/>
      <c r="G53"/>
    </row>
    <row r="54">
      <c r="A54" t="s">
        <v>174</v>
      </c>
      <c r="B54" t="s">
        <v>425</v>
      </c>
      <c r="C54" t="s">
        <v>422</v>
      </c>
      <c r="D54" t="s">
        <v>423</v>
      </c>
      <c r="E54" t="n">
        <v>1</v>
      </c>
      <c r="F54"/>
      <c r="G54"/>
    </row>
    <row r="55">
      <c r="A55" t="s">
        <v>175</v>
      </c>
      <c r="B55" t="s">
        <v>426</v>
      </c>
      <c r="C55" t="s">
        <v>422</v>
      </c>
      <c r="D55" t="s">
        <v>423</v>
      </c>
      <c r="E55" t="n">
        <v>1</v>
      </c>
      <c r="F55"/>
      <c r="G55"/>
    </row>
    <row r="56">
      <c r="A56" t="s">
        <v>176</v>
      </c>
      <c r="B56" t="s">
        <v>427</v>
      </c>
      <c r="C56" t="s">
        <v>428</v>
      </c>
      <c r="D56" t="s">
        <v>429</v>
      </c>
      <c r="E56" t="n">
        <v>1</v>
      </c>
      <c r="F56"/>
      <c r="G56"/>
    </row>
    <row r="57">
      <c r="A57" t="s">
        <v>177</v>
      </c>
      <c r="B57" t="s">
        <v>430</v>
      </c>
      <c r="C57" t="s">
        <v>428</v>
      </c>
      <c r="D57" t="s">
        <v>429</v>
      </c>
      <c r="E57" t="n">
        <v>1</v>
      </c>
      <c r="F57"/>
      <c r="G57"/>
    </row>
    <row r="58">
      <c r="A58" t="s">
        <v>178</v>
      </c>
      <c r="B58" t="s">
        <v>431</v>
      </c>
      <c r="C58" t="s">
        <v>432</v>
      </c>
      <c r="D58" t="s">
        <v>433</v>
      </c>
      <c r="E58" t="n">
        <v>1</v>
      </c>
      <c r="F58" t="s">
        <v>434</v>
      </c>
      <c r="G58"/>
    </row>
    <row r="59">
      <c r="A59" t="s">
        <v>179</v>
      </c>
      <c r="B59" t="s">
        <v>435</v>
      </c>
      <c r="C59" t="s">
        <v>432</v>
      </c>
      <c r="D59" t="s">
        <v>433</v>
      </c>
      <c r="E59" t="n">
        <v>1</v>
      </c>
      <c r="F59"/>
      <c r="G59"/>
    </row>
    <row r="60">
      <c r="A60" t="s">
        <v>181</v>
      </c>
      <c r="B60" t="s">
        <v>436</v>
      </c>
      <c r="C60" t="s">
        <v>432</v>
      </c>
      <c r="D60" t="s">
        <v>433</v>
      </c>
      <c r="E60" t="n">
        <v>1</v>
      </c>
      <c r="F60"/>
      <c r="G60"/>
    </row>
    <row r="61">
      <c r="A61" t="s">
        <v>180</v>
      </c>
      <c r="B61" t="s">
        <v>437</v>
      </c>
      <c r="C61" t="s">
        <v>419</v>
      </c>
      <c r="D61" t="s">
        <v>420</v>
      </c>
      <c r="E61" t="n">
        <v>1</v>
      </c>
      <c r="F61" t="s">
        <v>438</v>
      </c>
      <c r="G61"/>
    </row>
    <row r="62">
      <c r="A62" t="s">
        <v>182</v>
      </c>
      <c r="B62" t="s">
        <v>439</v>
      </c>
      <c r="C62" t="s">
        <v>432</v>
      </c>
      <c r="D62" t="s">
        <v>433</v>
      </c>
      <c r="E62" t="n">
        <v>1</v>
      </c>
      <c r="F62"/>
      <c r="G62"/>
    </row>
    <row r="63">
      <c r="A63" t="s">
        <v>183</v>
      </c>
      <c r="B63" t="s">
        <v>440</v>
      </c>
      <c r="C63" t="s">
        <v>432</v>
      </c>
      <c r="D63" t="s">
        <v>433</v>
      </c>
      <c r="E63" t="n">
        <v>1</v>
      </c>
      <c r="F63"/>
      <c r="G63"/>
    </row>
    <row r="64">
      <c r="A64" t="s">
        <v>184</v>
      </c>
      <c r="B64" t="s">
        <v>441</v>
      </c>
      <c r="C64" t="s">
        <v>343</v>
      </c>
      <c r="D64" t="s">
        <v>442</v>
      </c>
      <c r="E64" t="n">
        <v>1</v>
      </c>
      <c r="F64"/>
      <c r="G64"/>
    </row>
    <row r="65">
      <c r="A65" t="s">
        <v>185</v>
      </c>
      <c r="B65" t="s">
        <v>443</v>
      </c>
      <c r="C65" t="s">
        <v>444</v>
      </c>
      <c r="D65" t="s">
        <v>445</v>
      </c>
      <c r="E65" t="n">
        <v>1</v>
      </c>
      <c r="F65"/>
      <c r="G65"/>
    </row>
    <row r="66">
      <c r="A66" t="s">
        <v>186</v>
      </c>
      <c r="B66" t="s">
        <v>446</v>
      </c>
      <c r="C66" t="s">
        <v>447</v>
      </c>
      <c r="D66" t="s">
        <v>448</v>
      </c>
      <c r="E66" t="n">
        <v>1</v>
      </c>
      <c r="F66"/>
      <c r="G66"/>
    </row>
    <row r="67">
      <c r="A67" t="s">
        <v>187</v>
      </c>
      <c r="B67" t="s">
        <v>449</v>
      </c>
      <c r="C67" t="s">
        <v>447</v>
      </c>
      <c r="D67" t="s">
        <v>448</v>
      </c>
      <c r="E67" t="n">
        <v>1</v>
      </c>
      <c r="F67"/>
      <c r="G67"/>
    </row>
    <row r="68">
      <c r="A68" t="s">
        <v>188</v>
      </c>
      <c r="B68" t="s">
        <v>450</v>
      </c>
      <c r="C68" t="s">
        <v>447</v>
      </c>
      <c r="D68" t="s">
        <v>448</v>
      </c>
      <c r="E68" t="n">
        <v>1</v>
      </c>
      <c r="F68"/>
      <c r="G68"/>
    </row>
    <row r="69">
      <c r="A69" t="s">
        <v>189</v>
      </c>
      <c r="B69" t="s">
        <v>451</v>
      </c>
      <c r="C69" t="s">
        <v>447</v>
      </c>
      <c r="D69" t="s">
        <v>448</v>
      </c>
      <c r="E69" t="n">
        <v>1</v>
      </c>
      <c r="F69"/>
      <c r="G69"/>
    </row>
    <row r="70">
      <c r="A70" t="s">
        <v>190</v>
      </c>
      <c r="B70" t="s">
        <v>452</v>
      </c>
      <c r="C70" t="s">
        <v>453</v>
      </c>
      <c r="D70" t="s">
        <v>454</v>
      </c>
      <c r="E70" t="n">
        <v>1</v>
      </c>
      <c r="F70"/>
      <c r="G70"/>
    </row>
    <row r="71">
      <c r="A71" t="s">
        <v>191</v>
      </c>
      <c r="B71" t="s">
        <v>455</v>
      </c>
      <c r="C71" t="s">
        <v>453</v>
      </c>
      <c r="D71" t="s">
        <v>454</v>
      </c>
      <c r="E71" t="n">
        <v>1</v>
      </c>
      <c r="F71"/>
      <c r="G71"/>
    </row>
    <row r="72">
      <c r="A72" t="s">
        <v>192</v>
      </c>
      <c r="B72" t="s">
        <v>456</v>
      </c>
      <c r="C72" t="s">
        <v>457</v>
      </c>
      <c r="D72" t="s">
        <v>458</v>
      </c>
      <c r="E72" t="n">
        <v>1</v>
      </c>
      <c r="F72"/>
      <c r="G72"/>
    </row>
    <row r="73">
      <c r="A73" t="s">
        <v>193</v>
      </c>
      <c r="B73" t="s">
        <v>459</v>
      </c>
      <c r="C73" t="s">
        <v>457</v>
      </c>
      <c r="D73" t="s">
        <v>458</v>
      </c>
      <c r="E73" t="n">
        <v>1</v>
      </c>
      <c r="F73"/>
      <c r="G73"/>
    </row>
    <row r="74">
      <c r="A74" t="s">
        <v>194</v>
      </c>
      <c r="B74" t="s">
        <v>460</v>
      </c>
      <c r="C74" t="s">
        <v>453</v>
      </c>
      <c r="D74" t="s">
        <v>454</v>
      </c>
      <c r="E74" t="n">
        <v>1</v>
      </c>
      <c r="F74"/>
      <c r="G74"/>
    </row>
    <row r="75">
      <c r="A75" t="s">
        <v>195</v>
      </c>
      <c r="B75" t="s">
        <v>461</v>
      </c>
      <c r="C75" t="s">
        <v>462</v>
      </c>
      <c r="D75" t="s">
        <v>463</v>
      </c>
      <c r="E75" t="n">
        <v>1</v>
      </c>
      <c r="F75"/>
      <c r="G75"/>
    </row>
    <row r="76">
      <c r="A76" t="s">
        <v>196</v>
      </c>
      <c r="B76" t="s">
        <v>464</v>
      </c>
      <c r="C76" t="s">
        <v>462</v>
      </c>
      <c r="D76" t="s">
        <v>463</v>
      </c>
      <c r="E76" t="n">
        <v>1</v>
      </c>
      <c r="F76"/>
      <c r="G76"/>
    </row>
    <row r="77">
      <c r="A77" t="s">
        <v>197</v>
      </c>
      <c r="B77" t="s">
        <v>465</v>
      </c>
      <c r="C77" t="s">
        <v>462</v>
      </c>
      <c r="D77" t="s">
        <v>463</v>
      </c>
      <c r="E77" t="n">
        <v>1</v>
      </c>
      <c r="F77"/>
      <c r="G77"/>
    </row>
    <row r="78">
      <c r="A78" t="s">
        <v>198</v>
      </c>
      <c r="B78" t="s">
        <v>466</v>
      </c>
      <c r="C78" t="s">
        <v>462</v>
      </c>
      <c r="D78" t="s">
        <v>463</v>
      </c>
      <c r="E78" t="n">
        <v>1</v>
      </c>
      <c r="F78"/>
      <c r="G78"/>
    </row>
    <row r="79">
      <c r="A79" t="s">
        <v>199</v>
      </c>
      <c r="B79" t="s">
        <v>467</v>
      </c>
      <c r="C79" t="s">
        <v>462</v>
      </c>
      <c r="D79" t="s">
        <v>463</v>
      </c>
      <c r="E79" t="n">
        <v>1</v>
      </c>
      <c r="F79"/>
      <c r="G79"/>
    </row>
    <row r="80">
      <c r="A80" t="s">
        <v>132</v>
      </c>
      <c r="B80" t="s">
        <v>468</v>
      </c>
      <c r="C80" t="s">
        <v>469</v>
      </c>
      <c r="D80" t="s">
        <v>470</v>
      </c>
      <c r="E80" t="n">
        <v>0.298155430580855</v>
      </c>
      <c r="F80"/>
      <c r="G80" t="s">
        <v>471</v>
      </c>
    </row>
    <row r="81">
      <c r="A81" t="s">
        <v>132</v>
      </c>
      <c r="B81" t="s">
        <v>468</v>
      </c>
      <c r="C81" t="s">
        <v>472</v>
      </c>
      <c r="D81" t="s">
        <v>473</v>
      </c>
      <c r="E81" t="n">
        <v>0.701844569419145</v>
      </c>
      <c r="F81"/>
      <c r="G81" t="s">
        <v>471</v>
      </c>
    </row>
    <row r="82">
      <c r="A82" t="s">
        <v>137</v>
      </c>
      <c r="B82" t="s">
        <v>474</v>
      </c>
      <c r="C82" t="s">
        <v>475</v>
      </c>
      <c r="D82" t="s">
        <v>476</v>
      </c>
      <c r="E82" t="n">
        <v>0.25</v>
      </c>
      <c r="F82"/>
      <c r="G82" t="s">
        <v>477</v>
      </c>
    </row>
    <row r="83">
      <c r="A83" t="s">
        <v>137</v>
      </c>
      <c r="B83" t="s">
        <v>474</v>
      </c>
      <c r="C83" t="s">
        <v>478</v>
      </c>
      <c r="D83" t="s">
        <v>479</v>
      </c>
      <c r="E83" t="n">
        <v>0.75</v>
      </c>
      <c r="F83"/>
      <c r="G83" t="s">
        <v>477</v>
      </c>
    </row>
    <row r="84">
      <c r="A84" t="s">
        <v>138</v>
      </c>
      <c r="B84" t="s">
        <v>480</v>
      </c>
      <c r="C84" t="s">
        <v>366</v>
      </c>
      <c r="D84" t="s">
        <v>367</v>
      </c>
      <c r="E84" t="n">
        <v>0.55</v>
      </c>
      <c r="F84"/>
      <c r="G84" t="s">
        <v>481</v>
      </c>
    </row>
    <row r="85">
      <c r="A85" t="s">
        <v>138</v>
      </c>
      <c r="B85" t="s">
        <v>480</v>
      </c>
      <c r="C85" t="s">
        <v>482</v>
      </c>
      <c r="D85" t="s">
        <v>483</v>
      </c>
      <c r="E85" t="n">
        <v>0.45</v>
      </c>
      <c r="F85"/>
      <c r="G85" t="s">
        <v>481</v>
      </c>
    </row>
    <row r="86">
      <c r="A86" t="s">
        <v>153</v>
      </c>
      <c r="B86" t="s">
        <v>484</v>
      </c>
      <c r="C86" t="s">
        <v>485</v>
      </c>
      <c r="D86" t="s">
        <v>486</v>
      </c>
      <c r="E86" t="n">
        <v>0.65</v>
      </c>
      <c r="F86"/>
      <c r="G86" t="s">
        <v>487</v>
      </c>
    </row>
    <row r="87">
      <c r="A87" t="s">
        <v>153</v>
      </c>
      <c r="B87" t="s">
        <v>484</v>
      </c>
      <c r="C87" t="s">
        <v>488</v>
      </c>
      <c r="D87" t="s">
        <v>489</v>
      </c>
      <c r="E87" t="n">
        <v>0.35</v>
      </c>
      <c r="F87"/>
      <c r="G87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490</v>
      </c>
    </row>
    <row r="2">
      <c r="A2" t="s">
        <v>1</v>
      </c>
    </row>
    <row r="3">
      <c r="A3" t="s">
        <v>491</v>
      </c>
    </row>
    <row r="4">
      <c r="A4" t="s">
        <v>492</v>
      </c>
    </row>
    <row r="5">
      <c r="A5" t="s">
        <v>493</v>
      </c>
    </row>
    <row r="6">
      <c r="A6" t="s">
        <v>494</v>
      </c>
    </row>
    <row r="7">
      <c r="A7" t="s">
        <v>495</v>
      </c>
    </row>
    <row r="8">
      <c r="A8" t="s">
        <v>496</v>
      </c>
    </row>
    <row r="9">
      <c r="A9" t="s">
        <v>1</v>
      </c>
    </row>
    <row r="11">
      <c r="A11" t="s">
        <v>319</v>
      </c>
      <c r="B11" t="s">
        <v>321</v>
      </c>
      <c r="C11" t="s">
        <v>323</v>
      </c>
      <c r="D11" t="s">
        <v>325</v>
      </c>
    </row>
    <row r="12">
      <c r="A12" t="n">
        <v>212</v>
      </c>
      <c r="B12" t="s">
        <v>469</v>
      </c>
      <c r="C12" t="n">
        <v>0.298155430580855</v>
      </c>
      <c r="D12" t="s">
        <v>471</v>
      </c>
    </row>
    <row r="13">
      <c r="A13" t="n">
        <v>212</v>
      </c>
      <c r="B13" t="s">
        <v>472</v>
      </c>
      <c r="C13" t="n">
        <v>0.701844569419145</v>
      </c>
      <c r="D13" t="s">
        <v>471</v>
      </c>
    </row>
    <row r="14">
      <c r="A14" t="n">
        <v>327</v>
      </c>
      <c r="B14" t="s">
        <v>475</v>
      </c>
      <c r="C14" t="n">
        <v>0.25</v>
      </c>
      <c r="D14" t="s">
        <v>477</v>
      </c>
    </row>
    <row r="15">
      <c r="A15" t="n">
        <v>327</v>
      </c>
      <c r="B15" t="s">
        <v>478</v>
      </c>
      <c r="C15" t="n">
        <v>0.75</v>
      </c>
      <c r="D15" t="s">
        <v>477</v>
      </c>
    </row>
    <row r="16">
      <c r="A16" t="n">
        <v>331</v>
      </c>
      <c r="B16" t="s">
        <v>366</v>
      </c>
      <c r="C16" t="n">
        <v>0.55</v>
      </c>
      <c r="D16" t="s">
        <v>481</v>
      </c>
    </row>
    <row r="17">
      <c r="A17" t="n">
        <v>331</v>
      </c>
      <c r="B17" t="s">
        <v>482</v>
      </c>
      <c r="C17" t="n">
        <v>0.45</v>
      </c>
      <c r="D17" t="s">
        <v>481</v>
      </c>
    </row>
    <row r="18">
      <c r="A18" t="n">
        <v>325</v>
      </c>
      <c r="B18" t="s">
        <v>485</v>
      </c>
      <c r="C18" t="n">
        <v>0.65</v>
      </c>
      <c r="D18" t="s">
        <v>487</v>
      </c>
    </row>
    <row r="19">
      <c r="A19" t="n">
        <v>325</v>
      </c>
      <c r="B19" t="s">
        <v>488</v>
      </c>
      <c r="C19" t="n">
        <v>0.35</v>
      </c>
      <c r="D19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497</v>
      </c>
    </row>
    <row r="2">
      <c r="A2" t="s">
        <v>498</v>
      </c>
    </row>
    <row r="3">
      <c r="A3" t="s">
        <v>499</v>
      </c>
    </row>
    <row r="4">
      <c r="A4" t="s">
        <v>500</v>
      </c>
    </row>
    <row r="5">
      <c r="A5" t="s">
        <v>1</v>
      </c>
    </row>
    <row r="7">
      <c r="A7" t="s">
        <v>501</v>
      </c>
      <c r="B7" t="s">
        <v>502</v>
      </c>
      <c r="C7" t="s">
        <v>503</v>
      </c>
    </row>
    <row r="8">
      <c r="A8" t="s">
        <v>327</v>
      </c>
      <c r="B8" t="s">
        <v>504</v>
      </c>
      <c r="C8" t="s">
        <v>505</v>
      </c>
    </row>
    <row r="9">
      <c r="A9" t="s">
        <v>469</v>
      </c>
      <c r="B9" t="s">
        <v>470</v>
      </c>
      <c r="C9" t="s">
        <v>506</v>
      </c>
    </row>
    <row r="10">
      <c r="A10" t="s">
        <v>331</v>
      </c>
      <c r="B10" t="s">
        <v>332</v>
      </c>
      <c r="C10" t="s">
        <v>507</v>
      </c>
    </row>
    <row r="11">
      <c r="A11" t="s">
        <v>472</v>
      </c>
      <c r="B11" t="s">
        <v>508</v>
      </c>
      <c r="C11" t="s">
        <v>509</v>
      </c>
    </row>
    <row r="12">
      <c r="A12" t="s">
        <v>334</v>
      </c>
      <c r="B12" t="s">
        <v>335</v>
      </c>
      <c r="C12" t="s">
        <v>510</v>
      </c>
    </row>
    <row r="13">
      <c r="A13" t="s">
        <v>349</v>
      </c>
      <c r="B13" t="s">
        <v>511</v>
      </c>
      <c r="C13" t="s">
        <v>512</v>
      </c>
    </row>
    <row r="14">
      <c r="A14" t="s">
        <v>352</v>
      </c>
      <c r="B14" t="s">
        <v>513</v>
      </c>
      <c r="C14" t="s">
        <v>514</v>
      </c>
    </row>
    <row r="15">
      <c r="A15" t="s">
        <v>356</v>
      </c>
      <c r="B15" t="s">
        <v>515</v>
      </c>
      <c r="C15" t="s">
        <v>516</v>
      </c>
    </row>
    <row r="16">
      <c r="A16" t="s">
        <v>359</v>
      </c>
      <c r="B16" t="s">
        <v>360</v>
      </c>
      <c r="C16" t="s">
        <v>517</v>
      </c>
    </row>
    <row r="17">
      <c r="A17" t="s">
        <v>363</v>
      </c>
      <c r="B17" t="s">
        <v>364</v>
      </c>
      <c r="C17" t="s">
        <v>518</v>
      </c>
    </row>
    <row r="18">
      <c r="A18" t="s">
        <v>485</v>
      </c>
      <c r="B18" t="s">
        <v>519</v>
      </c>
      <c r="C18" t="s">
        <v>520</v>
      </c>
    </row>
    <row r="19">
      <c r="A19" t="s">
        <v>488</v>
      </c>
      <c r="B19" t="s">
        <v>521</v>
      </c>
      <c r="C19" t="s">
        <v>522</v>
      </c>
    </row>
    <row r="20">
      <c r="A20" t="s">
        <v>134</v>
      </c>
      <c r="B20" t="s">
        <v>370</v>
      </c>
      <c r="C20" t="s">
        <v>523</v>
      </c>
    </row>
    <row r="21">
      <c r="A21" t="s">
        <v>475</v>
      </c>
      <c r="B21" t="s">
        <v>524</v>
      </c>
      <c r="C21" t="s">
        <v>525</v>
      </c>
    </row>
    <row r="22">
      <c r="A22" t="s">
        <v>478</v>
      </c>
      <c r="B22" t="s">
        <v>526</v>
      </c>
      <c r="C22" t="s">
        <v>527</v>
      </c>
    </row>
    <row r="23">
      <c r="A23" t="s">
        <v>366</v>
      </c>
      <c r="B23" t="s">
        <v>528</v>
      </c>
      <c r="C23" t="s">
        <v>529</v>
      </c>
    </row>
    <row r="24">
      <c r="A24" t="s">
        <v>482</v>
      </c>
      <c r="B24" t="s">
        <v>530</v>
      </c>
      <c r="C24" t="s">
        <v>531</v>
      </c>
    </row>
    <row r="25">
      <c r="A25" t="s">
        <v>372</v>
      </c>
      <c r="B25" t="s">
        <v>532</v>
      </c>
      <c r="C25" t="s">
        <v>533</v>
      </c>
    </row>
    <row r="26">
      <c r="A26" t="s">
        <v>377</v>
      </c>
      <c r="B26" t="s">
        <v>378</v>
      </c>
      <c r="C26" t="s">
        <v>534</v>
      </c>
    </row>
    <row r="27">
      <c r="A27" t="s">
        <v>380</v>
      </c>
      <c r="B27" t="s">
        <v>381</v>
      </c>
      <c r="C27" t="s">
        <v>535</v>
      </c>
    </row>
    <row r="28">
      <c r="A28" t="s">
        <v>374</v>
      </c>
      <c r="B28" t="s">
        <v>375</v>
      </c>
      <c r="C28" t="s">
        <v>536</v>
      </c>
    </row>
    <row r="29">
      <c r="A29" t="s">
        <v>383</v>
      </c>
      <c r="B29" t="s">
        <v>537</v>
      </c>
      <c r="C29" t="s">
        <v>538</v>
      </c>
    </row>
    <row r="30">
      <c r="A30" t="s">
        <v>386</v>
      </c>
      <c r="B30" t="s">
        <v>387</v>
      </c>
      <c r="C30" t="s">
        <v>539</v>
      </c>
    </row>
    <row r="31">
      <c r="A31" t="s">
        <v>389</v>
      </c>
      <c r="B31" t="s">
        <v>540</v>
      </c>
      <c r="C31" t="s">
        <v>541</v>
      </c>
    </row>
    <row r="32">
      <c r="A32" t="s">
        <v>337</v>
      </c>
      <c r="B32" t="s">
        <v>542</v>
      </c>
      <c r="C32" t="s">
        <v>543</v>
      </c>
    </row>
    <row r="33">
      <c r="A33" t="s">
        <v>340</v>
      </c>
      <c r="B33" t="s">
        <v>544</v>
      </c>
      <c r="C33" t="s">
        <v>545</v>
      </c>
    </row>
    <row r="34">
      <c r="A34" t="s">
        <v>343</v>
      </c>
      <c r="B34" t="s">
        <v>546</v>
      </c>
      <c r="C34" t="s">
        <v>547</v>
      </c>
    </row>
    <row r="35">
      <c r="A35" t="s">
        <v>347</v>
      </c>
      <c r="B35" t="s">
        <v>346</v>
      </c>
      <c r="C35" t="s">
        <v>548</v>
      </c>
    </row>
    <row r="36">
      <c r="A36" t="s">
        <v>393</v>
      </c>
      <c r="B36" t="s">
        <v>549</v>
      </c>
      <c r="C36" t="s">
        <v>550</v>
      </c>
    </row>
    <row r="37">
      <c r="A37" t="s">
        <v>400</v>
      </c>
      <c r="B37" t="s">
        <v>401</v>
      </c>
      <c r="C37" t="s">
        <v>551</v>
      </c>
    </row>
    <row r="38">
      <c r="A38" t="s">
        <v>457</v>
      </c>
      <c r="B38" t="s">
        <v>552</v>
      </c>
      <c r="C38" t="s">
        <v>553</v>
      </c>
    </row>
    <row r="39">
      <c r="A39" t="s">
        <v>412</v>
      </c>
      <c r="B39" t="s">
        <v>554</v>
      </c>
      <c r="C39" t="s">
        <v>555</v>
      </c>
    </row>
    <row r="40">
      <c r="A40" t="s">
        <v>185</v>
      </c>
      <c r="B40" t="s">
        <v>417</v>
      </c>
      <c r="C40" t="s">
        <v>556</v>
      </c>
    </row>
    <row r="41">
      <c r="A41" t="s">
        <v>419</v>
      </c>
      <c r="B41" t="s">
        <v>420</v>
      </c>
      <c r="C41" t="s">
        <v>557</v>
      </c>
    </row>
    <row r="42">
      <c r="A42" t="s">
        <v>422</v>
      </c>
      <c r="B42" t="s">
        <v>558</v>
      </c>
      <c r="C42" t="s">
        <v>559</v>
      </c>
    </row>
    <row r="43">
      <c r="A43" t="s">
        <v>428</v>
      </c>
      <c r="B43" t="s">
        <v>429</v>
      </c>
      <c r="C43" t="s">
        <v>560</v>
      </c>
    </row>
    <row r="44">
      <c r="A44" t="s">
        <v>432</v>
      </c>
      <c r="B44" t="s">
        <v>561</v>
      </c>
      <c r="C44" t="s">
        <v>562</v>
      </c>
    </row>
    <row r="45">
      <c r="A45" t="s">
        <v>462</v>
      </c>
      <c r="B45" t="s">
        <v>563</v>
      </c>
      <c r="C45" t="s">
        <v>564</v>
      </c>
    </row>
    <row r="46">
      <c r="A46" t="s">
        <v>444</v>
      </c>
      <c r="B46" t="s">
        <v>445</v>
      </c>
      <c r="C46" t="s">
        <v>565</v>
      </c>
    </row>
    <row r="47">
      <c r="A47" t="s">
        <v>447</v>
      </c>
      <c r="B47" t="s">
        <v>566</v>
      </c>
      <c r="C47" t="s">
        <v>567</v>
      </c>
    </row>
    <row r="48">
      <c r="A48" t="s">
        <v>453</v>
      </c>
      <c r="B48" t="s">
        <v>568</v>
      </c>
      <c r="C48" t="s">
        <v>569</v>
      </c>
    </row>
    <row r="49">
      <c r="A49" t="s">
        <v>570</v>
      </c>
      <c r="B49" t="s">
        <v>571</v>
      </c>
      <c r="C49" t="s">
        <v>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573</v>
      </c>
    </row>
    <row r="2">
      <c r="A2" t="s">
        <v>319</v>
      </c>
      <c r="B2" t="s">
        <v>321</v>
      </c>
      <c r="C2" t="s">
        <v>323</v>
      </c>
      <c r="D2" t="s">
        <v>574</v>
      </c>
      <c r="E2" t="s">
        <v>575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IFERROR(INDEX('2_VA_total_by_BEA'!$B$2:$B$72, MATCH($A3, '2_VA_total_by_BEA'!$A$2:$A$72,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IFERROR(INDEX('2_VA_total_by_BEA'!$B$2:$B$72, MATCH($A4, '2_VA_total_by_BEA'!$A$2:$A$72,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IFERROR(INDEX('2_VA_total_by_BEA'!$B$2:$B$72, MATCH($A5, '2_VA_total_by_BEA'!$A$2:$A$72,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IFERROR(INDEX('2_VA_total_by_BEA'!$B$2:$B$72, MATCH($A6, '2_VA_total_by_BEA'!$A$2:$A$72,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IFERROR(INDEX('2_VA_total_by_BEA'!$B$2:$B$72, MATCH($A7, '2_VA_total_by_BEA'!$A$2:$A$72,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IFERROR(INDEX('2_VA_total_by_BEA'!$B$2:$B$72, MATCH($A8, '2_VA_total_by_BEA'!$A$2:$A$72,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IFERROR(INDEX('2_VA_total_by_BEA'!$B$2:$B$72, MATCH($A9, '2_VA_total_by_BEA'!$A$2:$A$72,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IFERROR(INDEX('2_VA_total_by_BEA'!$B$2:$B$72, MATCH($A10, '2_VA_total_by_BEA'!$A$2:$A$72,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IFERROR(INDEX('2_VA_total_by_BEA'!$B$2:$B$72, MATCH($A11, '2_VA_total_by_BEA'!$A$2:$A$72,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IFERROR(INDEX('2_VA_total_by_BEA'!$B$2:$B$72, MATCH($A12, '2_VA_total_by_BEA'!$A$2:$A$72,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IFERROR(INDEX('2_VA_total_by_BEA'!$B$2:$B$72, MATCH($A13, '2_VA_total_by_BEA'!$A$2:$A$72,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IFERROR(INDEX('2_VA_total_by_BEA'!$B$2:$B$72, MATCH($A14, '2_VA_total_by_BEA'!$A$2:$A$72,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IFERROR(INDEX('2_VA_total_by_BEA'!$B$2:$B$72, MATCH($A15, '2_VA_total_by_BEA'!$A$2:$A$72,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IFERROR(INDEX('2_VA_total_by_BEA'!$B$2:$B$72, MATCH($A16, '2_VA_total_by_BEA'!$A$2:$A$72,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IFERROR(INDEX('2_VA_total_by_BEA'!$B$2:$B$72, MATCH($A17, '2_VA_total_by_BEA'!$A$2:$A$72,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IFERROR(INDEX('2_VA_total_by_BEA'!$B$2:$B$72, MATCH($A18, '2_VA_total_by_BEA'!$A$2:$A$72,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IFERROR(INDEX('2_VA_total_by_BEA'!$B$2:$B$72, MATCH($A19, '2_VA_total_by_BEA'!$A$2:$A$72,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IFERROR(INDEX('2_VA_total_by_BEA'!$B$2:$B$72, MATCH($A20, '2_VA_total_by_BEA'!$A$2:$A$72,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IFERROR(INDEX('2_VA_total_by_BEA'!$B$2:$B$72, MATCH($A21, '2_VA_total_by_BEA'!$A$2:$A$72,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IFERROR(INDEX('2_VA_total_by_BEA'!$B$2:$B$72, MATCH($A22, '2_VA_total_by_BEA'!$A$2:$A$72,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IFERROR(INDEX('2_VA_total_by_BEA'!$B$2:$B$72, MATCH($A23, '2_VA_total_by_BEA'!$A$2:$A$72,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IFERROR(INDEX('2_VA_total_by_BEA'!$B$2:$B$72, MATCH($A24, '2_VA_total_by_BEA'!$A$2:$A$72,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IFERROR(INDEX('2_VA_total_by_BEA'!$B$2:$B$72, MATCH($A25, '2_VA_total_by_BEA'!$A$2:$A$72,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IFERROR(INDEX('2_VA_total_by_BEA'!$B$2:$B$72, MATCH($A26, '2_VA_total_by_BEA'!$A$2:$A$72,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IFERROR(INDEX('2_VA_total_by_BEA'!$B$2:$B$72, MATCH($A27, '2_VA_total_by_BEA'!$A$2:$A$72,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IFERROR(INDEX('2_VA_total_by_BEA'!$B$2:$B$72, MATCH($A28, '2_VA_total_by_BEA'!$A$2:$A$72,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IFERROR(INDEX('2_VA_total_by_BEA'!$B$2:$B$72, MATCH($A29, '2_VA_total_by_BEA'!$A$2:$A$72,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IFERROR(INDEX('2_VA_total_by_BEA'!$B$2:$B$72, MATCH($A30, '2_VA_total_by_BEA'!$A$2:$A$72,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IFERROR(INDEX('2_VA_total_by_BEA'!$B$2:$B$72, MATCH($A31, '2_VA_total_by_BEA'!$A$2:$A$72,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IFERROR(INDEX('2_VA_total_by_BEA'!$B$2:$B$72, MATCH($A32, '2_VA_total_by_BEA'!$A$2:$A$72,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IFERROR(INDEX('2_VA_total_by_BEA'!$B$2:$B$72, MATCH($A33, '2_VA_total_by_BEA'!$A$2:$A$72,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IFERROR(INDEX('2_VA_total_by_BEA'!$B$2:$B$72, MATCH($A34, '2_VA_total_by_BEA'!$A$2:$A$72,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IFERROR(INDEX('2_VA_total_by_BEA'!$B$2:$B$72, MATCH($A35, '2_VA_total_by_BEA'!$A$2:$A$72,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IFERROR(INDEX('2_VA_total_by_BEA'!$B$2:$B$72, MATCH($A36, '2_VA_total_by_BEA'!$A$2:$A$72,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IFERROR(INDEX('2_VA_total_by_BEA'!$B$2:$B$72, MATCH($A37, '2_VA_total_by_BEA'!$A$2:$A$72,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IFERROR(INDEX('2_VA_total_by_BEA'!$B$2:$B$72, MATCH($A38, '2_VA_total_by_BEA'!$A$2:$A$72,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IFERROR(INDEX('2_VA_total_by_BEA'!$B$2:$B$72, MATCH($A39, '2_VA_total_by_BEA'!$A$2:$A$72,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IFERROR(INDEX('2_VA_total_by_BEA'!$B$2:$B$72, MATCH($A40, '2_VA_total_by_BEA'!$A$2:$A$72,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IFERROR(INDEX('2_VA_total_by_BEA'!$B$2:$B$72, MATCH($A41, '2_VA_total_by_BEA'!$A$2:$A$72,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IFERROR(INDEX('2_VA_total_by_BEA'!$B$2:$B$72, MATCH($A42, '2_VA_total_by_BEA'!$A$2:$A$72,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IFERROR(INDEX('2_VA_total_by_BEA'!$B$2:$B$72, MATCH($A43, '2_VA_total_by_BEA'!$A$2:$A$72,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IFERROR(INDEX('2_VA_total_by_BEA'!$B$2:$B$72, MATCH($A44, '2_VA_total_by_BEA'!$A$2:$A$72,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IFERROR(INDEX('2_VA_total_by_BEA'!$B$2:$B$72, MATCH($A45, '2_VA_total_by_BEA'!$A$2:$A$72,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IFERROR(INDEX('2_VA_total_by_BEA'!$B$2:$B$72, MATCH($A46, '2_VA_total_by_BEA'!$A$2:$A$72,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IFERROR(INDEX('2_VA_total_by_BEA'!$B$2:$B$72, MATCH($A47, '2_VA_total_by_BEA'!$A$2:$A$72,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IFERROR(INDEX('2_VA_total_by_BEA'!$B$2:$B$72, MATCH($A48, '2_VA_total_by_BEA'!$A$2:$A$72,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IFERROR(INDEX('2_VA_total_by_BEA'!$B$2:$B$72, MATCH($A49, '2_VA_total_by_BEA'!$A$2:$A$72,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IFERROR(INDEX('2_VA_total_by_BEA'!$B$2:$B$72, MATCH($A50, '2_VA_total_by_BEA'!$A$2:$A$72,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IFERROR(INDEX('2_VA_total_by_BEA'!$B$2:$B$72, MATCH($A51, '2_VA_total_by_BEA'!$A$2:$A$72,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IFERROR(INDEX('2_VA_total_by_BEA'!$B$2:$B$72, MATCH($A52, '2_VA_total_by_BEA'!$A$2:$A$72,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IFERROR(INDEX('2_VA_total_by_BEA'!$B$2:$B$72, MATCH($A53, '2_VA_total_by_BEA'!$A$2:$A$72,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IFERROR(INDEX('2_VA_total_by_BEA'!$B$2:$B$72, MATCH($A54, '2_VA_total_by_BEA'!$A$2:$A$72,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IFERROR(INDEX('2_VA_total_by_BEA'!$B$2:$B$72, MATCH($A55, '2_VA_total_by_BEA'!$A$2:$A$72,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IFERROR(INDEX('2_VA_total_by_BEA'!$B$2:$B$72, MATCH($A56, '2_VA_total_by_BEA'!$A$2:$A$72,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IFERROR(INDEX('2_VA_total_by_BEA'!$B$2:$B$72, MATCH($A57, '2_VA_total_by_BEA'!$A$2:$A$72,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IFERROR(INDEX('2_VA_total_by_BEA'!$B$2:$B$72, MATCH($A58, '2_VA_total_by_BEA'!$A$2:$A$72,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IFERROR(INDEX('2_VA_total_by_BEA'!$B$2:$B$72, MATCH($A59, '2_VA_total_by_BEA'!$A$2:$A$72,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IFERROR(INDEX('2_VA_total_by_BEA'!$B$2:$B$72, MATCH($A60, '2_VA_total_by_BEA'!$A$2:$A$72,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IFERROR(INDEX('2_VA_total_by_BEA'!$B$2:$B$72, MATCH($A61, '2_VA_total_by_BEA'!$A$2:$A$72,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IFERROR(INDEX('2_VA_total_by_BEA'!$B$2:$B$72, MATCH($A62, '2_VA_total_by_BEA'!$A$2:$A$72,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IFERROR(INDEX('2_VA_total_by_BEA'!$B$2:$B$72, MATCH($A63, '2_VA_total_by_BEA'!$A$2:$A$72,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IFERROR(INDEX('2_VA_total_by_BEA'!$B$2:$B$72, MATCH($A64, '2_VA_total_by_BEA'!$A$2:$A$72,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IFERROR(INDEX('2_VA_total_by_BEA'!$B$2:$B$72, MATCH($A65, '2_VA_total_by_BEA'!$A$2:$A$72,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IFERROR(INDEX('2_VA_total_by_BEA'!$B$2:$B$72, MATCH($A66, '2_VA_total_by_BEA'!$A$2:$A$72,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IFERROR(INDEX('2_VA_total_by_BEA'!$B$2:$B$72, MATCH($A67, '2_VA_total_by_BEA'!$A$2:$A$72,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IFERROR(INDEX('2_VA_total_by_BEA'!$B$2:$B$72, MATCH($A68, '2_VA_total_by_BEA'!$A$2:$A$72,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IFERROR(INDEX('2_VA_total_by_BEA'!$B$2:$B$72, MATCH($A69, '2_VA_total_by_BEA'!$A$2:$A$72,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IFERROR(INDEX('2_VA_total_by_BEA'!$B$2:$B$72, MATCH($A70, '2_VA_total_by_BEA'!$A$2:$A$72,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IFERROR(INDEX('2_VA_total_by_BEA'!$B$2:$B$72, MATCH($A71, '2_VA_total_by_BEA'!$A$2:$A$72,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IFERROR(INDEX('2_VA_total_by_BEA'!$B$2:$B$72, MATCH($A72, '2_VA_total_by_BEA'!$A$2:$A$72,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IFERROR(INDEX('2_VA_total_by_BEA'!$B$2:$B$72, MATCH($A73, '2_VA_total_by_BEA'!$A$2:$A$72,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IFERROR(INDEX('2_VA_total_by_BEA'!$B$2:$B$72, MATCH($A74, '2_VA_total_by_BEA'!$A$2:$A$72,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IFERROR(INDEX('2_VA_total_by_BEA'!$B$2:$B$72, MATCH($A75, '2_VA_total_by_BEA'!$A$2:$A$72,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IFERROR(INDEX('2_VA_total_by_BEA'!$B$2:$B$72, MATCH($A76, '2_VA_total_by_BEA'!$A$2:$A$72,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IFERROR(INDEX('2_VA_total_by_BEA'!$B$2:$B$72, MATCH($A77, '2_VA_total_by_BEA'!$A$2:$A$72,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IFERROR(INDEX('2_VA_total_by_BEA'!$B$2:$B$72, MATCH($A78, '2_VA_total_by_BEA'!$A$2:$A$72,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IFERROR(INDEX('2_VA_total_by_BEA'!$B$2:$B$72, MATCH($A79, '2_VA_total_by_BEA'!$A$2:$A$72,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IFERROR(INDEX('2_VA_total_by_BEA'!$B$2:$B$72, MATCH($A80, '2_VA_total_by_BEA'!$A$2:$A$72,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IFERROR(INDEX('2_VA_total_by_BEA'!$B$2:$B$72, MATCH($A81, '2_VA_total_by_BEA'!$A$2:$A$72, 0)), 0)</f>
      </c>
      <c r="E81" t="str">
        <f>C81*D81</f>
      </c>
    </row>
    <row r="83">
      <c r="A83" t="s">
        <v>576</v>
      </c>
    </row>
    <row r="84">
      <c r="A84" t="s">
        <v>321</v>
      </c>
      <c r="B84" t="s">
        <v>577</v>
      </c>
      <c r="C84" t="s">
        <v>578</v>
      </c>
    </row>
    <row r="85">
      <c r="A85" t="s">
        <v>327</v>
      </c>
      <c r="B85" t="str">
        <f>SUMIFS('6_Calc_ISIC_aggregation'!$E$3:$E$81, '6_Calc_ISIC_aggregation'!$B$3:$B$81, $A85)</f>
      </c>
      <c r="C85" t="str">
        <f>B85/Keys!$C$2</f>
      </c>
    </row>
    <row r="86">
      <c r="A86" t="s">
        <v>469</v>
      </c>
      <c r="B86" t="str">
        <f>SUMIFS('6_Calc_ISIC_aggregation'!$E$3:$E$81, '6_Calc_ISIC_aggregation'!$B$3:$B$81, $A86)</f>
      </c>
      <c r="C86" t="str">
        <f>B86/Keys!$C$2</f>
      </c>
    </row>
    <row r="87">
      <c r="A87" t="s">
        <v>331</v>
      </c>
      <c r="B87" t="str">
        <f>SUMIFS('6_Calc_ISIC_aggregation'!$E$3:$E$81, '6_Calc_ISIC_aggregation'!$B$3:$B$81, $A87)</f>
      </c>
      <c r="C87" t="str">
        <f>B87/Keys!$C$2</f>
      </c>
    </row>
    <row r="88">
      <c r="A88" t="s">
        <v>472</v>
      </c>
      <c r="B88" t="str">
        <f>SUMIFS('6_Calc_ISIC_aggregation'!$E$3:$E$81, '6_Calc_ISIC_aggregation'!$B$3:$B$81, $A88)</f>
      </c>
      <c r="C88" t="str">
        <f>B88/Keys!$C$2</f>
      </c>
    </row>
    <row r="89">
      <c r="A89" t="s">
        <v>334</v>
      </c>
      <c r="B89" t="str">
        <f>SUMIFS('6_Calc_ISIC_aggregation'!$E$3:$E$81, '6_Calc_ISIC_aggregation'!$B$3:$B$81, $A89)</f>
      </c>
      <c r="C89" t="str">
        <f>B89/Keys!$C$2</f>
      </c>
    </row>
    <row r="90">
      <c r="A90" t="s">
        <v>349</v>
      </c>
      <c r="B90" t="str">
        <f>SUMIFS('6_Calc_ISIC_aggregation'!$E$3:$E$81, '6_Calc_ISIC_aggregation'!$B$3:$B$81, $A90)</f>
      </c>
      <c r="C90" t="str">
        <f>B90/Keys!$C$2</f>
      </c>
    </row>
    <row r="91">
      <c r="A91" t="s">
        <v>352</v>
      </c>
      <c r="B91" t="str">
        <f>SUMIFS('6_Calc_ISIC_aggregation'!$E$3:$E$81, '6_Calc_ISIC_aggregation'!$B$3:$B$81, $A91)</f>
      </c>
      <c r="C91" t="str">
        <f>B91/Keys!$C$2</f>
      </c>
    </row>
    <row r="92">
      <c r="A92" t="s">
        <v>356</v>
      </c>
      <c r="B92" t="str">
        <f>SUMIFS('6_Calc_ISIC_aggregation'!$E$3:$E$81, '6_Calc_ISIC_aggregation'!$B$3:$B$81, $A92)</f>
      </c>
      <c r="C92" t="str">
        <f>B92/Keys!$C$2</f>
      </c>
    </row>
    <row r="93">
      <c r="A93" t="s">
        <v>359</v>
      </c>
      <c r="B93" t="str">
        <f>SUMIFS('6_Calc_ISIC_aggregation'!$E$3:$E$81, '6_Calc_ISIC_aggregation'!$B$3:$B$81, $A93)</f>
      </c>
      <c r="C93" t="str">
        <f>B93/Keys!$C$2</f>
      </c>
    </row>
    <row r="94">
      <c r="A94" t="s">
        <v>363</v>
      </c>
      <c r="B94" t="str">
        <f>SUMIFS('6_Calc_ISIC_aggregation'!$E$3:$E$81, '6_Calc_ISIC_aggregation'!$B$3:$B$81, $A94)</f>
      </c>
      <c r="C94" t="str">
        <f>B94/Keys!$C$2</f>
      </c>
    </row>
    <row r="95">
      <c r="A95" t="s">
        <v>485</v>
      </c>
      <c r="B95" t="str">
        <f>SUMIFS('6_Calc_ISIC_aggregation'!$E$3:$E$81, '6_Calc_ISIC_aggregation'!$B$3:$B$81, $A95)</f>
      </c>
      <c r="C95" t="str">
        <f>B95/Keys!$C$2</f>
      </c>
    </row>
    <row r="96">
      <c r="A96" t="s">
        <v>488</v>
      </c>
      <c r="B96" t="str">
        <f>SUMIFS('6_Calc_ISIC_aggregation'!$E$3:$E$81, '6_Calc_ISIC_aggregation'!$B$3:$B$81, $A96)</f>
      </c>
      <c r="C96" t="str">
        <f>B96/Keys!$C$2</f>
      </c>
    </row>
    <row r="97">
      <c r="A97" t="s">
        <v>134</v>
      </c>
      <c r="B97" t="str">
        <f>SUMIFS('6_Calc_ISIC_aggregation'!$E$3:$E$81, '6_Calc_ISIC_aggregation'!$B$3:$B$81, $A97)</f>
      </c>
      <c r="C97" t="str">
        <f>B97/Keys!$C$2</f>
      </c>
    </row>
    <row r="98">
      <c r="A98" t="s">
        <v>475</v>
      </c>
      <c r="B98" t="str">
        <f>SUMIFS('6_Calc_ISIC_aggregation'!$E$3:$E$81, '6_Calc_ISIC_aggregation'!$B$3:$B$81, $A98)</f>
      </c>
      <c r="C98" t="str">
        <f>B98/Keys!$C$2</f>
      </c>
    </row>
    <row r="99">
      <c r="A99" t="s">
        <v>478</v>
      </c>
      <c r="B99" t="str">
        <f>SUMIFS('6_Calc_ISIC_aggregation'!$E$3:$E$81, '6_Calc_ISIC_aggregation'!$B$3:$B$81, $A99)</f>
      </c>
      <c r="C99" t="str">
        <f>B99/Keys!$C$2</f>
      </c>
    </row>
    <row r="100">
      <c r="A100" t="s">
        <v>366</v>
      </c>
      <c r="B100" t="str">
        <f>SUMIFS('6_Calc_ISIC_aggregation'!$E$3:$E$81, '6_Calc_ISIC_aggregation'!$B$3:$B$81, $A100)</f>
      </c>
      <c r="C100" t="str">
        <f>B100/Keys!$C$2</f>
      </c>
    </row>
    <row r="101">
      <c r="A101" t="s">
        <v>482</v>
      </c>
      <c r="B101" t="str">
        <f>SUMIFS('6_Calc_ISIC_aggregation'!$E$3:$E$81, '6_Calc_ISIC_aggregation'!$B$3:$B$81, $A101)</f>
      </c>
      <c r="C101" t="str">
        <f>B101/Keys!$C$2</f>
      </c>
    </row>
    <row r="102">
      <c r="A102" t="s">
        <v>372</v>
      </c>
      <c r="B102" t="str">
        <f>SUMIFS('6_Calc_ISIC_aggregation'!$E$3:$E$81, '6_Calc_ISIC_aggregation'!$B$3:$B$81, $A102)</f>
      </c>
      <c r="C102" t="str">
        <f>B102/Keys!$C$2</f>
      </c>
    </row>
    <row r="103">
      <c r="A103" t="s">
        <v>377</v>
      </c>
      <c r="B103" t="str">
        <f>SUMIFS('6_Calc_ISIC_aggregation'!$E$3:$E$81, '6_Calc_ISIC_aggregation'!$B$3:$B$81, $A103)</f>
      </c>
      <c r="C103" t="str">
        <f>B103/Keys!$C$2</f>
      </c>
    </row>
    <row r="104">
      <c r="A104" t="s">
        <v>380</v>
      </c>
      <c r="B104" t="str">
        <f>SUMIFS('6_Calc_ISIC_aggregation'!$E$3:$E$81, '6_Calc_ISIC_aggregation'!$B$3:$B$81, $A104)</f>
      </c>
      <c r="C104" t="str">
        <f>B104/Keys!$C$2</f>
      </c>
    </row>
    <row r="105">
      <c r="A105" t="s">
        <v>374</v>
      </c>
      <c r="B105" t="str">
        <f>SUMIFS('6_Calc_ISIC_aggregation'!$E$3:$E$81, '6_Calc_ISIC_aggregation'!$B$3:$B$81, $A105)</f>
      </c>
      <c r="C105" t="str">
        <f>B105/Keys!$C$2</f>
      </c>
    </row>
    <row r="106">
      <c r="A106" t="s">
        <v>383</v>
      </c>
      <c r="B106" t="str">
        <f>SUMIFS('6_Calc_ISIC_aggregation'!$E$3:$E$81, '6_Calc_ISIC_aggregation'!$B$3:$B$81, $A106)</f>
      </c>
      <c r="C106" t="str">
        <f>B106/Keys!$C$2</f>
      </c>
    </row>
    <row r="107">
      <c r="A107" t="s">
        <v>386</v>
      </c>
      <c r="B107" t="str">
        <f>SUMIFS('6_Calc_ISIC_aggregation'!$E$3:$E$81, '6_Calc_ISIC_aggregation'!$B$3:$B$81, $A107)</f>
      </c>
      <c r="C107" t="str">
        <f>B107/Keys!$C$2</f>
      </c>
    </row>
    <row r="108">
      <c r="A108" t="s">
        <v>389</v>
      </c>
      <c r="B108" t="str">
        <f>SUMIFS('6_Calc_ISIC_aggregation'!$E$3:$E$81, '6_Calc_ISIC_aggregation'!$B$3:$B$81, $A108)</f>
      </c>
      <c r="C108" t="str">
        <f>B108/Keys!$C$2</f>
      </c>
    </row>
    <row r="109">
      <c r="A109" t="s">
        <v>337</v>
      </c>
      <c r="B109" t="str">
        <f>SUMIFS('6_Calc_ISIC_aggregation'!$E$3:$E$81, '6_Calc_ISIC_aggregation'!$B$3:$B$81, $A109)</f>
      </c>
      <c r="C109" t="str">
        <f>B109/Keys!$C$2</f>
      </c>
    </row>
    <row r="110">
      <c r="A110" t="s">
        <v>340</v>
      </c>
      <c r="B110" t="str">
        <f>SUMIFS('6_Calc_ISIC_aggregation'!$E$3:$E$81, '6_Calc_ISIC_aggregation'!$B$3:$B$81, $A110)</f>
      </c>
      <c r="C110" t="str">
        <f>B110/Keys!$C$2</f>
      </c>
    </row>
    <row r="111">
      <c r="A111" t="s">
        <v>343</v>
      </c>
      <c r="B111" t="str">
        <f>SUMIFS('6_Calc_ISIC_aggregation'!$E$3:$E$81, '6_Calc_ISIC_aggregation'!$B$3:$B$81, $A111)</f>
      </c>
      <c r="C111" t="str">
        <f>B111/Keys!$C$2</f>
      </c>
    </row>
    <row r="112">
      <c r="A112" t="s">
        <v>347</v>
      </c>
      <c r="B112" t="str">
        <f>SUMIFS('6_Calc_ISIC_aggregation'!$E$3:$E$81, '6_Calc_ISIC_aggregation'!$B$3:$B$81, $A112)</f>
      </c>
      <c r="C112" t="str">
        <f>B112/Keys!$C$2</f>
      </c>
    </row>
    <row r="113">
      <c r="A113" t="s">
        <v>393</v>
      </c>
      <c r="B113" t="str">
        <f>SUMIFS('6_Calc_ISIC_aggregation'!$E$3:$E$81, '6_Calc_ISIC_aggregation'!$B$3:$B$81, $A113)</f>
      </c>
      <c r="C113" t="str">
        <f>B113/Keys!$C$2</f>
      </c>
    </row>
    <row r="114">
      <c r="A114" t="s">
        <v>400</v>
      </c>
      <c r="B114" t="str">
        <f>SUMIFS('6_Calc_ISIC_aggregation'!$E$3:$E$81, '6_Calc_ISIC_aggregation'!$B$3:$B$81, $A114)</f>
      </c>
      <c r="C114" t="str">
        <f>B114/Keys!$C$2</f>
      </c>
    </row>
    <row r="115">
      <c r="A115" t="s">
        <v>457</v>
      </c>
      <c r="B115" t="str">
        <f>SUMIFS('6_Calc_ISIC_aggregation'!$E$3:$E$81, '6_Calc_ISIC_aggregation'!$B$3:$B$81, $A115)</f>
      </c>
      <c r="C115" t="str">
        <f>B115/Keys!$C$2</f>
      </c>
    </row>
    <row r="116">
      <c r="A116" t="s">
        <v>412</v>
      </c>
      <c r="B116" t="str">
        <f>SUMIFS('6_Calc_ISIC_aggregation'!$E$3:$E$81, '6_Calc_ISIC_aggregation'!$B$3:$B$81, $A116)</f>
      </c>
      <c r="C116" t="str">
        <f>B116/Keys!$C$2</f>
      </c>
    </row>
    <row r="117">
      <c r="A117" t="s">
        <v>185</v>
      </c>
      <c r="B117" t="str">
        <f>SUMIFS('6_Calc_ISIC_aggregation'!$E$3:$E$81, '6_Calc_ISIC_aggregation'!$B$3:$B$81, $A117)</f>
      </c>
      <c r="C117" t="str">
        <f>B117/Keys!$C$2</f>
      </c>
    </row>
    <row r="118">
      <c r="A118" t="s">
        <v>419</v>
      </c>
      <c r="B118" t="str">
        <f>SUMIFS('6_Calc_ISIC_aggregation'!$E$3:$E$81, '6_Calc_ISIC_aggregation'!$B$3:$B$81, $A118)</f>
      </c>
      <c r="C118" t="str">
        <f>B118/Keys!$C$2</f>
      </c>
    </row>
    <row r="119">
      <c r="A119" t="s">
        <v>422</v>
      </c>
      <c r="B119" t="str">
        <f>SUMIFS('6_Calc_ISIC_aggregation'!$E$3:$E$81, '6_Calc_ISIC_aggregation'!$B$3:$B$81, $A119)</f>
      </c>
      <c r="C119" t="str">
        <f>B119/Keys!$C$2</f>
      </c>
    </row>
    <row r="120">
      <c r="A120" t="s">
        <v>428</v>
      </c>
      <c r="B120" t="str">
        <f>SUMIFS('6_Calc_ISIC_aggregation'!$E$3:$E$81, '6_Calc_ISIC_aggregation'!$B$3:$B$81, $A120)</f>
      </c>
      <c r="C120" t="str">
        <f>B120/Keys!$C$2</f>
      </c>
    </row>
    <row r="121">
      <c r="A121" t="s">
        <v>432</v>
      </c>
      <c r="B121" t="str">
        <f>SUMIFS('6_Calc_ISIC_aggregation'!$E$3:$E$81, '6_Calc_ISIC_aggregation'!$B$3:$B$81, $A121)</f>
      </c>
      <c r="C121" t="str">
        <f>B121/Keys!$C$2</f>
      </c>
    </row>
    <row r="122">
      <c r="A122" t="s">
        <v>462</v>
      </c>
      <c r="B122" t="str">
        <f>SUMIFS('6_Calc_ISIC_aggregation'!$E$3:$E$81, '6_Calc_ISIC_aggregation'!$B$3:$B$81, $A122)</f>
      </c>
      <c r="C122" t="str">
        <f>B122/Keys!$C$2</f>
      </c>
    </row>
    <row r="123">
      <c r="A123" t="s">
        <v>444</v>
      </c>
      <c r="B123" t="str">
        <f>SUMIFS('6_Calc_ISIC_aggregation'!$E$3:$E$81, '6_Calc_ISIC_aggregation'!$B$3:$B$81, $A123)</f>
      </c>
      <c r="C123" t="str">
        <f>B123/Keys!$C$2</f>
      </c>
    </row>
    <row r="124">
      <c r="A124" t="s">
        <v>447</v>
      </c>
      <c r="B124" t="str">
        <f>SUMIFS('6_Calc_ISIC_aggregation'!$E$3:$E$81, '6_Calc_ISIC_aggregation'!$B$3:$B$81, $A124)</f>
      </c>
      <c r="C124" t="str">
        <f>B124/Keys!$C$2</f>
      </c>
    </row>
    <row r="125">
      <c r="A125" t="s">
        <v>453</v>
      </c>
      <c r="B125" t="str">
        <f>SUMIFS('6_Calc_ISIC_aggregation'!$E$3:$E$81, '6_Calc_ISIC_aggregation'!$B$3:$B$81, $A125)</f>
      </c>
      <c r="C125" t="str">
        <f>B125/Keys!$C$2</f>
      </c>
    </row>
    <row r="126">
      <c r="A126" t="s">
        <v>570</v>
      </c>
      <c r="B126" t="str">
        <f>SUMIFS('6_Calc_ISIC_aggregation'!$E$3:$E$81, '6_Calc_ISIC_aggregation'!$B$3:$B$81,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579</v>
      </c>
      <c r="B1" t="s">
        <v>327</v>
      </c>
      <c r="C1" t="s">
        <v>469</v>
      </c>
      <c r="D1" t="s">
        <v>331</v>
      </c>
      <c r="E1" t="s">
        <v>472</v>
      </c>
      <c r="F1" t="s">
        <v>334</v>
      </c>
      <c r="G1" t="s">
        <v>349</v>
      </c>
      <c r="H1" t="s">
        <v>352</v>
      </c>
      <c r="I1" t="s">
        <v>356</v>
      </c>
      <c r="J1" t="s">
        <v>359</v>
      </c>
      <c r="K1" t="s">
        <v>363</v>
      </c>
      <c r="L1" t="s">
        <v>485</v>
      </c>
      <c r="M1" t="s">
        <v>488</v>
      </c>
      <c r="N1" t="s">
        <v>134</v>
      </c>
      <c r="O1" t="s">
        <v>475</v>
      </c>
      <c r="P1" t="s">
        <v>478</v>
      </c>
      <c r="Q1" t="s">
        <v>366</v>
      </c>
      <c r="R1" t="s">
        <v>482</v>
      </c>
      <c r="S1" t="s">
        <v>372</v>
      </c>
      <c r="T1" t="s">
        <v>377</v>
      </c>
      <c r="U1" t="s">
        <v>380</v>
      </c>
      <c r="V1" t="s">
        <v>374</v>
      </c>
      <c r="W1" t="s">
        <v>383</v>
      </c>
      <c r="X1" t="s">
        <v>386</v>
      </c>
      <c r="Y1" t="s">
        <v>389</v>
      </c>
      <c r="Z1" t="s">
        <v>337</v>
      </c>
      <c r="AA1" t="s">
        <v>340</v>
      </c>
      <c r="AB1" t="s">
        <v>343</v>
      </c>
      <c r="AC1" t="s">
        <v>347</v>
      </c>
      <c r="AD1" t="s">
        <v>393</v>
      </c>
      <c r="AE1" t="s">
        <v>400</v>
      </c>
      <c r="AF1" t="s">
        <v>457</v>
      </c>
      <c r="AG1" t="s">
        <v>412</v>
      </c>
      <c r="AH1" t="s">
        <v>185</v>
      </c>
      <c r="AI1" t="s">
        <v>419</v>
      </c>
      <c r="AJ1" t="s">
        <v>422</v>
      </c>
      <c r="AK1" t="s">
        <v>428</v>
      </c>
      <c r="AL1" t="s">
        <v>432</v>
      </c>
      <c r="AM1" t="s">
        <v>462</v>
      </c>
      <c r="AN1" t="s">
        <v>444</v>
      </c>
      <c r="AO1" t="s">
        <v>447</v>
      </c>
      <c r="AP1" t="s">
        <v>453</v>
      </c>
      <c r="AQ1" t="s">
        <v>570</v>
      </c>
    </row>
    <row r="2">
      <c r="A2" t="s">
        <v>580</v>
      </c>
      <c r="B2" t="str">
        <f>INDEX('6_Calc_ISIC_aggregation'!$C$85:$C$126, MATCH(B$1, '6_Calc_ISIC_aggregation'!$A$85:$A$126, 0))</f>
      </c>
      <c r="C2" t="str">
        <f>INDEX('6_Calc_ISIC_aggregation'!$C$85:$C$126, MATCH(C$1, '6_Calc_ISIC_aggregation'!$A$85:$A$126, 0))</f>
      </c>
      <c r="D2" t="str">
        <f>INDEX('6_Calc_ISIC_aggregation'!$C$85:$C$126, MATCH(D$1, '6_Calc_ISIC_aggregation'!$A$85:$A$126, 0))</f>
      </c>
      <c r="E2" t="str">
        <f>INDEX('6_Calc_ISIC_aggregation'!$C$85:$C$126, MATCH(E$1, '6_Calc_ISIC_aggregation'!$A$85:$A$126, 0))</f>
      </c>
      <c r="F2" t="str">
        <f>INDEX('6_Calc_ISIC_aggregation'!$C$85:$C$126, MATCH(F$1, '6_Calc_ISIC_aggregation'!$A$85:$A$126, 0))</f>
      </c>
      <c r="G2" t="str">
        <f>INDEX('6_Calc_ISIC_aggregation'!$C$85:$C$126, MATCH(G$1, '6_Calc_ISIC_aggregation'!$A$85:$A$126, 0))</f>
      </c>
      <c r="H2" t="str">
        <f>INDEX('6_Calc_ISIC_aggregation'!$C$85:$C$126, MATCH(H$1, '6_Calc_ISIC_aggregation'!$A$85:$A$126, 0))</f>
      </c>
      <c r="I2" t="str">
        <f>INDEX('6_Calc_ISIC_aggregation'!$C$85:$C$126, MATCH(I$1, '6_Calc_ISIC_aggregation'!$A$85:$A$126, 0))</f>
      </c>
      <c r="J2" t="str">
        <f>INDEX('6_Calc_ISIC_aggregation'!$C$85:$C$126, MATCH(J$1, '6_Calc_ISIC_aggregation'!$A$85:$A$126, 0))</f>
      </c>
      <c r="K2" t="str">
        <f>INDEX('6_Calc_ISIC_aggregation'!$C$85:$C$126, MATCH(K$1, '6_Calc_ISIC_aggregation'!$A$85:$A$126, 0))</f>
      </c>
      <c r="L2" t="str">
        <f>INDEX('6_Calc_ISIC_aggregation'!$C$85:$C$126, MATCH(L$1, '6_Calc_ISIC_aggregation'!$A$85:$A$126, 0))</f>
      </c>
      <c r="M2" t="str">
        <f>INDEX('6_Calc_ISIC_aggregation'!$C$85:$C$126, MATCH(M$1, '6_Calc_ISIC_aggregation'!$A$85:$A$126, 0))</f>
      </c>
      <c r="N2" t="str">
        <f>INDEX('6_Calc_ISIC_aggregation'!$C$85:$C$126, MATCH(N$1, '6_Calc_ISIC_aggregation'!$A$85:$A$126, 0))</f>
      </c>
      <c r="O2" t="str">
        <f>INDEX('6_Calc_ISIC_aggregation'!$C$85:$C$126, MATCH(O$1, '6_Calc_ISIC_aggregation'!$A$85:$A$126, 0))</f>
      </c>
      <c r="P2" t="str">
        <f>INDEX('6_Calc_ISIC_aggregation'!$C$85:$C$126, MATCH(P$1, '6_Calc_ISIC_aggregation'!$A$85:$A$126, 0))</f>
      </c>
      <c r="Q2" t="str">
        <f>INDEX('6_Calc_ISIC_aggregation'!$C$85:$C$126, MATCH(Q$1, '6_Calc_ISIC_aggregation'!$A$85:$A$126, 0))</f>
      </c>
      <c r="R2" t="str">
        <f>INDEX('6_Calc_ISIC_aggregation'!$C$85:$C$126, MATCH(R$1, '6_Calc_ISIC_aggregation'!$A$85:$A$126, 0))</f>
      </c>
      <c r="S2" t="str">
        <f>INDEX('6_Calc_ISIC_aggregation'!$C$85:$C$126, MATCH(S$1, '6_Calc_ISIC_aggregation'!$A$85:$A$126, 0))</f>
      </c>
      <c r="T2" t="str">
        <f>INDEX('6_Calc_ISIC_aggregation'!$C$85:$C$126, MATCH(T$1, '6_Calc_ISIC_aggregation'!$A$85:$A$126, 0))</f>
      </c>
      <c r="U2" t="str">
        <f>INDEX('6_Calc_ISIC_aggregation'!$C$85:$C$126, MATCH(U$1, '6_Calc_ISIC_aggregation'!$A$85:$A$126, 0))</f>
      </c>
      <c r="V2" t="str">
        <f>INDEX('6_Calc_ISIC_aggregation'!$C$85:$C$126, MATCH(V$1, '6_Calc_ISIC_aggregation'!$A$85:$A$126, 0))</f>
      </c>
      <c r="W2" t="str">
        <f>INDEX('6_Calc_ISIC_aggregation'!$C$85:$C$126, MATCH(W$1, '6_Calc_ISIC_aggregation'!$A$85:$A$126, 0))</f>
      </c>
      <c r="X2" t="str">
        <f>INDEX('6_Calc_ISIC_aggregation'!$C$85:$C$126, MATCH(X$1, '6_Calc_ISIC_aggregation'!$A$85:$A$126, 0))</f>
      </c>
      <c r="Y2" t="str">
        <f>INDEX('6_Calc_ISIC_aggregation'!$C$85:$C$126, MATCH(Y$1, '6_Calc_ISIC_aggregation'!$A$85:$A$126, 0))</f>
      </c>
      <c r="Z2" t="str">
        <f>INDEX('6_Calc_ISIC_aggregation'!$C$85:$C$126, MATCH(Z$1, '6_Calc_ISIC_aggregation'!$A$85:$A$126, 0))</f>
      </c>
      <c r="AA2" t="str">
        <f>INDEX('6_Calc_ISIC_aggregation'!$C$85:$C$126, MATCH(AA$1, '6_Calc_ISIC_aggregation'!$A$85:$A$126, 0))</f>
      </c>
      <c r="AB2" t="str">
        <f>INDEX('6_Calc_ISIC_aggregation'!$C$85:$C$126, MATCH(AB$1, '6_Calc_ISIC_aggregation'!$A$85:$A$126, 0))</f>
      </c>
      <c r="AC2" t="str">
        <f>INDEX('6_Calc_ISIC_aggregation'!$C$85:$C$126, MATCH(AC$1, '6_Calc_ISIC_aggregation'!$A$85:$A$126, 0))</f>
      </c>
      <c r="AD2" t="str">
        <f>INDEX('6_Calc_ISIC_aggregation'!$C$85:$C$126, MATCH(AD$1, '6_Calc_ISIC_aggregation'!$A$85:$A$126, 0))</f>
      </c>
      <c r="AE2" t="str">
        <f>INDEX('6_Calc_ISIC_aggregation'!$C$85:$C$126, MATCH(AE$1, '6_Calc_ISIC_aggregation'!$A$85:$A$126, 0))</f>
      </c>
      <c r="AF2" t="str">
        <f>INDEX('6_Calc_ISIC_aggregation'!$C$85:$C$126, MATCH(AF$1, '6_Calc_ISIC_aggregation'!$A$85:$A$126, 0))</f>
      </c>
      <c r="AG2" t="str">
        <f>INDEX('6_Calc_ISIC_aggregation'!$C$85:$C$126, MATCH(AG$1, '6_Calc_ISIC_aggregation'!$A$85:$A$126, 0))</f>
      </c>
      <c r="AH2" t="str">
        <f>INDEX('6_Calc_ISIC_aggregation'!$C$85:$C$126, MATCH(AH$1, '6_Calc_ISIC_aggregation'!$A$85:$A$126, 0))</f>
      </c>
      <c r="AI2" t="str">
        <f>INDEX('6_Calc_ISIC_aggregation'!$C$85:$C$126, MATCH(AI$1, '6_Calc_ISIC_aggregation'!$A$85:$A$126, 0))</f>
      </c>
      <c r="AJ2" t="str">
        <f>INDEX('6_Calc_ISIC_aggregation'!$C$85:$C$126, MATCH(AJ$1, '6_Calc_ISIC_aggregation'!$A$85:$A$126, 0))</f>
      </c>
      <c r="AK2" t="str">
        <f>INDEX('6_Calc_ISIC_aggregation'!$C$85:$C$126, MATCH(AK$1, '6_Calc_ISIC_aggregation'!$A$85:$A$126, 0))</f>
      </c>
      <c r="AL2" t="str">
        <f>INDEX('6_Calc_ISIC_aggregation'!$C$85:$C$126, MATCH(AL$1, '6_Calc_ISIC_aggregation'!$A$85:$A$126, 0))</f>
      </c>
      <c r="AM2" t="str">
        <f>INDEX('6_Calc_ISIC_aggregation'!$C$85:$C$126, MATCH(AM$1, '6_Calc_ISIC_aggregation'!$A$85:$A$126, 0))</f>
      </c>
      <c r="AN2" t="str">
        <f>INDEX('6_Calc_ISIC_aggregation'!$C$85:$C$126, MATCH(AN$1, '6_Calc_ISIC_aggregation'!$A$85:$A$126, 0))</f>
      </c>
      <c r="AO2" t="str">
        <f>INDEX('6_Calc_ISIC_aggregation'!$C$85:$C$126, MATCH(AO$1, '6_Calc_ISIC_aggregation'!$A$85:$A$126, 0))</f>
      </c>
      <c r="AP2" t="str">
        <f>INDEX('6_Calc_ISIC_aggregation'!$C$85:$C$126, MATCH(AP$1, '6_Calc_ISIC_aggregation'!$A$85:$A$126, 0))</f>
      </c>
      <c r="AQ2" t="str">
        <f>INDEX('6_Calc_ISIC_aggregation'!$C$85:$C$126, MATCH(AQ$1, '6_Calc_ISIC_aggregation'!$A$85:$A$126,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2026-07-17T19:28:35Z</dcterms:created>
</coreProperties>
</file>