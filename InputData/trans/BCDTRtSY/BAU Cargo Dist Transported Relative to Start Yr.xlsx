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VA\trans\BCDTRtSY\"/>
    </mc:Choice>
  </mc:AlternateContent>
  <xr:revisionPtr revIDLastSave="0" documentId="8_{61D9DBF0-F618-4337-9B13-2CDB22A3A2A1}"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<sst xmlns="http://schemas.openxmlformats.org/spreadsheetml/2006/main" count="6428" uniqueCount="3038">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</sst>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2931</v>
      </c>
      <c r="C1" s="77">
        <v>46248</v>
      </c>
      <c r="H1" t="s">
        <v>2981</v>
      </c>
      <c r="I1" t="s">
        <v>2982</v>
      </c>
    </row>
    <row r="2" spans="1:9">
      <c r="B2" t="str">
        <f>VLOOKUP(B1,H2:I52,2)</f>
        <v>VA</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Virginia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1.0082022818211887</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1.0178521839084895</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1.0244231700591704</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1.0305906685383841</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1.036015291124009</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1.040083687049409</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1.0443214596311998</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1.0471467199793758</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1.0505804943324224</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1.0531531767592566</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1.0564357383420488</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1.0601607287783434</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1.0639448506124467</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1.0671147729681141</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1.070490997842483</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1.0727716292315521</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1.074925396585718</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1.0767310196755762</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1.0787687495377019</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1.08057861015232</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1.0821106058097907</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1.0828269082077839</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1.0836703233986855</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1.0842693000748143</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1.0852753851575236</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1.0200354307906885</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1.0343130551159301</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1.0451415253007379</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1.0547696361269698</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1.0629947703089233</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1.0687888940559984</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1.0741668909895927</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1.0800431343251926</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1.0854552117687986</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1.0912049962547918</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1.0961717651569642</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1.1012789725109855</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1.1058850646667981</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1.1104755624535334</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1.1150184690045133</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1.1185467246538221</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1.1220312373544463</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1.1251788455224878</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1.1282071690402202</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1.1311233619554029</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1.1336464989242547</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1.1360548278263174</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1.138074156436031</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1.1399125180686005</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1.1416770734156658</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1.0334809072204016</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1.0544459213090704</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1.0646311424606876</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1.0797043731740319</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1.0990025299026533</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1.1165766319903696</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1.1386301995583052</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1.1626676935500915</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1.1891677994655059</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1.2183412753912282</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1.2405289616782347</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1.2628586438538087</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1.2850006341021434</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1.3061948719972416</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1.3279116043003516</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1.3479896180820192</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1.36923631166096</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1.3919049381452102</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1.4145486696760394</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1.4373880452262384</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1.4592385013697249</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1.4791123612878931</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1.4992244978027018</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1.5182860687794153</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1.53790557800054</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1.0659084291394698</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1.1156396081585793</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1.1539707444589455</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1.1875956205450124</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1.2166712317097332</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1.2405613781923794</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1.2622993765759898</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1.2849726869176226</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1.3025821519341163</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1.3202057420599826</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1.3340919724004732</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1.3488983635734266</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1.3624166776585496</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1.3732054673114173</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1.3843834380568629</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1.3937385608683257</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1.4031410582911701</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1.4109658699607743</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1.4196439522903088</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1.4290163688803437</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1.4367252037419034</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1.4451980832778701</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1.4512977882085092</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1.4569786493579933</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1.4623512277599362</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1.0040138177278006</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1.0009118318776991</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0.99177842157062956</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0.9850444498230323</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0.98057323601261326</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0.97485500185025031</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0.97147008808750879</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0.96927500775324449</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0.96832005489086004</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0.96866799061494768</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0.96598918760573804</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0.96333123629493067</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0.96048890922702934</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0.95755698424956059</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0.9547020013082621</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0.95086631451335157</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0.94744976343780563</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0.94432176526191114</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0.94118135512520218</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0.93799499081170379</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0.93431464961974986</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0.92995311500077926</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0.92543112117212278</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0.92050692515826948</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0.91584671888098046</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1.0079661581961099</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1.0181501845105625</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1.0254020060496134</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1.0324555072393928</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1.0384773619893637</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1.043813759034449</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1.0492099881616281</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1.0530578772555803</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1.0572724850608648</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1.0605669433921763</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1.0646846489933099</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1.0692675672928602</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1.0738272631276922</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1.0776512127025351</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1.0817151494869981</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1.0849755108259616</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1.087965605542885</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1.0907193140899238</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1.0938248417892191</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1.0967979468124094</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1.0992935944572224</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1.1010292279563285</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1.1027111174902713</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1.1042302361023464</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1.1061670764337168</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0.99814360179386452</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1.0017426954009796</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1.0049635117310582</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1.0093570742877302</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1.0185882889387186</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1.0256428865705582</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1.0345534758492114</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1.0421792092507474</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1.0518146552713163</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1.0622197297430505</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1.0730222222884764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1.0851801081295347</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1.0986731005649228</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1.1126117160075752</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1.127153345582673</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1.1404921997188289</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1.1532499305311097</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1.1633710296791491</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1.1732532918472491</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1.1846164255926617</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1.1965265068722759</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1.2092172943140149</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1.2206080057665061</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1.2328812623203038</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1.2443996852208912</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1.0128180027799278</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1.0299272730888973</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1.0462197022783541</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1.0599416009944602</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1.0761044305561465</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1.086983847045857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1.0988344790810436</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1.1084948255507994</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1.1194767597682045</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1.1303608177335329</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1.1404593859319139</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1.1498726898449199</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1.1582700216441353</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1.1661019871260279</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1.1741428864306298</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1.1816910074521427</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1.1887081414130265</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1.194678627035006</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1.2009989197659223</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1.2093175690922564</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1.2178877230402028</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1.226386715352096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1.232653559722199</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1.2388567908276236</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1.2444740344432366</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1.0289208813347264</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1.0501459249818024</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1.0649365820004917</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1.0835009450665216</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1.1051391811906544</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1.1256024642732312</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1.1493083562768147</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1.174602445506441</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1.2018091408721407</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1.231059988260444</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1.2558137075367926</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1.2808589959101448</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1.3059650919211365</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1.3305995689294974</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1.3557853894437848</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1.3799061958681611</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1.4049957675109255</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1.4312372464368319</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1.4576381641051468</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1.484348808271543</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1.5105509097112206</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1.5355469504907939</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1.5608902247856691</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1.585680279096412</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1.6110663307731405</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0.97926064519186973</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1.0128599889414354</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0.99405903278112595</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0.98815421130432368</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0.99667577214994119</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0.97226807789958714</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0.97750377279808032</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0.98289867876886772</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0.98126144818828875</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0.98561983063191771</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0.98910821517248559</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0.9940070477713695</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0.9955627848075248</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0.99872152399882319</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1.000863834726841</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1.0008951762412817</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0.99873909622999335</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0.99723113330386792</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0.99826805973205357</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0.9986880962152821</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1.0017118707439034</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1.0085523052710339</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1.0126896699288821</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1.0107439096996467</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1.0094836541925789</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0.99416226657471984</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1.0153868042615597</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1.0387114091416074</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1.0587107832353255</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1.0796998341531336</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1.0984543623679486</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1.1193316725718045</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1.140557056025175</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1.1625656432662814</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1.1856556176919926</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1.2046967545136678</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1.2203528658868905</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1.2360308357878684</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1.2505239214810258</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1.2651283345254893</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1.2790909263116284</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1.2941814796274815</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1.3088655956865252</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1.3234235987970349</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1.339414683710102</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1.3556000389051299</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1.3720169135161158</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1.3876628526169574</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1.4030171162724965</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1.4199068695019164</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1.0082022818211887</v>
      </c>
      <c r="E2">
        <f>'BCDTRtSY-state-adjusted'!E5</f>
        <v>1.0178521839084895</v>
      </c>
      <c r="F2">
        <f>'BCDTRtSY-state-adjusted'!F5</f>
        <v>1.0244231700591704</v>
      </c>
      <c r="G2">
        <f>'BCDTRtSY-state-adjusted'!G5</f>
        <v>1.0305906685383841</v>
      </c>
      <c r="H2">
        <f>'BCDTRtSY-state-adjusted'!H5</f>
        <v>1.036015291124009</v>
      </c>
      <c r="I2">
        <f>'BCDTRtSY-state-adjusted'!I5</f>
        <v>1.040083687049409</v>
      </c>
      <c r="J2">
        <f>'BCDTRtSY-state-adjusted'!J5</f>
        <v>1.0443214596311998</v>
      </c>
      <c r="K2">
        <f>'BCDTRtSY-state-adjusted'!K5</f>
        <v>1.0471467199793758</v>
      </c>
      <c r="L2">
        <f>'BCDTRtSY-state-adjusted'!L5</f>
        <v>1.0505804943324224</v>
      </c>
      <c r="M2">
        <f>'BCDTRtSY-state-adjusted'!M5</f>
        <v>1.0531531767592566</v>
      </c>
      <c r="N2">
        <f>'BCDTRtSY-state-adjusted'!N5</f>
        <v>1.0564357383420488</v>
      </c>
      <c r="O2">
        <f>'BCDTRtSY-state-adjusted'!O5</f>
        <v>1.0601607287783434</v>
      </c>
      <c r="P2">
        <f>'BCDTRtSY-state-adjusted'!P5</f>
        <v>1.0639448506124467</v>
      </c>
      <c r="Q2">
        <f>'BCDTRtSY-state-adjusted'!Q5</f>
        <v>1.0671147729681141</v>
      </c>
      <c r="R2">
        <f>'BCDTRtSY-state-adjusted'!R5</f>
        <v>1.070490997842483</v>
      </c>
      <c r="S2">
        <f>'BCDTRtSY-state-adjusted'!S5</f>
        <v>1.0727716292315521</v>
      </c>
      <c r="T2">
        <f>'BCDTRtSY-state-adjusted'!T5</f>
        <v>1.074925396585718</v>
      </c>
      <c r="U2">
        <f>'BCDTRtSY-state-adjusted'!U5</f>
        <v>1.0767310196755762</v>
      </c>
      <c r="V2">
        <f>'BCDTRtSY-state-adjusted'!V5</f>
        <v>1.0787687495377019</v>
      </c>
      <c r="W2">
        <f>'BCDTRtSY-state-adjusted'!W5</f>
        <v>1.08057861015232</v>
      </c>
      <c r="X2">
        <f>'BCDTRtSY-state-adjusted'!X5</f>
        <v>1.0821106058097907</v>
      </c>
      <c r="Y2">
        <f>'BCDTRtSY-state-adjusted'!Y5</f>
        <v>1.0828269082077839</v>
      </c>
      <c r="Z2">
        <f>'BCDTRtSY-state-adjusted'!Z5</f>
        <v>1.0836703233986855</v>
      </c>
      <c r="AA2">
        <f>'BCDTRtSY-state-adjusted'!AA5</f>
        <v>1.0842693000748143</v>
      </c>
      <c r="AB2">
        <f>'BCDTRtSY-state-adjusted'!AB5</f>
        <v>1.0852753851575236</v>
      </c>
    </row>
    <row r="3" spans="1:28">
      <c r="A3" t="s">
        <v>118</v>
      </c>
      <c r="B3">
        <f>'BCDTRtSY-state-adjusted'!B6</f>
        <v>1</v>
      </c>
      <c r="C3">
        <f>'BCDTRtSY-state-adjusted'!C6</f>
        <v>1</v>
      </c>
      <c r="D3">
        <f>'BCDTRtSY-state-adjusted'!D6</f>
        <v>1.0200354307906885</v>
      </c>
      <c r="E3">
        <f>'BCDTRtSY-state-adjusted'!E6</f>
        <v>1.0343130551159301</v>
      </c>
      <c r="F3">
        <f>'BCDTRtSY-state-adjusted'!F6</f>
        <v>1.0451415253007379</v>
      </c>
      <c r="G3">
        <f>'BCDTRtSY-state-adjusted'!G6</f>
        <v>1.0547696361269698</v>
      </c>
      <c r="H3">
        <f>'BCDTRtSY-state-adjusted'!H6</f>
        <v>1.0629947703089233</v>
      </c>
      <c r="I3">
        <f>'BCDTRtSY-state-adjusted'!I6</f>
        <v>1.0687888940559984</v>
      </c>
      <c r="J3">
        <f>'BCDTRtSY-state-adjusted'!J6</f>
        <v>1.0741668909895927</v>
      </c>
      <c r="K3">
        <f>'BCDTRtSY-state-adjusted'!K6</f>
        <v>1.0800431343251926</v>
      </c>
      <c r="L3">
        <f>'BCDTRtSY-state-adjusted'!L6</f>
        <v>1.0854552117687986</v>
      </c>
      <c r="M3">
        <f>'BCDTRtSY-state-adjusted'!M6</f>
        <v>1.0912049962547918</v>
      </c>
      <c r="N3">
        <f>'BCDTRtSY-state-adjusted'!N6</f>
        <v>1.0961717651569642</v>
      </c>
      <c r="O3">
        <f>'BCDTRtSY-state-adjusted'!O6</f>
        <v>1.1012789725109855</v>
      </c>
      <c r="P3">
        <f>'BCDTRtSY-state-adjusted'!P6</f>
        <v>1.1058850646667981</v>
      </c>
      <c r="Q3">
        <f>'BCDTRtSY-state-adjusted'!Q6</f>
        <v>1.1104755624535334</v>
      </c>
      <c r="R3">
        <f>'BCDTRtSY-state-adjusted'!R6</f>
        <v>1.1150184690045133</v>
      </c>
      <c r="S3">
        <f>'BCDTRtSY-state-adjusted'!S6</f>
        <v>1.1185467246538221</v>
      </c>
      <c r="T3">
        <f>'BCDTRtSY-state-adjusted'!T6</f>
        <v>1.1220312373544463</v>
      </c>
      <c r="U3">
        <f>'BCDTRtSY-state-adjusted'!U6</f>
        <v>1.1251788455224878</v>
      </c>
      <c r="V3">
        <f>'BCDTRtSY-state-adjusted'!V6</f>
        <v>1.1282071690402202</v>
      </c>
      <c r="W3">
        <f>'BCDTRtSY-state-adjusted'!W6</f>
        <v>1.1311233619554029</v>
      </c>
      <c r="X3">
        <f>'BCDTRtSY-state-adjusted'!X6</f>
        <v>1.1336464989242547</v>
      </c>
      <c r="Y3">
        <f>'BCDTRtSY-state-adjusted'!Y6</f>
        <v>1.1360548278263174</v>
      </c>
      <c r="Z3">
        <f>'BCDTRtSY-state-adjusted'!Z6</f>
        <v>1.138074156436031</v>
      </c>
      <c r="AA3">
        <f>'BCDTRtSY-state-adjusted'!AA6</f>
        <v>1.1399125180686005</v>
      </c>
      <c r="AB3">
        <f>'BCDTRtSY-state-adjusted'!AB6</f>
        <v>1.1416770734156658</v>
      </c>
    </row>
    <row r="4" spans="1:28">
      <c r="A4" t="s">
        <v>116</v>
      </c>
      <c r="B4">
        <f>'BCDTRtSY-state-adjusted'!B7</f>
        <v>1</v>
      </c>
      <c r="C4">
        <f>'BCDTRtSY-state-adjusted'!C7</f>
        <v>1</v>
      </c>
      <c r="D4">
        <f>'BCDTRtSY-state-adjusted'!D7</f>
        <v>1.0334809072204016</v>
      </c>
      <c r="E4">
        <f>'BCDTRtSY-state-adjusted'!E7</f>
        <v>1.0544459213090704</v>
      </c>
      <c r="F4">
        <f>'BCDTRtSY-state-adjusted'!F7</f>
        <v>1.0646311424606876</v>
      </c>
      <c r="G4">
        <f>'BCDTRtSY-state-adjusted'!G7</f>
        <v>1.0797043731740319</v>
      </c>
      <c r="H4">
        <f>'BCDTRtSY-state-adjusted'!H7</f>
        <v>1.0990025299026533</v>
      </c>
      <c r="I4">
        <f>'BCDTRtSY-state-adjusted'!I7</f>
        <v>1.1165766319903696</v>
      </c>
      <c r="J4">
        <f>'BCDTRtSY-state-adjusted'!J7</f>
        <v>1.1386301995583052</v>
      </c>
      <c r="K4">
        <f>'BCDTRtSY-state-adjusted'!K7</f>
        <v>1.1626676935500915</v>
      </c>
      <c r="L4">
        <f>'BCDTRtSY-state-adjusted'!L7</f>
        <v>1.1891677994655059</v>
      </c>
      <c r="M4">
        <f>'BCDTRtSY-state-adjusted'!M7</f>
        <v>1.2183412753912282</v>
      </c>
      <c r="N4">
        <f>'BCDTRtSY-state-adjusted'!N7</f>
        <v>1.2405289616782347</v>
      </c>
      <c r="O4">
        <f>'BCDTRtSY-state-adjusted'!O7</f>
        <v>1.2628586438538087</v>
      </c>
      <c r="P4">
        <f>'BCDTRtSY-state-adjusted'!P7</f>
        <v>1.2850006341021434</v>
      </c>
      <c r="Q4">
        <f>'BCDTRtSY-state-adjusted'!Q7</f>
        <v>1.3061948719972416</v>
      </c>
      <c r="R4">
        <f>'BCDTRtSY-state-adjusted'!R7</f>
        <v>1.3279116043003516</v>
      </c>
      <c r="S4">
        <f>'BCDTRtSY-state-adjusted'!S7</f>
        <v>1.3479896180820192</v>
      </c>
      <c r="T4">
        <f>'BCDTRtSY-state-adjusted'!T7</f>
        <v>1.36923631166096</v>
      </c>
      <c r="U4">
        <f>'BCDTRtSY-state-adjusted'!U7</f>
        <v>1.3919049381452102</v>
      </c>
      <c r="V4">
        <f>'BCDTRtSY-state-adjusted'!V7</f>
        <v>1.4145486696760394</v>
      </c>
      <c r="W4">
        <f>'BCDTRtSY-state-adjusted'!W7</f>
        <v>1.4373880452262384</v>
      </c>
      <c r="X4">
        <f>'BCDTRtSY-state-adjusted'!X7</f>
        <v>1.4592385013697249</v>
      </c>
      <c r="Y4">
        <f>'BCDTRtSY-state-adjusted'!Y7</f>
        <v>1.4791123612878931</v>
      </c>
      <c r="Z4">
        <f>'BCDTRtSY-state-adjusted'!Z7</f>
        <v>1.4992244978027018</v>
      </c>
      <c r="AA4">
        <f>'BCDTRtSY-state-adjusted'!AA7</f>
        <v>1.5182860687794153</v>
      </c>
      <c r="AB4">
        <f>'BCDTRtSY-state-adjusted'!AB7</f>
        <v>1.53790557800054</v>
      </c>
    </row>
    <row r="5" spans="1:28">
      <c r="A5" t="s">
        <v>121</v>
      </c>
      <c r="B5">
        <f>'BCDTRtSY-state-adjusted'!B8</f>
        <v>1</v>
      </c>
      <c r="C5">
        <f>'BCDTRtSY-state-adjusted'!C8</f>
        <v>1</v>
      </c>
      <c r="D5">
        <f>'BCDTRtSY-state-adjusted'!D8</f>
        <v>1.0659084291394698</v>
      </c>
      <c r="E5">
        <f>'BCDTRtSY-state-adjusted'!E8</f>
        <v>1.1156396081585793</v>
      </c>
      <c r="F5">
        <f>'BCDTRtSY-state-adjusted'!F8</f>
        <v>1.1539707444589455</v>
      </c>
      <c r="G5">
        <f>'BCDTRtSY-state-adjusted'!G8</f>
        <v>1.1875956205450124</v>
      </c>
      <c r="H5">
        <f>'BCDTRtSY-state-adjusted'!H8</f>
        <v>1.2166712317097332</v>
      </c>
      <c r="I5">
        <f>'BCDTRtSY-state-adjusted'!I8</f>
        <v>1.2405613781923794</v>
      </c>
      <c r="J5">
        <f>'BCDTRtSY-state-adjusted'!J8</f>
        <v>1.2622993765759898</v>
      </c>
      <c r="K5">
        <f>'BCDTRtSY-state-adjusted'!K8</f>
        <v>1.2849726869176226</v>
      </c>
      <c r="L5">
        <f>'BCDTRtSY-state-adjusted'!L8</f>
        <v>1.3025821519341163</v>
      </c>
      <c r="M5">
        <f>'BCDTRtSY-state-adjusted'!M8</f>
        <v>1.3202057420599826</v>
      </c>
      <c r="N5">
        <f>'BCDTRtSY-state-adjusted'!N8</f>
        <v>1.3340919724004732</v>
      </c>
      <c r="O5">
        <f>'BCDTRtSY-state-adjusted'!O8</f>
        <v>1.3488983635734266</v>
      </c>
      <c r="P5">
        <f>'BCDTRtSY-state-adjusted'!P8</f>
        <v>1.3624166776585496</v>
      </c>
      <c r="Q5">
        <f>'BCDTRtSY-state-adjusted'!Q8</f>
        <v>1.3732054673114173</v>
      </c>
      <c r="R5">
        <f>'BCDTRtSY-state-adjusted'!R8</f>
        <v>1.3843834380568629</v>
      </c>
      <c r="S5">
        <f>'BCDTRtSY-state-adjusted'!S8</f>
        <v>1.3937385608683257</v>
      </c>
      <c r="T5">
        <f>'BCDTRtSY-state-adjusted'!T8</f>
        <v>1.4031410582911701</v>
      </c>
      <c r="U5">
        <f>'BCDTRtSY-state-adjusted'!U8</f>
        <v>1.4109658699607743</v>
      </c>
      <c r="V5">
        <f>'BCDTRtSY-state-adjusted'!V8</f>
        <v>1.4196439522903088</v>
      </c>
      <c r="W5">
        <f>'BCDTRtSY-state-adjusted'!W8</f>
        <v>1.4290163688803437</v>
      </c>
      <c r="X5">
        <f>'BCDTRtSY-state-adjusted'!X8</f>
        <v>1.4367252037419034</v>
      </c>
      <c r="Y5">
        <f>'BCDTRtSY-state-adjusted'!Y8</f>
        <v>1.4451980832778701</v>
      </c>
      <c r="Z5">
        <f>'BCDTRtSY-state-adjusted'!Z8</f>
        <v>1.4512977882085092</v>
      </c>
      <c r="AA5">
        <f>'BCDTRtSY-state-adjusted'!AA8</f>
        <v>1.4569786493579933</v>
      </c>
      <c r="AB5">
        <f>'BCDTRtSY-state-adjusted'!AB8</f>
        <v>1.4623512277599362</v>
      </c>
    </row>
    <row r="6" spans="1:28">
      <c r="A6" t="s">
        <v>122</v>
      </c>
      <c r="B6">
        <f>'BCDTRtSY-state-adjusted'!B9</f>
        <v>1</v>
      </c>
      <c r="C6">
        <f>'BCDTRtSY-state-adjusted'!C9</f>
        <v>1</v>
      </c>
      <c r="D6">
        <f>'BCDTRtSY-state-adjusted'!D9</f>
        <v>1.0040138177278006</v>
      </c>
      <c r="E6">
        <f>'BCDTRtSY-state-adjusted'!E9</f>
        <v>1.0009118318776991</v>
      </c>
      <c r="F6">
        <f>'BCDTRtSY-state-adjusted'!F9</f>
        <v>0.99177842157062956</v>
      </c>
      <c r="G6">
        <f>'BCDTRtSY-state-adjusted'!G9</f>
        <v>0.9850444498230323</v>
      </c>
      <c r="H6">
        <f>'BCDTRtSY-state-adjusted'!H9</f>
        <v>0.98057323601261326</v>
      </c>
      <c r="I6">
        <f>'BCDTRtSY-state-adjusted'!I9</f>
        <v>0.97485500185025031</v>
      </c>
      <c r="J6">
        <f>'BCDTRtSY-state-adjusted'!J9</f>
        <v>0.97147008808750879</v>
      </c>
      <c r="K6">
        <f>'BCDTRtSY-state-adjusted'!K9</f>
        <v>0.96927500775324449</v>
      </c>
      <c r="L6">
        <f>'BCDTRtSY-state-adjusted'!L9</f>
        <v>0.96832005489086004</v>
      </c>
      <c r="M6">
        <f>'BCDTRtSY-state-adjusted'!M9</f>
        <v>0.96866799061494768</v>
      </c>
      <c r="N6">
        <f>'BCDTRtSY-state-adjusted'!N9</f>
        <v>0.96598918760573804</v>
      </c>
      <c r="O6">
        <f>'BCDTRtSY-state-adjusted'!O9</f>
        <v>0.96333123629493067</v>
      </c>
      <c r="P6">
        <f>'BCDTRtSY-state-adjusted'!P9</f>
        <v>0.96048890922702934</v>
      </c>
      <c r="Q6">
        <f>'BCDTRtSY-state-adjusted'!Q9</f>
        <v>0.95755698424956059</v>
      </c>
      <c r="R6">
        <f>'BCDTRtSY-state-adjusted'!R9</f>
        <v>0.9547020013082621</v>
      </c>
      <c r="S6">
        <f>'BCDTRtSY-state-adjusted'!S9</f>
        <v>0.95086631451335157</v>
      </c>
      <c r="T6">
        <f>'BCDTRtSY-state-adjusted'!T9</f>
        <v>0.94744976343780563</v>
      </c>
      <c r="U6">
        <f>'BCDTRtSY-state-adjusted'!U9</f>
        <v>0.94432176526191114</v>
      </c>
      <c r="V6">
        <f>'BCDTRtSY-state-adjusted'!V9</f>
        <v>0.94118135512520218</v>
      </c>
      <c r="W6">
        <f>'BCDTRtSY-state-adjusted'!W9</f>
        <v>0.93799499081170379</v>
      </c>
      <c r="X6">
        <f>'BCDTRtSY-state-adjusted'!X9</f>
        <v>0.93431464961974986</v>
      </c>
      <c r="Y6">
        <f>'BCDTRtSY-state-adjusted'!Y9</f>
        <v>0.92995311500077926</v>
      </c>
      <c r="Z6">
        <f>'BCDTRtSY-state-adjusted'!Z9</f>
        <v>0.92543112117212278</v>
      </c>
      <c r="AA6">
        <f>'BCDTRtSY-state-adjusted'!AA9</f>
        <v>0.92050692515826948</v>
      </c>
      <c r="AB6">
        <f>'BCDTRtSY-state-adjusted'!AB9</f>
        <v>0.91584671888098046</v>
      </c>
    </row>
    <row r="7" spans="1:28">
      <c r="A7" t="s">
        <v>123</v>
      </c>
      <c r="B7">
        <f>'BCDTRtSY-state-adjusted'!B10</f>
        <v>1</v>
      </c>
      <c r="C7">
        <f>'BCDTRtSY-state-adjusted'!C10</f>
        <v>1</v>
      </c>
      <c r="D7">
        <f>'BCDTRtSY-state-adjusted'!D10</f>
        <v>1.0079661581961099</v>
      </c>
      <c r="E7">
        <f>'BCDTRtSY-state-adjusted'!E10</f>
        <v>1.0181501845105625</v>
      </c>
      <c r="F7">
        <f>'BCDTRtSY-state-adjusted'!F10</f>
        <v>1.0254020060496134</v>
      </c>
      <c r="G7">
        <f>'BCDTRtSY-state-adjusted'!G10</f>
        <v>1.0324555072393928</v>
      </c>
      <c r="H7">
        <f>'BCDTRtSY-state-adjusted'!H10</f>
        <v>1.0384773619893637</v>
      </c>
      <c r="I7">
        <f>'BCDTRtSY-state-adjusted'!I10</f>
        <v>1.043813759034449</v>
      </c>
      <c r="J7">
        <f>'BCDTRtSY-state-adjusted'!J10</f>
        <v>1.0492099881616281</v>
      </c>
      <c r="K7">
        <f>'BCDTRtSY-state-adjusted'!K10</f>
        <v>1.0530578772555803</v>
      </c>
      <c r="L7">
        <f>'BCDTRtSY-state-adjusted'!L10</f>
        <v>1.0572724850608648</v>
      </c>
      <c r="M7">
        <f>'BCDTRtSY-state-adjusted'!M10</f>
        <v>1.0605669433921763</v>
      </c>
      <c r="N7">
        <f>'BCDTRtSY-state-adjusted'!N10</f>
        <v>1.0646846489933099</v>
      </c>
      <c r="O7">
        <f>'BCDTRtSY-state-adjusted'!O10</f>
        <v>1.0692675672928602</v>
      </c>
      <c r="P7">
        <f>'BCDTRtSY-state-adjusted'!P10</f>
        <v>1.0738272631276922</v>
      </c>
      <c r="Q7">
        <f>'BCDTRtSY-state-adjusted'!Q10</f>
        <v>1.0776512127025351</v>
      </c>
      <c r="R7">
        <f>'BCDTRtSY-state-adjusted'!R10</f>
        <v>1.0817151494869981</v>
      </c>
      <c r="S7">
        <f>'BCDTRtSY-state-adjusted'!S10</f>
        <v>1.0849755108259616</v>
      </c>
      <c r="T7">
        <f>'BCDTRtSY-state-adjusted'!T10</f>
        <v>1.087965605542885</v>
      </c>
      <c r="U7">
        <f>'BCDTRtSY-state-adjusted'!U10</f>
        <v>1.0907193140899238</v>
      </c>
      <c r="V7">
        <f>'BCDTRtSY-state-adjusted'!V10</f>
        <v>1.0938248417892191</v>
      </c>
      <c r="W7">
        <f>'BCDTRtSY-state-adjusted'!W10</f>
        <v>1.0967979468124094</v>
      </c>
      <c r="X7">
        <f>'BCDTRtSY-state-adjusted'!X10</f>
        <v>1.0992935944572224</v>
      </c>
      <c r="Y7">
        <f>'BCDTRtSY-state-adjusted'!Y10</f>
        <v>1.1010292279563285</v>
      </c>
      <c r="Z7">
        <f>'BCDTRtSY-state-adjusted'!Z10</f>
        <v>1.1027111174902713</v>
      </c>
      <c r="AA7">
        <f>'BCDTRtSY-state-adjusted'!AA10</f>
        <v>1.1042302361023464</v>
      </c>
      <c r="AB7">
        <f>'BCDTRtSY-state-adjusted'!AB10</f>
        <v>1.1061670764337168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0.99814360179386452</v>
      </c>
      <c r="E2">
        <f>'BCDTRtSY-state-adjusted'!E13</f>
        <v>1.0017426954009796</v>
      </c>
      <c r="F2">
        <f>'BCDTRtSY-state-adjusted'!F13</f>
        <v>1.0049635117310582</v>
      </c>
      <c r="G2">
        <f>'BCDTRtSY-state-adjusted'!G13</f>
        <v>1.0093570742877302</v>
      </c>
      <c r="H2">
        <f>'BCDTRtSY-state-adjusted'!H13</f>
        <v>1.0185882889387186</v>
      </c>
      <c r="I2">
        <f>'BCDTRtSY-state-adjusted'!I13</f>
        <v>1.0256428865705582</v>
      </c>
      <c r="J2">
        <f>'BCDTRtSY-state-adjusted'!J13</f>
        <v>1.0345534758492114</v>
      </c>
      <c r="K2">
        <f>'BCDTRtSY-state-adjusted'!K13</f>
        <v>1.0421792092507474</v>
      </c>
      <c r="L2">
        <f>'BCDTRtSY-state-adjusted'!L13</f>
        <v>1.0518146552713163</v>
      </c>
      <c r="M2">
        <f>'BCDTRtSY-state-adjusted'!M13</f>
        <v>1.0622197297430505</v>
      </c>
      <c r="N2">
        <f>'BCDTRtSY-state-adjusted'!N13</f>
        <v>1.0730222222884764</v>
      </c>
      <c r="O2">
        <f>'BCDTRtSY-state-adjusted'!O13</f>
        <v>1.0851801081295347</v>
      </c>
      <c r="P2">
        <f>'BCDTRtSY-state-adjusted'!P13</f>
        <v>1.0986731005649228</v>
      </c>
      <c r="Q2">
        <f>'BCDTRtSY-state-adjusted'!Q13</f>
        <v>1.1126117160075752</v>
      </c>
      <c r="R2">
        <f>'BCDTRtSY-state-adjusted'!R13</f>
        <v>1.127153345582673</v>
      </c>
      <c r="S2">
        <f>'BCDTRtSY-state-adjusted'!S13</f>
        <v>1.1404921997188289</v>
      </c>
      <c r="T2">
        <f>'BCDTRtSY-state-adjusted'!T13</f>
        <v>1.1532499305311097</v>
      </c>
      <c r="U2">
        <f>'BCDTRtSY-state-adjusted'!U13</f>
        <v>1.1633710296791491</v>
      </c>
      <c r="V2">
        <f>'BCDTRtSY-state-adjusted'!V13</f>
        <v>1.1732532918472491</v>
      </c>
      <c r="W2">
        <f>'BCDTRtSY-state-adjusted'!W13</f>
        <v>1.1846164255926617</v>
      </c>
      <c r="X2">
        <f>'BCDTRtSY-state-adjusted'!X13</f>
        <v>1.1965265068722759</v>
      </c>
      <c r="Y2">
        <f>'BCDTRtSY-state-adjusted'!Y13</f>
        <v>1.2092172943140149</v>
      </c>
      <c r="Z2">
        <f>'BCDTRtSY-state-adjusted'!Z13</f>
        <v>1.2206080057665061</v>
      </c>
      <c r="AA2">
        <f>'BCDTRtSY-state-adjusted'!AA13</f>
        <v>1.2328812623203038</v>
      </c>
      <c r="AB2">
        <f>'BCDTRtSY-state-adjusted'!AB13</f>
        <v>1.2443996852208912</v>
      </c>
    </row>
    <row r="3" spans="1:28">
      <c r="A3" t="s">
        <v>118</v>
      </c>
      <c r="B3">
        <f>'BCDTRtSY-state-adjusted'!B14</f>
        <v>1</v>
      </c>
      <c r="C3">
        <f>'BCDTRtSY-state-adjusted'!C14</f>
        <v>1</v>
      </c>
      <c r="D3">
        <f>'BCDTRtSY-state-adjusted'!D14</f>
        <v>1.0128180027799278</v>
      </c>
      <c r="E3">
        <f>'BCDTRtSY-state-adjusted'!E14</f>
        <v>1.0299272730888973</v>
      </c>
      <c r="F3">
        <f>'BCDTRtSY-state-adjusted'!F14</f>
        <v>1.0462197022783541</v>
      </c>
      <c r="G3">
        <f>'BCDTRtSY-state-adjusted'!G14</f>
        <v>1.0599416009944602</v>
      </c>
      <c r="H3">
        <f>'BCDTRtSY-state-adjusted'!H14</f>
        <v>1.0761044305561465</v>
      </c>
      <c r="I3">
        <f>'BCDTRtSY-state-adjusted'!I14</f>
        <v>1.086983847045857</v>
      </c>
      <c r="J3">
        <f>'BCDTRtSY-state-adjusted'!J14</f>
        <v>1.0988344790810436</v>
      </c>
      <c r="K3">
        <f>'BCDTRtSY-state-adjusted'!K14</f>
        <v>1.1084948255507994</v>
      </c>
      <c r="L3">
        <f>'BCDTRtSY-state-adjusted'!L14</f>
        <v>1.1194767597682045</v>
      </c>
      <c r="M3">
        <f>'BCDTRtSY-state-adjusted'!M14</f>
        <v>1.1303608177335329</v>
      </c>
      <c r="N3">
        <f>'BCDTRtSY-state-adjusted'!N14</f>
        <v>1.1404593859319139</v>
      </c>
      <c r="O3">
        <f>'BCDTRtSY-state-adjusted'!O14</f>
        <v>1.1498726898449199</v>
      </c>
      <c r="P3">
        <f>'BCDTRtSY-state-adjusted'!P14</f>
        <v>1.1582700216441353</v>
      </c>
      <c r="Q3">
        <f>'BCDTRtSY-state-adjusted'!Q14</f>
        <v>1.1661019871260279</v>
      </c>
      <c r="R3">
        <f>'BCDTRtSY-state-adjusted'!R14</f>
        <v>1.1741428864306298</v>
      </c>
      <c r="S3">
        <f>'BCDTRtSY-state-adjusted'!S14</f>
        <v>1.1816910074521427</v>
      </c>
      <c r="T3">
        <f>'BCDTRtSY-state-adjusted'!T14</f>
        <v>1.1887081414130265</v>
      </c>
      <c r="U3">
        <f>'BCDTRtSY-state-adjusted'!U14</f>
        <v>1.194678627035006</v>
      </c>
      <c r="V3">
        <f>'BCDTRtSY-state-adjusted'!V14</f>
        <v>1.2009989197659223</v>
      </c>
      <c r="W3">
        <f>'BCDTRtSY-state-adjusted'!W14</f>
        <v>1.2093175690922564</v>
      </c>
      <c r="X3">
        <f>'BCDTRtSY-state-adjusted'!X14</f>
        <v>1.2178877230402028</v>
      </c>
      <c r="Y3">
        <f>'BCDTRtSY-state-adjusted'!Y14</f>
        <v>1.226386715352096</v>
      </c>
      <c r="Z3">
        <f>'BCDTRtSY-state-adjusted'!Z14</f>
        <v>1.232653559722199</v>
      </c>
      <c r="AA3">
        <f>'BCDTRtSY-state-adjusted'!AA14</f>
        <v>1.2388567908276236</v>
      </c>
      <c r="AB3">
        <f>'BCDTRtSY-state-adjusted'!AB14</f>
        <v>1.2444740344432366</v>
      </c>
    </row>
    <row r="4" spans="1:28">
      <c r="A4" t="s">
        <v>116</v>
      </c>
      <c r="B4">
        <f>'BCDTRtSY-state-adjusted'!B15</f>
        <v>1</v>
      </c>
      <c r="C4">
        <f>'BCDTRtSY-state-adjusted'!C15</f>
        <v>1</v>
      </c>
      <c r="D4">
        <f>'BCDTRtSY-state-adjusted'!D15</f>
        <v>1.0289208813347264</v>
      </c>
      <c r="E4">
        <f>'BCDTRtSY-state-adjusted'!E15</f>
        <v>1.0501459249818024</v>
      </c>
      <c r="F4">
        <f>'BCDTRtSY-state-adjusted'!F15</f>
        <v>1.0649365820004917</v>
      </c>
      <c r="G4">
        <f>'BCDTRtSY-state-adjusted'!G15</f>
        <v>1.0835009450665216</v>
      </c>
      <c r="H4">
        <f>'BCDTRtSY-state-adjusted'!H15</f>
        <v>1.1051391811906544</v>
      </c>
      <c r="I4">
        <f>'BCDTRtSY-state-adjusted'!I15</f>
        <v>1.1256024642732312</v>
      </c>
      <c r="J4">
        <f>'BCDTRtSY-state-adjusted'!J15</f>
        <v>1.1493083562768147</v>
      </c>
      <c r="K4">
        <f>'BCDTRtSY-state-adjusted'!K15</f>
        <v>1.174602445506441</v>
      </c>
      <c r="L4">
        <f>'BCDTRtSY-state-adjusted'!L15</f>
        <v>1.2018091408721407</v>
      </c>
      <c r="M4">
        <f>'BCDTRtSY-state-adjusted'!M15</f>
        <v>1.231059988260444</v>
      </c>
      <c r="N4">
        <f>'BCDTRtSY-state-adjusted'!N15</f>
        <v>1.2558137075367926</v>
      </c>
      <c r="O4">
        <f>'BCDTRtSY-state-adjusted'!O15</f>
        <v>1.2808589959101448</v>
      </c>
      <c r="P4">
        <f>'BCDTRtSY-state-adjusted'!P15</f>
        <v>1.3059650919211365</v>
      </c>
      <c r="Q4">
        <f>'BCDTRtSY-state-adjusted'!Q15</f>
        <v>1.3305995689294974</v>
      </c>
      <c r="R4">
        <f>'BCDTRtSY-state-adjusted'!R15</f>
        <v>1.3557853894437848</v>
      </c>
      <c r="S4">
        <f>'BCDTRtSY-state-adjusted'!S15</f>
        <v>1.3799061958681611</v>
      </c>
      <c r="T4">
        <f>'BCDTRtSY-state-adjusted'!T15</f>
        <v>1.4049957675109255</v>
      </c>
      <c r="U4">
        <f>'BCDTRtSY-state-adjusted'!U15</f>
        <v>1.4312372464368319</v>
      </c>
      <c r="V4">
        <f>'BCDTRtSY-state-adjusted'!V15</f>
        <v>1.4576381641051468</v>
      </c>
      <c r="W4">
        <f>'BCDTRtSY-state-adjusted'!W15</f>
        <v>1.484348808271543</v>
      </c>
      <c r="X4">
        <f>'BCDTRtSY-state-adjusted'!X15</f>
        <v>1.5105509097112206</v>
      </c>
      <c r="Y4">
        <f>'BCDTRtSY-state-adjusted'!Y15</f>
        <v>1.5355469504907939</v>
      </c>
      <c r="Z4">
        <f>'BCDTRtSY-state-adjusted'!Z15</f>
        <v>1.5608902247856691</v>
      </c>
      <c r="AA4">
        <f>'BCDTRtSY-state-adjusted'!AA15</f>
        <v>1.585680279096412</v>
      </c>
      <c r="AB4">
        <f>'BCDTRtSY-state-adjusted'!AB15</f>
        <v>1.6110663307731405</v>
      </c>
    </row>
    <row r="5" spans="1:28">
      <c r="A5" t="s">
        <v>121</v>
      </c>
      <c r="B5">
        <f>'BCDTRtSY-state-adjusted'!B16</f>
        <v>1</v>
      </c>
      <c r="C5">
        <f>'BCDTRtSY-state-adjusted'!C16</f>
        <v>1</v>
      </c>
      <c r="D5">
        <f>'BCDTRtSY-state-adjusted'!D16</f>
        <v>0.97926064519186973</v>
      </c>
      <c r="E5">
        <f>'BCDTRtSY-state-adjusted'!E16</f>
        <v>1.0128599889414354</v>
      </c>
      <c r="F5">
        <f>'BCDTRtSY-state-adjusted'!F16</f>
        <v>0.99405903278112595</v>
      </c>
      <c r="G5">
        <f>'BCDTRtSY-state-adjusted'!G16</f>
        <v>0.98815421130432368</v>
      </c>
      <c r="H5">
        <f>'BCDTRtSY-state-adjusted'!H16</f>
        <v>0.99667577214994119</v>
      </c>
      <c r="I5">
        <f>'BCDTRtSY-state-adjusted'!I16</f>
        <v>0.97226807789958714</v>
      </c>
      <c r="J5">
        <f>'BCDTRtSY-state-adjusted'!J16</f>
        <v>0.97750377279808032</v>
      </c>
      <c r="K5">
        <f>'BCDTRtSY-state-adjusted'!K16</f>
        <v>0.98289867876886772</v>
      </c>
      <c r="L5">
        <f>'BCDTRtSY-state-adjusted'!L16</f>
        <v>0.98126144818828875</v>
      </c>
      <c r="M5">
        <f>'BCDTRtSY-state-adjusted'!M16</f>
        <v>0.98561983063191771</v>
      </c>
      <c r="N5">
        <f>'BCDTRtSY-state-adjusted'!N16</f>
        <v>0.98910821517248559</v>
      </c>
      <c r="O5">
        <f>'BCDTRtSY-state-adjusted'!O16</f>
        <v>0.9940070477713695</v>
      </c>
      <c r="P5">
        <f>'BCDTRtSY-state-adjusted'!P16</f>
        <v>0.9955627848075248</v>
      </c>
      <c r="Q5">
        <f>'BCDTRtSY-state-adjusted'!Q16</f>
        <v>0.99872152399882319</v>
      </c>
      <c r="R5">
        <f>'BCDTRtSY-state-adjusted'!R16</f>
        <v>1.000863834726841</v>
      </c>
      <c r="S5">
        <f>'BCDTRtSY-state-adjusted'!S16</f>
        <v>1.0008951762412817</v>
      </c>
      <c r="T5">
        <f>'BCDTRtSY-state-adjusted'!T16</f>
        <v>0.99873909622999335</v>
      </c>
      <c r="U5">
        <f>'BCDTRtSY-state-adjusted'!U16</f>
        <v>0.99723113330386792</v>
      </c>
      <c r="V5">
        <f>'BCDTRtSY-state-adjusted'!V16</f>
        <v>0.99826805973205357</v>
      </c>
      <c r="W5">
        <f>'BCDTRtSY-state-adjusted'!W16</f>
        <v>0.9986880962152821</v>
      </c>
      <c r="X5">
        <f>'BCDTRtSY-state-adjusted'!X16</f>
        <v>1.0017118707439034</v>
      </c>
      <c r="Y5">
        <f>'BCDTRtSY-state-adjusted'!Y16</f>
        <v>1.0085523052710339</v>
      </c>
      <c r="Z5">
        <f>'BCDTRtSY-state-adjusted'!Z16</f>
        <v>1.0126896699288821</v>
      </c>
      <c r="AA5">
        <f>'BCDTRtSY-state-adjusted'!AA16</f>
        <v>1.0107439096996467</v>
      </c>
      <c r="AB5">
        <f>'BCDTRtSY-state-adjusted'!AB16</f>
        <v>1.0094836541925789</v>
      </c>
    </row>
    <row r="6" spans="1:28">
      <c r="A6" t="s">
        <v>122</v>
      </c>
      <c r="B6">
        <f>'BCDTRtSY-state-adjusted'!B17</f>
        <v>1</v>
      </c>
      <c r="C6">
        <f>'BCDTRtSY-state-adjusted'!C17</f>
        <v>1</v>
      </c>
      <c r="D6">
        <f>'BCDTRtSY-state-adjusted'!D17</f>
        <v>0.99416226657471984</v>
      </c>
      <c r="E6">
        <f>'BCDTRtSY-state-adjusted'!E17</f>
        <v>1.0153868042615597</v>
      </c>
      <c r="F6">
        <f>'BCDTRtSY-state-adjusted'!F17</f>
        <v>1.0387114091416074</v>
      </c>
      <c r="G6">
        <f>'BCDTRtSY-state-adjusted'!G17</f>
        <v>1.0587107832353255</v>
      </c>
      <c r="H6">
        <f>'BCDTRtSY-state-adjusted'!H17</f>
        <v>1.0796998341531336</v>
      </c>
      <c r="I6">
        <f>'BCDTRtSY-state-adjusted'!I17</f>
        <v>1.0984543623679486</v>
      </c>
      <c r="J6">
        <f>'BCDTRtSY-state-adjusted'!J17</f>
        <v>1.1193316725718045</v>
      </c>
      <c r="K6">
        <f>'BCDTRtSY-state-adjusted'!K17</f>
        <v>1.140557056025175</v>
      </c>
      <c r="L6">
        <f>'BCDTRtSY-state-adjusted'!L17</f>
        <v>1.1625656432662814</v>
      </c>
      <c r="M6">
        <f>'BCDTRtSY-state-adjusted'!M17</f>
        <v>1.1856556176919926</v>
      </c>
      <c r="N6">
        <f>'BCDTRtSY-state-adjusted'!N17</f>
        <v>1.2046967545136678</v>
      </c>
      <c r="O6">
        <f>'BCDTRtSY-state-adjusted'!O17</f>
        <v>1.2203528658868905</v>
      </c>
      <c r="P6">
        <f>'BCDTRtSY-state-adjusted'!P17</f>
        <v>1.2360308357878684</v>
      </c>
      <c r="Q6">
        <f>'BCDTRtSY-state-adjusted'!Q17</f>
        <v>1.2505239214810258</v>
      </c>
      <c r="R6">
        <f>'BCDTRtSY-state-adjusted'!R17</f>
        <v>1.2651283345254893</v>
      </c>
      <c r="S6">
        <f>'BCDTRtSY-state-adjusted'!S17</f>
        <v>1.2790909263116284</v>
      </c>
      <c r="T6">
        <f>'BCDTRtSY-state-adjusted'!T17</f>
        <v>1.2941814796274815</v>
      </c>
      <c r="U6">
        <f>'BCDTRtSY-state-adjusted'!U17</f>
        <v>1.3088655956865252</v>
      </c>
      <c r="V6">
        <f>'BCDTRtSY-state-adjusted'!V17</f>
        <v>1.3234235987970349</v>
      </c>
      <c r="W6">
        <f>'BCDTRtSY-state-adjusted'!W17</f>
        <v>1.339414683710102</v>
      </c>
      <c r="X6">
        <f>'BCDTRtSY-state-adjusted'!X17</f>
        <v>1.3556000389051299</v>
      </c>
      <c r="Y6">
        <f>'BCDTRtSY-state-adjusted'!Y17</f>
        <v>1.3720169135161158</v>
      </c>
      <c r="Z6">
        <f>'BCDTRtSY-state-adjusted'!Z17</f>
        <v>1.3876628526169574</v>
      </c>
      <c r="AA6">
        <f>'BCDTRtSY-state-adjusted'!AA17</f>
        <v>1.4030171162724965</v>
      </c>
      <c r="AB6">
        <f>'BCDTRtSY-state-adjusted'!AB17</f>
        <v>1.4199068695019164</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2026-08-14T21:49:41Z</dcterms:modified>
</cp:coreProperties>
</file>