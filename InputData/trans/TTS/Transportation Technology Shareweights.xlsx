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18575EB9-18C7-4481-B9CA-3AE287603F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X31" i="7" l="1"/>
  <c r="Y31" i="7"/>
  <c r="U44" i="7"/>
  <c r="X44" i="7"/>
  <c r="X36" i="7"/>
  <c r="Y44" i="7"/>
  <c r="Y36" i="7"/>
  <c r="V44" i="7"/>
  <c r="V36" i="7"/>
  <c r="U36" i="7"/>
  <c r="S36" i="7"/>
  <c r="T44" i="7"/>
  <c r="U31" i="7"/>
  <c r="V31" i="7"/>
  <c r="W44" i="7"/>
  <c r="S31" i="7"/>
  <c r="T36" i="7"/>
  <c r="AA36" i="7" s="1"/>
  <c r="W31" i="7"/>
  <c r="Z31" i="7" s="1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AB36" i="7" l="1"/>
  <c r="AC36" i="7" s="1"/>
  <c r="AD36" i="7" s="1"/>
  <c r="AA44" i="7"/>
  <c r="Z29" i="7"/>
  <c r="AA31" i="7"/>
  <c r="AB44" i="7"/>
  <c r="AB31" i="7"/>
  <c r="Z44" i="7"/>
  <c r="Z10" i="7"/>
  <c r="AB29" i="7"/>
  <c r="AA29" i="7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 l="1"/>
  <c r="AC44" i="7"/>
  <c r="AD44" i="7" s="1"/>
  <c r="AC29" i="7"/>
  <c r="AD29" i="7" s="1"/>
  <c r="AC34" i="7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64" i="10"/>
  <c r="N7" i="18" s="1"/>
  <c r="V28" i="10"/>
  <c r="N6" i="13" s="1"/>
  <c r="V35" i="10"/>
  <c r="N6" i="14" s="1"/>
  <c r="V51" i="10"/>
  <c r="N8" i="16" s="1"/>
  <c r="V19" i="10"/>
  <c r="N4" i="12" s="1"/>
  <c r="N1" i="13" l="1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W29" i="10" l="1"/>
  <c r="O7" i="13" s="1"/>
  <c r="O1" i="12"/>
  <c r="O1" i="17"/>
  <c r="O1" i="21"/>
  <c r="O1" i="19"/>
  <c r="O1" i="14"/>
  <c r="W71" i="10"/>
  <c r="O7" i="19" s="1"/>
  <c r="W41" i="10"/>
  <c r="O5" i="15" s="1"/>
  <c r="W85" i="10"/>
  <c r="O7" i="21" s="1"/>
  <c r="W15" i="10"/>
  <c r="O7" i="11" s="1"/>
  <c r="W82" i="10"/>
  <c r="O4" i="21" s="1"/>
  <c r="W69" i="10"/>
  <c r="O5" i="19" s="1"/>
  <c r="W43" i="10"/>
  <c r="O7" i="15" s="1"/>
  <c r="W72" i="10"/>
  <c r="O8" i="19" s="1"/>
  <c r="W46" i="10"/>
  <c r="O3" i="16" s="1"/>
  <c r="W25" i="10"/>
  <c r="O3" i="13" s="1"/>
  <c r="W61" i="10"/>
  <c r="O4" i="18" s="1"/>
  <c r="W50" i="10"/>
  <c r="O7" i="16" s="1"/>
  <c r="W91" i="10"/>
  <c r="W53" i="10"/>
  <c r="O3" i="17" s="1"/>
  <c r="W83" i="10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X48" i="10"/>
  <c r="P5" i="16" s="1"/>
  <c r="X51" i="10"/>
  <c r="P8" i="16" s="1"/>
  <c r="X27" i="10"/>
  <c r="P5" i="13" s="1"/>
  <c r="X25" i="10"/>
  <c r="P3" i="13" s="1"/>
  <c r="X58" i="10"/>
  <c r="P8" i="17" s="1"/>
  <c r="X23" i="10"/>
  <c r="P8" i="12" s="1"/>
  <c r="X66" i="10"/>
  <c r="P2" i="19" s="1"/>
  <c r="X70" i="10"/>
  <c r="P6" i="19" s="1"/>
  <c r="X41" i="10"/>
  <c r="P5" i="15" s="1"/>
  <c r="X85" i="10" l="1"/>
  <c r="P7" i="21" s="1"/>
  <c r="X39" i="10"/>
  <c r="P3" i="15" s="1"/>
  <c r="X87" i="10"/>
  <c r="X92" i="10"/>
  <c r="X18" i="10"/>
  <c r="P3" i="12" s="1"/>
  <c r="X63" i="10"/>
  <c r="P6" i="18" s="1"/>
  <c r="X56" i="10"/>
  <c r="P6" i="17" s="1"/>
  <c r="X65" i="10"/>
  <c r="P8" i="18" s="1"/>
  <c r="P1" i="17"/>
  <c r="X16" i="10"/>
  <c r="P8" i="11" s="1"/>
  <c r="X89" i="10"/>
  <c r="P1" i="15"/>
  <c r="X13" i="10"/>
  <c r="P5" i="11" s="1"/>
  <c r="X55" i="10"/>
  <c r="P5" i="17" s="1"/>
  <c r="P1" i="11"/>
  <c r="X53" i="10"/>
  <c r="P3" i="17" s="1"/>
  <c r="X83" i="10"/>
  <c r="P5" i="21" s="1"/>
  <c r="X11" i="10"/>
  <c r="P3" i="11" s="1"/>
  <c r="X52" i="10"/>
  <c r="P2" i="17" s="1"/>
  <c r="P1" i="21"/>
  <c r="X12" i="10"/>
  <c r="P4" i="11" s="1"/>
  <c r="X69" i="10"/>
  <c r="P5" i="19" s="1"/>
  <c r="X40" i="10"/>
  <c r="P4" i="15" s="1"/>
  <c r="X15" i="10"/>
  <c r="P7" i="11" s="1"/>
  <c r="X59" i="10"/>
  <c r="P2" i="18" s="1"/>
  <c r="X74" i="10"/>
  <c r="P3" i="20" s="1"/>
  <c r="X37" i="10"/>
  <c r="P8" i="14" s="1"/>
  <c r="X50" i="10"/>
  <c r="P7" i="16" s="1"/>
  <c r="X34" i="10"/>
  <c r="P5" i="14" s="1"/>
  <c r="X43" i="10"/>
  <c r="P7" i="15" s="1"/>
  <c r="X93" i="10"/>
  <c r="X38" i="10"/>
  <c r="P2" i="15" s="1"/>
  <c r="X79" i="10"/>
  <c r="P8" i="20" s="1"/>
  <c r="X77" i="10"/>
  <c r="P6" i="20" s="1"/>
  <c r="X61" i="10"/>
  <c r="P4" i="18" s="1"/>
  <c r="X73" i="10"/>
  <c r="P2" i="20" s="1"/>
  <c r="X20" i="10"/>
  <c r="P5" i="12" s="1"/>
  <c r="P1" i="18"/>
  <c r="X19" i="10"/>
  <c r="P4" i="12" s="1"/>
  <c r="X42" i="10"/>
  <c r="P6" i="15" s="1"/>
  <c r="X32" i="10"/>
  <c r="P3" i="14" s="1"/>
  <c r="X88" i="10"/>
  <c r="X64" i="10"/>
  <c r="P7" i="18" s="1"/>
  <c r="X76" i="10"/>
  <c r="P5" i="20" s="1"/>
  <c r="X71" i="10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Y72" i="10" l="1"/>
  <c r="Q8" i="19" s="1"/>
  <c r="Y28" i="10"/>
  <c r="Q6" i="13" s="1"/>
  <c r="Q1" i="22"/>
  <c r="Q1" i="17"/>
  <c r="Q1" i="21"/>
  <c r="Z9" i="10"/>
  <c r="R1" i="15" s="1"/>
  <c r="Y78" i="10"/>
  <c r="Q7" i="20" s="1"/>
  <c r="Y37" i="10"/>
  <c r="Q8" i="14" s="1"/>
  <c r="Y76" i="10"/>
  <c r="Q5" i="20" s="1"/>
  <c r="Y30" i="10"/>
  <c r="Q8" i="13" s="1"/>
  <c r="Y23" i="10"/>
  <c r="Q8" i="12" s="1"/>
  <c r="Y38" i="10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1" i="10"/>
  <c r="R4" i="18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22" i="10"/>
  <c r="R7" i="12" s="1"/>
  <c r="Z28" i="10"/>
  <c r="R6" i="13" s="1"/>
  <c r="Z38" i="10"/>
  <c r="R2" i="15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77" i="10"/>
  <c r="R6" i="20" s="1"/>
  <c r="Z93" i="10"/>
  <c r="Z39" i="10"/>
  <c r="R3" i="15" s="1"/>
  <c r="Z41" i="10"/>
  <c r="R5" i="15" s="1"/>
  <c r="Z30" i="10"/>
  <c r="R8" i="13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R1" i="14" l="1"/>
  <c r="Z52" i="10"/>
  <c r="R2" i="17" s="1"/>
  <c r="Z34" i="10"/>
  <c r="R5" i="14" s="1"/>
  <c r="Z19" i="10"/>
  <c r="R4" i="12" s="1"/>
  <c r="Z36" i="10"/>
  <c r="R7" i="14" s="1"/>
  <c r="Z35" i="10"/>
  <c r="R6" i="14" s="1"/>
  <c r="R1" i="20"/>
  <c r="Z74" i="10"/>
  <c r="R3" i="20" s="1"/>
  <c r="R1" i="22"/>
  <c r="Z20" i="10"/>
  <c r="R5" i="12" s="1"/>
  <c r="Z60" i="10"/>
  <c r="R3" i="18" s="1"/>
  <c r="R1" i="16"/>
  <c r="Z45" i="10"/>
  <c r="R2" i="16" s="1"/>
  <c r="Z23" i="10"/>
  <c r="R8" i="12" s="1"/>
  <c r="Z26" i="10"/>
  <c r="R4" i="13" s="1"/>
  <c r="Z78" i="10"/>
  <c r="R7" i="20" s="1"/>
  <c r="Z67" i="10"/>
  <c r="R3" i="19" s="1"/>
  <c r="R1" i="19"/>
  <c r="Z66" i="10"/>
  <c r="R2" i="19" s="1"/>
  <c r="Z90" i="10"/>
  <c r="Z44" i="10"/>
  <c r="R8" i="15" s="1"/>
  <c r="R1" i="17"/>
  <c r="Z50" i="10"/>
  <c r="R7" i="16" s="1"/>
  <c r="Z42" i="10"/>
  <c r="R6" i="15" s="1"/>
  <c r="Z62" i="10"/>
  <c r="R5" i="18" s="1"/>
  <c r="S1" i="19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<sst xmlns="http://schemas.openxmlformats.org/spreadsheetml/2006/main" count="1579" uniqueCount="340">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</sst>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124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VA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107400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7192280</v>
      </c>
      <c r="E2">
        <f>SUMIFS(SYVbT_all!$F$4:$F$291,SYVbT_all!$A$4:$A$291,About!$B$2,SYVbT_all!$B$4:$B$291,$A2)</f>
        <v>30645</v>
      </c>
      <c r="F2">
        <f>SUMIFS(SYVbT_all!$G$4:$G$291,SYVbT_all!$A$4:$A$291,About!$B$2,SYVbT_all!$B$4:$B$291,$A2)</f>
        <v>32100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10</v>
      </c>
      <c r="C3">
        <f>SUMIFS(SYVbT_all!$D$4:$D$291,SYVbT_all!$A$4:$A$291,About!$B$2,SYVbT_all!$B$4:$B$291,$A3)</f>
        <v>4350</v>
      </c>
      <c r="D3">
        <f>SUMIFS(SYVbT_all!$E$4:$E$291,SYVbT_all!$A$4:$A$291,About!$B$2,SYVbT_all!$B$4:$B$291,$A3)</f>
        <v>3423</v>
      </c>
      <c r="E3">
        <f>SUMIFS(SYVbT_all!$F$4:$F$291,SYVbT_all!$A$4:$A$291,About!$B$2,SYVbT_all!$B$4:$B$291,$A3)</f>
        <v>27197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1593</v>
      </c>
      <c r="H3">
        <f>SUMIFS(SYVbT_all!$I$4:$I$291,SYVbT_all!$A$4:$A$291,About!$B$2,SYVbT_all!$B$4:$B$291,$A3)</f>
        <v>6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215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17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15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216116</v>
      </c>
      <c r="E6">
        <f>SUMIFS(SYVbT_all!$F$4:$F$291,SYVbT_all!$A$4:$A$291,About!$B$2,SYVbT_all!$B$4:$B$291,$A6)</f>
        <v>52685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190615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0.53125</v>
      </c>
      <c r="F52">
        <f>E52</f>
        <v>0.53125</v>
      </c>
      <c r="G52" t="s">
        <v>329</v>
      </c>
      <c r="I52">
        <f t="shared" si="10"/>
        <v>0.53125</v>
      </c>
      <c r="J52">
        <f>IF($G52="s-curve",$E52+($F52-$E52)*$I$2/(1+EXP($I$3*(COUNT($I$9:J$9)+$I$4))),TREND($E52:$F52,$E$9:$F$9,J$9))</f>
        <v>0.53125</v>
      </c>
      <c r="K52">
        <f>IF($G52="s-curve",$E52+($F52-$E52)*$I$2/(1+EXP($I$3*(COUNT($I$9:K$9)+$I$4))),TREND($E52:$F52,$E$9:$F$9,K$9))</f>
        <v>0.53125</v>
      </c>
      <c r="L52">
        <f>IF($G52="s-curve",$E52+($F52-$E52)*$I$2/(1+EXP($I$3*(COUNT($I$9:L$9)+$I$4))),TREND($E52:$F52,$E$9:$F$9,L$9))</f>
        <v>0.53125</v>
      </c>
      <c r="M52">
        <f>IF($G52="s-curve",$E52+($F52-$E52)*$I$2/(1+EXP($I$3*(COUNT($I$9:M$9)+$I$4))),TREND($E52:$F52,$E$9:$F$9,M$9))</f>
        <v>0.53125</v>
      </c>
      <c r="N52">
        <f>IF($G52="s-curve",$E52+($F52-$E52)*$I$2/(1+EXP($I$3*(COUNT($I$9:N$9)+$I$4))),TREND($E52:$F52,$E$9:$F$9,N$9))</f>
        <v>0.53125</v>
      </c>
      <c r="O52">
        <f>IF($G52="s-curve",$E52+($F52-$E52)*$I$2/(1+EXP($I$3*(COUNT($I$9:O$9)+$I$4))),TREND($E52:$F52,$E$9:$F$9,O$9))</f>
        <v>0.53125</v>
      </c>
      <c r="P52">
        <f>IF($G52="s-curve",$E52+($F52-$E52)*$I$2/(1+EXP($I$3*(COUNT($I$9:P$9)+$I$4))),TREND($E52:$F52,$E$9:$F$9,P$9))</f>
        <v>0.53125</v>
      </c>
      <c r="Q52">
        <f>IF($G52="s-curve",$E52+($F52-$E52)*$I$2/(1+EXP($I$3*(COUNT($I$9:Q$9)+$I$4))),TREND($E52:$F52,$E$9:$F$9,Q$9))</f>
        <v>0.53125</v>
      </c>
      <c r="R52">
        <f>IF($G52="s-curve",$E52+($F52-$E52)*$I$2/(1+EXP($I$3*(COUNT($I$9:R$9)+$I$4))),TREND($E52:$F52,$E$9:$F$9,R$9))</f>
        <v>0.53125</v>
      </c>
      <c r="S52">
        <f>IF($G52="s-curve",$E52+($F52-$E52)*$I$2/(1+EXP($I$3*(COUNT($I$9:S$9)+$I$4))),TREND($E52:$F52,$E$9:$F$9,S$9))</f>
        <v>0.53125</v>
      </c>
      <c r="T52">
        <f>IF($G52="s-curve",$E52+($F52-$E52)*$I$2/(1+EXP($I$3*(COUNT($I$9:T$9)+$I$4))),TREND($E52:$F52,$E$9:$F$9,T$9))</f>
        <v>0.53125</v>
      </c>
      <c r="U52">
        <f>IF($G52="s-curve",$E52+($F52-$E52)*$I$2/(1+EXP($I$3*(COUNT($I$9:U$9)+$I$4))),TREND($E52:$F52,$E$9:$F$9,U$9))</f>
        <v>0.53125</v>
      </c>
      <c r="V52">
        <f>IF($G52="s-curve",$E52+($F52-$E52)*$I$2/(1+EXP($I$3*(COUNT($I$9:V$9)+$I$4))),TREND($E52:$F52,$E$9:$F$9,V$9))</f>
        <v>0.53125</v>
      </c>
      <c r="W52">
        <f>IF($G52="s-curve",$E52+($F52-$E52)*$I$2/(1+EXP($I$3*(COUNT($I$9:W$9)+$I$4))),TREND($E52:$F52,$E$9:$F$9,W$9))</f>
        <v>0.53125</v>
      </c>
      <c r="X52">
        <f>IF($G52="s-curve",$E52+($F52-$E52)*$I$2/(1+EXP($I$3*(COUNT($I$9:X$9)+$I$4))),TREND($E52:$F52,$E$9:$F$9,X$9))</f>
        <v>0.53125</v>
      </c>
      <c r="Y52">
        <f>IF($G52="s-curve",$E52+($F52-$E52)*$I$2/(1+EXP($I$3*(COUNT($I$9:Y$9)+$I$4))),TREND($E52:$F52,$E$9:$F$9,Y$9))</f>
        <v>0.53125</v>
      </c>
      <c r="Z52">
        <f>IF($G52="s-curve",$E52+($F52-$E52)*$I$2/(1+EXP($I$3*(COUNT($I$9:Z$9)+$I$4))),TREND($E52:$F52,$E$9:$F$9,Z$9))</f>
        <v>0.53125</v>
      </c>
      <c r="AA52">
        <f>IF($G52="s-curve",$E52+($F52-$E52)*$I$2/(1+EXP($I$3*(COUNT($I$9:AA$9)+$I$4))),TREND($E52:$F52,$E$9:$F$9,AA$9))</f>
        <v>0.53125</v>
      </c>
      <c r="AB52">
        <f>IF($G52="s-curve",$E52+($F52-$E52)*$I$2/(1+EXP($I$3*(COUNT($I$9:AB$9)+$I$4))),TREND($E52:$F52,$E$9:$F$9,AB$9))</f>
        <v>0.53125</v>
      </c>
      <c r="AC52">
        <f>IF($G52="s-curve",$E52+($F52-$E52)*$I$2/(1+EXP($I$3*(COUNT($I$9:AC$9)+$I$4))),TREND($E52:$F52,$E$9:$F$9,AC$9))</f>
        <v>0.53125</v>
      </c>
      <c r="AD52">
        <f>IF($G52="s-curve",$E52+($F52-$E52)*$I$2/(1+EXP($I$3*(COUNT($I$9:AD$9)+$I$4))),TREND($E52:$F52,$E$9:$F$9,AD$9))</f>
        <v>0.53125</v>
      </c>
      <c r="AE52">
        <f>IF($G52="s-curve",$E52+($F52-$E52)*$I$2/(1+EXP($I$3*(COUNT($I$9:AE$9)+$I$4))),TREND($E52:$F52,$E$9:$F$9,AE$9))</f>
        <v>0.53125</v>
      </c>
      <c r="AF52">
        <f>IF($G52="s-curve",$E52+($F52-$E52)*$I$2/(1+EXP($I$3*(COUNT($I$9:AF$9)+$I$4))),TREND($E52:$F52,$E$9:$F$9,AF$9))</f>
        <v>0.53125</v>
      </c>
      <c r="AG52">
        <f>IF($G52="s-curve",$E52+($F52-$E52)*$I$2/(1+EXP($I$3*(COUNT($I$9:AG$9)+$I$4))),TREND($E52:$F52,$E$9:$F$9,AG$9))</f>
        <v>0.53125</v>
      </c>
      <c r="AH52">
        <f>IF($G52="s-curve",$E52+($F52-$E52)*$I$2/(1+EXP($I$3*(COUNT($I$9:AH$9)+$I$4))),TREND($E52:$F52,$E$9:$F$9,AH$9))</f>
        <v>0.53125</v>
      </c>
      <c r="AI52">
        <f>IF($G52="s-curve",$E52+($F52-$E52)*$I$2/(1+EXP($I$3*(COUNT($I$9:AI$9)+$I$4))),TREND($E52:$F52,$E$9:$F$9,AI$9))</f>
        <v>0.53125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0.46875</v>
      </c>
      <c r="F55">
        <f>E55</f>
        <v>0.46875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0.46875</v>
      </c>
      <c r="J55">
        <f>IF($G55="s-curve",$E55+($F55-$E55)*$I$2/(1+EXP($I$3*(COUNT($I$9:J$9)+$I$4))),TREND($E55:$F55,$E$9:$F$9,J$9))</f>
        <v>0.46875</v>
      </c>
      <c r="K55">
        <f>IF($G55="s-curve",$E55+($F55-$E55)*$I$2/(1+EXP($I$3*(COUNT($I$9:K$9)+$I$4))),TREND($E55:$F55,$E$9:$F$9,K$9))</f>
        <v>0.46875</v>
      </c>
      <c r="L55">
        <f>IF($G55="s-curve",$E55+($F55-$E55)*$I$2/(1+EXP($I$3*(COUNT($I$9:L$9)+$I$4))),TREND($E55:$F55,$E$9:$F$9,L$9))</f>
        <v>0.46875</v>
      </c>
      <c r="M55">
        <f>IF($G55="s-curve",$E55+($F55-$E55)*$I$2/(1+EXP($I$3*(COUNT($I$9:M$9)+$I$4))),TREND($E55:$F55,$E$9:$F$9,M$9))</f>
        <v>0.46875</v>
      </c>
      <c r="N55">
        <f>IF($G55="s-curve",$E55+($F55-$E55)*$I$2/(1+EXP($I$3*(COUNT($I$9:N$9)+$I$4))),TREND($E55:$F55,$E$9:$F$9,N$9))</f>
        <v>0.46875</v>
      </c>
      <c r="O55">
        <f>IF($G55="s-curve",$E55+($F55-$E55)*$I$2/(1+EXP($I$3*(COUNT($I$9:O$9)+$I$4))),TREND($E55:$F55,$E$9:$F$9,O$9))</f>
        <v>0.46875</v>
      </c>
      <c r="P55">
        <f>IF($G55="s-curve",$E55+($F55-$E55)*$I$2/(1+EXP($I$3*(COUNT($I$9:P$9)+$I$4))),TREND($E55:$F55,$E$9:$F$9,P$9))</f>
        <v>0.46875</v>
      </c>
      <c r="Q55">
        <f>IF($G55="s-curve",$E55+($F55-$E55)*$I$2/(1+EXP($I$3*(COUNT($I$9:Q$9)+$I$4))),TREND($E55:$F55,$E$9:$F$9,Q$9))</f>
        <v>0.46875</v>
      </c>
      <c r="R55">
        <f>IF($G55="s-curve",$E55+($F55-$E55)*$I$2/(1+EXP($I$3*(COUNT($I$9:R$9)+$I$4))),TREND($E55:$F55,$E$9:$F$9,R$9))</f>
        <v>0.46875</v>
      </c>
      <c r="S55">
        <f>IF($G55="s-curve",$E55+($F55-$E55)*$I$2/(1+EXP($I$3*(COUNT($I$9:S$9)+$I$4))),TREND($E55:$F55,$E$9:$F$9,S$9))</f>
        <v>0.46875</v>
      </c>
      <c r="T55">
        <f>IF($G55="s-curve",$E55+($F55-$E55)*$I$2/(1+EXP($I$3*(COUNT($I$9:T$9)+$I$4))),TREND($E55:$F55,$E$9:$F$9,T$9))</f>
        <v>0.46875</v>
      </c>
      <c r="U55">
        <f>IF($G55="s-curve",$E55+($F55-$E55)*$I$2/(1+EXP($I$3*(COUNT($I$9:U$9)+$I$4))),TREND($E55:$F55,$E$9:$F$9,U$9))</f>
        <v>0.46875</v>
      </c>
      <c r="V55">
        <f>IF($G55="s-curve",$E55+($F55-$E55)*$I$2/(1+EXP($I$3*(COUNT($I$9:V$9)+$I$4))),TREND($E55:$F55,$E$9:$F$9,V$9))</f>
        <v>0.46875</v>
      </c>
      <c r="W55">
        <f>IF($G55="s-curve",$E55+($F55-$E55)*$I$2/(1+EXP($I$3*(COUNT($I$9:W$9)+$I$4))),TREND($E55:$F55,$E$9:$F$9,W$9))</f>
        <v>0.46875</v>
      </c>
      <c r="X55">
        <f>IF($G55="s-curve",$E55+($F55-$E55)*$I$2/(1+EXP($I$3*(COUNT($I$9:X$9)+$I$4))),TREND($E55:$F55,$E$9:$F$9,X$9))</f>
        <v>0.46875</v>
      </c>
      <c r="Y55">
        <f>IF($G55="s-curve",$E55+($F55-$E55)*$I$2/(1+EXP($I$3*(COUNT($I$9:Y$9)+$I$4))),TREND($E55:$F55,$E$9:$F$9,Y$9))</f>
        <v>0.46875</v>
      </c>
      <c r="Z55">
        <f>IF($G55="s-curve",$E55+($F55-$E55)*$I$2/(1+EXP($I$3*(COUNT($I$9:Z$9)+$I$4))),TREND($E55:$F55,$E$9:$F$9,Z$9))</f>
        <v>0.46875</v>
      </c>
      <c r="AA55">
        <f>IF($G55="s-curve",$E55+($F55-$E55)*$I$2/(1+EXP($I$3*(COUNT($I$9:AA$9)+$I$4))),TREND($E55:$F55,$E$9:$F$9,AA$9))</f>
        <v>0.46875</v>
      </c>
      <c r="AB55">
        <f>IF($G55="s-curve",$E55+($F55-$E55)*$I$2/(1+EXP($I$3*(COUNT($I$9:AB$9)+$I$4))),TREND($E55:$F55,$E$9:$F$9,AB$9))</f>
        <v>0.46875</v>
      </c>
      <c r="AC55">
        <f>IF($G55="s-curve",$E55+($F55-$E55)*$I$2/(1+EXP($I$3*(COUNT($I$9:AC$9)+$I$4))),TREND($E55:$F55,$E$9:$F$9,AC$9))</f>
        <v>0.46875</v>
      </c>
      <c r="AD55">
        <f>IF($G55="s-curve",$E55+($F55-$E55)*$I$2/(1+EXP($I$3*(COUNT($I$9:AD$9)+$I$4))),TREND($E55:$F55,$E$9:$F$9,AD$9))</f>
        <v>0.46875</v>
      </c>
      <c r="AE55">
        <f>IF($G55="s-curve",$E55+($F55-$E55)*$I$2/(1+EXP($I$3*(COUNT($I$9:AE$9)+$I$4))),TREND($E55:$F55,$E$9:$F$9,AE$9))</f>
        <v>0.46875</v>
      </c>
      <c r="AF55">
        <f>IF($G55="s-curve",$E55+($F55-$E55)*$I$2/(1+EXP($I$3*(COUNT($I$9:AF$9)+$I$4))),TREND($E55:$F55,$E$9:$F$9,AF$9))</f>
        <v>0.46875</v>
      </c>
      <c r="AG55">
        <f>IF($G55="s-curve",$E55+($F55-$E55)*$I$2/(1+EXP($I$3*(COUNT($I$9:AG$9)+$I$4))),TREND($E55:$F55,$E$9:$F$9,AG$9))</f>
        <v>0.46875</v>
      </c>
      <c r="AH55">
        <f>IF($G55="s-curve",$E55+($F55-$E55)*$I$2/(1+EXP($I$3*(COUNT($I$9:AH$9)+$I$4))),TREND($E55:$F55,$E$9:$F$9,AH$9))</f>
        <v>0.46875</v>
      </c>
      <c r="AI55">
        <f>IF($G55="s-curve",$E55+($F55-$E55)*$I$2/(1+EXP($I$3*(COUNT($I$9:AI$9)+$I$4))),TREND($E55:$F55,$E$9:$F$9,AI$9))</f>
        <v>0.46875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0.53125</v>
      </c>
      <c r="C2">
        <f>Data!K52</f>
        <v>0.53125</v>
      </c>
      <c r="D2">
        <f>Data!L52</f>
        <v>0.53125</v>
      </c>
      <c r="E2">
        <f>Data!M52</f>
        <v>0.53125</v>
      </c>
      <c r="F2">
        <f>Data!N52</f>
        <v>0.53125</v>
      </c>
      <c r="G2">
        <f>Data!O52</f>
        <v>0.53125</v>
      </c>
      <c r="H2">
        <f>Data!P52</f>
        <v>0.53125</v>
      </c>
      <c r="I2">
        <f>Data!Q52</f>
        <v>0.53125</v>
      </c>
      <c r="J2">
        <f>Data!R52</f>
        <v>0.53125</v>
      </c>
      <c r="K2">
        <f>Data!S52</f>
        <v>0.53125</v>
      </c>
      <c r="L2">
        <f>Data!T52</f>
        <v>0.53125</v>
      </c>
      <c r="M2">
        <f>Data!U52</f>
        <v>0.53125</v>
      </c>
      <c r="N2">
        <f>Data!V52</f>
        <v>0.53125</v>
      </c>
      <c r="O2">
        <f>Data!W52</f>
        <v>0.53125</v>
      </c>
      <c r="P2">
        <f>Data!X52</f>
        <v>0.53125</v>
      </c>
      <c r="Q2">
        <f>Data!Y52</f>
        <v>0.53125</v>
      </c>
      <c r="R2">
        <f>Data!Z52</f>
        <v>0.53125</v>
      </c>
      <c r="S2">
        <f>Data!AA52</f>
        <v>0.53125</v>
      </c>
      <c r="T2">
        <f>Data!AB52</f>
        <v>0.53125</v>
      </c>
      <c r="U2">
        <f>Data!AC52</f>
        <v>0.53125</v>
      </c>
      <c r="V2">
        <f>Data!AD52</f>
        <v>0.53125</v>
      </c>
      <c r="W2">
        <f>Data!AE52</f>
        <v>0.53125</v>
      </c>
      <c r="X2">
        <f>Data!AF52</f>
        <v>0.53125</v>
      </c>
      <c r="Y2">
        <f>Data!AG52</f>
        <v>0.53125</v>
      </c>
      <c r="Z2">
        <f>Data!AH52</f>
        <v>0.53125</v>
      </c>
      <c r="AA2">
        <f>Data!AI52</f>
        <v>0.53125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0.46875</v>
      </c>
      <c r="C5">
        <f>Data!K55</f>
        <v>0.46875</v>
      </c>
      <c r="D5">
        <f>Data!L55</f>
        <v>0.46875</v>
      </c>
      <c r="E5">
        <f>Data!M55</f>
        <v>0.46875</v>
      </c>
      <c r="F5">
        <f>Data!N55</f>
        <v>0.46875</v>
      </c>
      <c r="G5">
        <f>Data!O55</f>
        <v>0.46875</v>
      </c>
      <c r="H5">
        <f>Data!P55</f>
        <v>0.46875</v>
      </c>
      <c r="I5">
        <f>Data!Q55</f>
        <v>0.46875</v>
      </c>
      <c r="J5">
        <f>Data!R55</f>
        <v>0.46875</v>
      </c>
      <c r="K5">
        <f>Data!S55</f>
        <v>0.46875</v>
      </c>
      <c r="L5">
        <f>Data!T55</f>
        <v>0.46875</v>
      </c>
      <c r="M5">
        <f>Data!U55</f>
        <v>0.46875</v>
      </c>
      <c r="N5">
        <f>Data!V55</f>
        <v>0.46875</v>
      </c>
      <c r="O5">
        <f>Data!W55</f>
        <v>0.46875</v>
      </c>
      <c r="P5">
        <f>Data!X55</f>
        <v>0.46875</v>
      </c>
      <c r="Q5">
        <f>Data!Y55</f>
        <v>0.46875</v>
      </c>
      <c r="R5">
        <f>Data!Z55</f>
        <v>0.46875</v>
      </c>
      <c r="S5">
        <f>Data!AA55</f>
        <v>0.46875</v>
      </c>
      <c r="T5">
        <f>Data!AB55</f>
        <v>0.46875</v>
      </c>
      <c r="U5">
        <f>Data!AC55</f>
        <v>0.46875</v>
      </c>
      <c r="V5">
        <f>Data!AD55</f>
        <v>0.46875</v>
      </c>
      <c r="W5">
        <f>Data!AE55</f>
        <v>0.46875</v>
      </c>
      <c r="X5">
        <f>Data!AF55</f>
        <v>0.46875</v>
      </c>
      <c r="Y5">
        <f>Data!AG55</f>
        <v>0.46875</v>
      </c>
      <c r="Z5">
        <f>Data!AH55</f>
        <v>0.46875</v>
      </c>
      <c r="AA5">
        <f>Data!AI55</f>
        <v>0.46875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2026-09-04T21:33:14Z</dcterms:modified>
</cp:coreProperties>
</file>